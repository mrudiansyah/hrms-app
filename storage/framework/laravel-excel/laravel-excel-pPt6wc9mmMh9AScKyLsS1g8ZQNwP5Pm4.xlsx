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hyudin\Downloads\SALLARY\"/>
    </mc:Choice>
  </mc:AlternateContent>
  <bookViews>
    <workbookView xWindow="0" yWindow="0" windowWidth="23040" windowHeight="9384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38" i="1" l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<sst xmlns="http://schemas.openxmlformats.org/spreadsheetml/2006/main" count="1297" uniqueCount="1285">
  <si>
    <t>No</t>
  </si>
  <si>
    <t>Nama</t>
  </si>
  <si>
    <t>NIK</t>
  </si>
  <si>
    <t>Jabatan</t>
  </si>
  <si>
    <t>Bagian</t>
  </si>
  <si>
    <t>Upah_Pokok</t>
  </si>
  <si>
    <t>Tunjangan_Jabatan</t>
  </si>
  <si>
    <t>Tunjangan_Skill</t>
  </si>
  <si>
    <t>Tunjangan_Prestasi</t>
  </si>
  <si>
    <t>Standby_OnCall</t>
  </si>
  <si>
    <t>Rapel</t>
  </si>
  <si>
    <t>PPH21</t>
  </si>
  <si>
    <t>PPH21_Lebih_Bayar</t>
  </si>
  <si>
    <t>Ketidakhadiran</t>
  </si>
  <si>
    <t>Ketidakhadiran_Ammount</t>
  </si>
  <si>
    <t>Serikat</t>
  </si>
  <si>
    <t>Lain_Lain</t>
  </si>
  <si>
    <t>PPH21_Kurang_Bayar</t>
  </si>
  <si>
    <t>Koperasi</t>
  </si>
  <si>
    <t>BPJS_Kesehatan</t>
  </si>
  <si>
    <t>BPJS_JHT</t>
  </si>
  <si>
    <t>BPJS_Pensiun</t>
  </si>
  <si>
    <t>PPH21_Insentif</t>
  </si>
  <si>
    <t>B. Y. Gilang Pradana</t>
  </si>
  <si>
    <t>050421-001</t>
  </si>
  <si>
    <t>Muhammad Nernthong</t>
  </si>
  <si>
    <t>040521-001</t>
  </si>
  <si>
    <t>Karna</t>
  </si>
  <si>
    <t>180918-001</t>
  </si>
  <si>
    <t>Tri Untoro Wahyu Prasetyo</t>
  </si>
  <si>
    <t>250321-003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</si>
  <si>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</si>
  <si>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</si>
  <si>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</si>
  <si>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</si>
  <si>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</si>
  <si>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</si>
  <si>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</si>
  <si>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</si>
  <si>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</si>
  <si>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</si>
  <si>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</si>
  <si>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</si>
  <si>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</si>
  <si>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</si>
  <si>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</si>
  <si>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</si>
  <si>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</si>
  <si>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</si>
  <si>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</si>
  <si>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</si>
  <si>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</si>
  <si>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</si>
  <si>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</si>
  <si>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</si>
  <si>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</si>
  <si>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</si>
  <si>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</si>
  <si>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020718-019</t>
  </si>
  <si>
    <t>Enjang Maksum</t>
  </si>
  <si>
    <t>200818-001</t>
  </si>
  <si>
    <t xml:space="preserve">Faqih Safingi </t>
  </si>
  <si>
    <t>200818-010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</si>
  <si>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</si>
  <si>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</si>
  <si>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</si>
  <si>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</si>
  <si>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</si>
  <si>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</si>
  <si>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</si>
  <si>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</si>
  <si>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</si>
  <si>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</si>
  <si>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</si>
  <si>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</si>
  <si>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</si>
  <si>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</si>
  <si>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</si>
  <si>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020818-001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</si>
  <si>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</si>
  <si>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</si>
  <si>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</si>
  <si>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</si>
  <si>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</si>
  <si>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</si>
  <si>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</si>
  <si>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</si>
  <si>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</si>
  <si>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</si>
  <si>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</si>
  <si>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</si>
  <si>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</si>
  <si>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</si>
  <si>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</si>
  <si>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</si>
  <si>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</si>
  <si>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</si>
  <si>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</si>
  <si>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</si>
  <si>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</si>
  <si>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</si>
  <si>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</si>
  <si>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280318-018</t>
  </si>
  <si>
    <t>Indra Hermanto</t>
  </si>
  <si>
    <t>190421-001</t>
  </si>
  <si>
    <t>Agung Cahyadi Putra</t>
  </si>
  <si>
    <t>020718-001</t>
  </si>
  <si>
    <t>Ridotul Irfan</t>
  </si>
  <si>
    <t>020718-009</t>
  </si>
  <si>
    <t>Widio Saputro</t>
  </si>
  <si>
    <t>020718-021</t>
  </si>
  <si>
    <t xml:space="preserve">Robi Gunawan </t>
  </si>
  <si>
    <t>020718-027</t>
  </si>
  <si>
    <t>Sumarna {A}</t>
  </si>
  <si>
    <t>020718-028</t>
  </si>
  <si>
    <t xml:space="preserve">Nofianto </t>
  </si>
  <si>
    <t>100718-003</t>
  </si>
  <si>
    <t>Syarif Paozan</t>
  </si>
  <si>
    <t>100718-004</t>
  </si>
  <si>
    <t xml:space="preserve">Wawan Setiawan </t>
  </si>
  <si>
    <t>011018-005</t>
  </si>
  <si>
    <t>Doni Harianto</t>
  </si>
  <si>
    <t>280318-010</t>
  </si>
  <si>
    <t>Agus Diana</t>
  </si>
  <si>
    <t>290618-003</t>
  </si>
  <si>
    <t xml:space="preserve">Koswara Dody Pratama </t>
  </si>
  <si>
    <t>011018-002</t>
  </si>
  <si>
    <t>Ahmad Saepudin {C}</t>
  </si>
  <si>
    <t>200619-004</t>
  </si>
  <si>
    <t>Yoko Sobarna</t>
  </si>
  <si>
    <t>260121-004</t>
  </si>
  <si>
    <t>Hasan Faisol</t>
  </si>
  <si>
    <t>290618-016</t>
  </si>
  <si>
    <t>Embuh Bastian</t>
  </si>
  <si>
    <t>180121-001</t>
  </si>
  <si>
    <t>Yana Suryana</t>
  </si>
  <si>
    <t>230719-002</t>
  </si>
  <si>
    <t>Kamaludin {B}</t>
  </si>
  <si>
    <t>230719-008</t>
  </si>
  <si>
    <t>Karnita</t>
  </si>
  <si>
    <t>010719-005</t>
  </si>
  <si>
    <t>Maretdiyono</t>
  </si>
  <si>
    <t>130818-008</t>
  </si>
  <si>
    <t>Tirta Wijaya</t>
  </si>
  <si>
    <t>280318-021</t>
  </si>
  <si>
    <t>Yuda Pebrians</t>
  </si>
  <si>
    <t>161120-002</t>
  </si>
  <si>
    <t>Zevy Adam Sugara</t>
  </si>
  <si>
    <t>090320-002</t>
  </si>
  <si>
    <t>Djoko Dirgantara</t>
  </si>
  <si>
    <t>290618-014</t>
  </si>
  <si>
    <t>Aji Pangestu</t>
  </si>
  <si>
    <t>230719-004</t>
  </si>
  <si>
    <t>Krisdiyanto</t>
  </si>
  <si>
    <t>170221-001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</si>
  <si>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</si>
  <si>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</si>
  <si>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</si>
  <si>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</si>
  <si>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</si>
  <si>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</si>
  <si>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</si>
  <si>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</si>
  <si>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</si>
  <si>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</si>
  <si>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</si>
  <si>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</si>
  <si>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Meri Juliyanto</t>
  </si>
  <si>
    <t>140119-013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</si>
  <si>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</si>
  <si>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</si>
  <si>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</si>
  <si>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</si>
  <si>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</si>
  <si>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</si>
  <si>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</si>
  <si>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</si>
  <si>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</si>
  <si>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</si>
  <si>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</si>
  <si>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</si>
  <si>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</si>
  <si>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</si>
  <si>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</si>
  <si>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</si>
  <si>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 xml:space="preserve">Yudi Mulyana </t>
  </si>
  <si>
    <t>310718-016</t>
  </si>
  <si>
    <t>Asep Suhendra</t>
  </si>
  <si>
    <t>060919-001</t>
  </si>
  <si>
    <t>Hartoyo</t>
  </si>
  <si>
    <t>040814-122</t>
  </si>
  <si>
    <t>Muhamad Hendi Hartono</t>
  </si>
  <si>
    <t>080819-018</t>
  </si>
  <si>
    <t>Muhammad Joko Susilo</t>
  </si>
  <si>
    <t>280318-014</t>
  </si>
  <si>
    <t>Heriyana</t>
  </si>
  <si>
    <t>011018-001</t>
  </si>
  <si>
    <t>Andre Carneval</t>
  </si>
  <si>
    <t>020718-002</t>
  </si>
  <si>
    <t>Roni Hidayat</t>
  </si>
  <si>
    <t>201218-001</t>
  </si>
  <si>
    <t xml:space="preserve">Amin Supriatna </t>
  </si>
  <si>
    <t>081018-001</t>
  </si>
  <si>
    <t>Rudini</t>
  </si>
  <si>
    <t>280318-017</t>
  </si>
  <si>
    <t>Yulianto</t>
  </si>
  <si>
    <t>280318-022</t>
  </si>
  <si>
    <t>Tomi</t>
  </si>
  <si>
    <t>180418-008</t>
  </si>
  <si>
    <t xml:space="preserve">Taupikul yahya </t>
  </si>
  <si>
    <t>310718-014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</si>
  <si>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</si>
  <si>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</si>
  <si>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</si>
  <si>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</si>
  <si>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</si>
  <si>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</si>
  <si>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</si>
  <si>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>290618-006</t>
  </si>
  <si>
    <t xml:space="preserve">Achmad Gusmanto </t>
  </si>
  <si>
    <t>290618-001</t>
  </si>
  <si>
    <t>Tugiyanto</t>
  </si>
  <si>
    <t>020718-016</t>
  </si>
  <si>
    <t>Wahyu Dwi Ramdhan</t>
  </si>
  <si>
    <t>051118-010</t>
  </si>
  <si>
    <t>Soeprihanto</t>
  </si>
  <si>
    <t>020718-011</t>
  </si>
  <si>
    <t>Indra Firmansyah</t>
  </si>
  <si>
    <t>200818-012</t>
  </si>
  <si>
    <t>Andri Oktiananto</t>
  </si>
  <si>
    <t>280318-004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</si>
  <si>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</si>
  <si>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</si>
  <si>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</si>
  <si>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</si>
  <si>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</si>
  <si>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</si>
  <si>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</si>
  <si>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</si>
  <si>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</si>
  <si>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</si>
  <si>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</si>
  <si>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</si>
  <si>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</si>
  <si>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</si>
  <si>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</si>
  <si>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</si>
  <si>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</si>
  <si>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</si>
  <si>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Abdul Rahman</t>
  </si>
  <si>
    <t>050421-005</t>
  </si>
  <si>
    <t>Dena Hendriyana</t>
  </si>
  <si>
    <t>290618-012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</si>
  <si>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</si>
  <si>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</si>
  <si>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</si>
  <si>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</si>
  <si>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</si>
  <si>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</si>
  <si>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</si>
  <si>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020718-005</t>
  </si>
  <si>
    <t>Agung Eka Putra</t>
  </si>
  <si>
    <t>051118-004</t>
  </si>
  <si>
    <t>Diki Aripin</t>
  </si>
  <si>
    <t>290618-013</t>
  </si>
  <si>
    <t>Ixvan Budi Utomo</t>
  </si>
  <si>
    <t>290618-018</t>
  </si>
  <si>
    <t>Ade Alpian</t>
  </si>
  <si>
    <t>051118-003</t>
  </si>
  <si>
    <t xml:space="preserve">Asep Catur Suryaman </t>
  </si>
  <si>
    <t>290618-009</t>
  </si>
  <si>
    <t>Wahyudin {C}</t>
  </si>
  <si>
    <t>020718-020</t>
  </si>
  <si>
    <t>Setyawan</t>
  </si>
  <si>
    <t>261020-013</t>
  </si>
  <si>
    <t xml:space="preserve">Jaelani Sulaeman </t>
  </si>
  <si>
    <t>290618-019</t>
  </si>
  <si>
    <t>Sriyanto</t>
  </si>
  <si>
    <t>180121-003</t>
  </si>
  <si>
    <t>Diky Heriudin</t>
  </si>
  <si>
    <t>140318-001</t>
  </si>
  <si>
    <t>Amiruddin</t>
  </si>
  <si>
    <t>140318-007</t>
  </si>
  <si>
    <t>Jajang Sopaat</t>
  </si>
  <si>
    <t>150221-004</t>
  </si>
  <si>
    <t>Dedi Irawan</t>
  </si>
  <si>
    <t>290618-011</t>
  </si>
  <si>
    <t>Rohmat Widiyanto</t>
  </si>
  <si>
    <t>161120-001</t>
  </si>
  <si>
    <t>Endang Suhendi</t>
  </si>
  <si>
    <t>081018-003</t>
  </si>
  <si>
    <t>Andri Sopian Hidayat</t>
  </si>
  <si>
    <t>020718-003</t>
  </si>
  <si>
    <t>Ramli Sugiarto</t>
  </si>
  <si>
    <t>090320-007</t>
  </si>
  <si>
    <t>Riki Samsudin</t>
  </si>
  <si>
    <t>101218-006</t>
  </si>
  <si>
    <t xml:space="preserve">Juhanda </t>
  </si>
  <si>
    <t>070119-003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</si>
  <si>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</si>
  <si>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</si>
  <si>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</si>
  <si>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</si>
  <si>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</si>
  <si>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</si>
  <si>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</si>
  <si>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</si>
  <si>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</si>
  <si>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</si>
  <si>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</si>
  <si>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</si>
  <si>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</si>
  <si>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</si>
  <si>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</si>
  <si>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</si>
  <si>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</si>
  <si>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</si>
  <si>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</si>
  <si>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190318-001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</si>
  <si>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</si>
  <si>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</si>
  <si>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</si>
  <si>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</si>
  <si>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</si>
  <si>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</si>
  <si>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</si>
  <si>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</si>
  <si>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</si>
  <si>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</si>
  <si>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</si>
  <si>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</si>
  <si>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</si>
  <si>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</si>
  <si>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</si>
  <si>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</si>
  <si>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</si>
  <si>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</si>
  <si>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</si>
  <si>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200718-010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</si>
  <si>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</si>
  <si>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</si>
  <si>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</si>
  <si>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</si>
  <si>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</si>
  <si>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</si>
  <si>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</si>
  <si>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</si>
  <si>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</si>
  <si>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</si>
  <si>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</si>
  <si>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140318-005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</si>
  <si>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</si>
  <si>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</si>
  <si>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</si>
  <si>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</si>
  <si>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</si>
  <si>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</si>
  <si>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</si>
  <si>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</si>
  <si>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</si>
  <si>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</si>
  <si>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</si>
  <si>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</si>
  <si>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</si>
  <si>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</si>
  <si>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</si>
  <si>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</si>
  <si>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</si>
  <si>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</si>
  <si>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</si>
  <si>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</si>
  <si>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</si>
  <si>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</si>
  <si>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</si>
  <si>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</si>
  <si>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</si>
  <si>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</si>
  <si>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</si>
  <si>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</si>
  <si>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</si>
  <si>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</si>
  <si>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</si>
  <si>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</si>
  <si>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</si>
  <si>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</si>
  <si>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</si>
  <si>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</si>
  <si>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</si>
  <si>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</si>
  <si>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Firdaus Yudha Hartawan</t>
  </si>
  <si>
    <t>071220-009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</si>
  <si>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</si>
  <si>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</si>
  <si>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</si>
  <si>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</si>
  <si>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</si>
  <si>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</si>
  <si>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</si>
  <si>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</si>
  <si>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</si>
  <si>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</si>
  <si>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</si>
  <si>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</si>
  <si>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</si>
  <si>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</si>
  <si>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</si>
  <si>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</si>
  <si>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</si>
  <si>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</si>
  <si>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</si>
  <si>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</si>
  <si>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</si>
  <si>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</si>
  <si>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</si>
  <si>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</si>
  <si>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</si>
  <si>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</si>
  <si>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</si>
  <si>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</si>
  <si>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</si>
  <si>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</si>
  <si>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</si>
  <si>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</si>
  <si>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</si>
  <si>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210318-004</t>
  </si>
  <si>
    <t>Katija</t>
  </si>
  <si>
    <t>210318-006</t>
  </si>
  <si>
    <t>Sarifudin</t>
  </si>
  <si>
    <t>210318-007</t>
  </si>
  <si>
    <t xml:space="preserve">Asep Ginanjar </t>
  </si>
  <si>
    <t>290321-009</t>
  </si>
  <si>
    <t xml:space="preserve">Ahmad Sarip Hidayat </t>
  </si>
  <si>
    <t>020718-031</t>
  </si>
  <si>
    <t xml:space="preserve">Surya Hermawan </t>
  </si>
  <si>
    <t>030718-001</t>
  </si>
  <si>
    <t>Agus Setiyo Budiyanto</t>
  </si>
  <si>
    <t>160718-003</t>
  </si>
  <si>
    <t>Anugrah Yudha Pracahya</t>
  </si>
  <si>
    <t>160718-006</t>
  </si>
  <si>
    <t xml:space="preserve">Ari Muhamad Nuari </t>
  </si>
  <si>
    <t>160718-007</t>
  </si>
  <si>
    <t xml:space="preserve">Hendi Setiawan </t>
  </si>
  <si>
    <t>160718-009</t>
  </si>
  <si>
    <t xml:space="preserve">Juari </t>
  </si>
  <si>
    <t>160718-011</t>
  </si>
  <si>
    <t>Rohmansyah</t>
  </si>
  <si>
    <t>160718-013</t>
  </si>
  <si>
    <t xml:space="preserve">Adi Suryadi </t>
  </si>
  <si>
    <t>200718-003</t>
  </si>
  <si>
    <t xml:space="preserve">Arif Priyanto </t>
  </si>
  <si>
    <t>200718-005</t>
  </si>
  <si>
    <t xml:space="preserve">Aryono </t>
  </si>
  <si>
    <t>200718-006</t>
  </si>
  <si>
    <t xml:space="preserve">Asep Purnama </t>
  </si>
  <si>
    <t>200718-007</t>
  </si>
  <si>
    <t xml:space="preserve">Iqbal Maulana </t>
  </si>
  <si>
    <t>200718-012</t>
  </si>
  <si>
    <t xml:space="preserve">Puji Nur Abidin </t>
  </si>
  <si>
    <t>200718-016</t>
  </si>
  <si>
    <t xml:space="preserve">Rohmanudin </t>
  </si>
  <si>
    <t>200718-018</t>
  </si>
  <si>
    <t>Wahyu Arhindra Sukma</t>
  </si>
  <si>
    <t>200718-023</t>
  </si>
  <si>
    <t xml:space="preserve">Wawan Sugiri </t>
  </si>
  <si>
    <t>200718-024</t>
  </si>
  <si>
    <t xml:space="preserve">Firman Permana Wijaya </t>
  </si>
  <si>
    <t>310718-003</t>
  </si>
  <si>
    <t>Kiki Debi Kusuma</t>
  </si>
  <si>
    <t>310718-005</t>
  </si>
  <si>
    <t>Suhana</t>
  </si>
  <si>
    <t>310718-007</t>
  </si>
  <si>
    <t xml:space="preserve">Surya Apriatna </t>
  </si>
  <si>
    <t>310718-008</t>
  </si>
  <si>
    <t>Toni Ali Yusup</t>
  </si>
  <si>
    <t>310718-009</t>
  </si>
  <si>
    <t xml:space="preserve">Uung Khaerul Fatihin </t>
  </si>
  <si>
    <t>310718-010</t>
  </si>
  <si>
    <t>Supriatna {B}</t>
  </si>
  <si>
    <t>120918-004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</si>
  <si>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</si>
  <si>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</si>
  <si>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</si>
  <si>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</si>
  <si>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</si>
  <si>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</si>
  <si>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</si>
  <si>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</si>
  <si>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</si>
  <si>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</si>
  <si>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</si>
  <si>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</si>
  <si>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</si>
  <si>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</si>
  <si>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</si>
  <si>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</si>
  <si>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</si>
  <si>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</si>
  <si>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</si>
  <si>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200718-022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</si>
  <si>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</si>
  <si>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</si>
  <si>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</si>
  <si>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</si>
  <si>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</si>
  <si>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</si>
  <si>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</si>
  <si>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</si>
  <si>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</si>
  <si>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</si>
  <si>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</si>
  <si>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</si>
  <si>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</si>
  <si>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</si>
  <si>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</si>
  <si>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</si>
  <si>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</si>
  <si>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</si>
  <si>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</si>
  <si>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</si>
  <si>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</si>
  <si>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</si>
  <si>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</si>
  <si>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</si>
  <si>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</si>
  <si>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</si>
  <si>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</si>
  <si>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</si>
  <si>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</si>
  <si>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</si>
  <si>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</si>
  <si>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</si>
  <si>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</si>
  <si>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</si>
  <si>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</si>
  <si>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290318-001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</si>
  <si>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</si>
  <si>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</si>
  <si>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</si>
  <si>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</si>
  <si>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</si>
  <si>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</si>
  <si>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</si>
  <si>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200718-009</t>
  </si>
  <si>
    <t>Dicky Oktavian</t>
  </si>
  <si>
    <t>260121-006</t>
  </si>
  <si>
    <t>Diyan Hardiansyah</t>
  </si>
  <si>
    <t>210318-002</t>
  </si>
  <si>
    <t xml:space="preserve">Ikhsan Efendi </t>
  </si>
  <si>
    <t>310718-004</t>
  </si>
  <si>
    <t>Madi Dijaya</t>
  </si>
  <si>
    <t>150319-002</t>
  </si>
  <si>
    <t>Muhamad Khairul Khakim</t>
  </si>
  <si>
    <t>120719-004</t>
  </si>
  <si>
    <t>Sahid Nurjanah</t>
  </si>
  <si>
    <t>160718-014</t>
  </si>
  <si>
    <t>Tatang Samsudin</t>
  </si>
  <si>
    <t>270121-005</t>
  </si>
  <si>
    <t>Damar Ridwansyah</t>
  </si>
  <si>
    <t>311219-001</t>
  </si>
  <si>
    <t>Soni Apriyanto</t>
  </si>
  <si>
    <t>080920-007</t>
  </si>
  <si>
    <t xml:space="preserve">Ahmad Fahmi </t>
  </si>
  <si>
    <t>280318-026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</si>
  <si>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</si>
  <si>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</si>
  <si>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</si>
  <si>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</si>
  <si>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</si>
  <si>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</si>
  <si>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</si>
  <si>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200718-017</t>
  </si>
  <si>
    <t>Aan Widya Pratama</t>
  </si>
  <si>
    <t>251017-003</t>
  </si>
  <si>
    <t>Rohman Ivandi</t>
  </si>
  <si>
    <t>061020-002</t>
  </si>
  <si>
    <t>Bayu Gunawan</t>
  </si>
  <si>
    <t>071220-002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</si>
  <si>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</si>
  <si>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</si>
  <si>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</si>
  <si>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</si>
  <si>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</si>
  <si>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</si>
  <si>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</si>
  <si>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310718-001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</si>
  <si>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</si>
  <si>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</si>
  <si>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</si>
  <si>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</si>
  <si>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</si>
  <si>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</si>
  <si>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</si>
  <si>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</si>
  <si>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</si>
  <si>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</si>
  <si>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</si>
  <si>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>060818-003</t>
  </si>
  <si>
    <t xml:space="preserve">Angga Setiawan </t>
  </si>
  <si>
    <t>200718-004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</si>
  <si>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</si>
  <si>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</si>
  <si>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</si>
  <si>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</si>
  <si>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</si>
  <si>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</si>
  <si>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</si>
  <si>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310718-002</t>
  </si>
  <si>
    <t>Fahmi Ramadhani</t>
  </si>
  <si>
    <t>241220-001</t>
  </si>
  <si>
    <t xml:space="preserve">Toni Firmansyah </t>
  </si>
  <si>
    <t>200718-021</t>
  </si>
  <si>
    <t xml:space="preserve">Wahyu Trisnadi Prihastomo </t>
  </si>
  <si>
    <t>160718-016</t>
  </si>
  <si>
    <t xml:space="preserve">Wahyu Saprudin </t>
  </si>
  <si>
    <t>160718-015</t>
  </si>
  <si>
    <t>Apri Oktaviadi</t>
  </si>
  <si>
    <t>060818-002</t>
  </si>
  <si>
    <t xml:space="preserve">Ryan Hidayat </t>
  </si>
  <si>
    <t>060818-006</t>
  </si>
  <si>
    <t xml:space="preserve">Ikhsanudin </t>
  </si>
  <si>
    <t>160718-010</t>
  </si>
  <si>
    <t>Ibut Yulianto</t>
  </si>
  <si>
    <t>040121-003</t>
  </si>
  <si>
    <t xml:space="preserve">Dodi Kurniawan </t>
  </si>
  <si>
    <t>160718-008</t>
  </si>
  <si>
    <t>Abdul Ajis Habilah</t>
  </si>
  <si>
    <t>200718-002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</si>
  <si>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</si>
  <si>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</si>
  <si>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</si>
  <si>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</si>
  <si>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</si>
  <si>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</si>
  <si>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</si>
  <si>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</si>
  <si>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</si>
  <si>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</si>
  <si>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</si>
  <si>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</si>
  <si>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</si>
  <si>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</si>
  <si>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</si>
  <si>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</si>
  <si>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</si>
  <si>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</si>
  <si>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</si>
  <si>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</si>
  <si>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</si>
  <si>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</si>
  <si>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</si>
  <si>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</si>
  <si>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</si>
  <si>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</si>
  <si>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Sulistriyanto</t>
  </si>
  <si>
    <t>051020-014</t>
  </si>
  <si>
    <t>Anton Hidayat</t>
  </si>
  <si>
    <t>051020-015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</si>
  <si>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</si>
  <si>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</si>
  <si>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</si>
  <si>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</si>
  <si>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</si>
  <si>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</si>
  <si>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</si>
  <si>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</si>
  <si>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</si>
  <si>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</si>
  <si>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</si>
  <si>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</si>
  <si>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</si>
  <si>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</si>
  <si>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</si>
  <si>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</si>
  <si>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</si>
  <si>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</si>
  <si>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</si>
  <si>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</si>
  <si>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</si>
  <si>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</si>
  <si>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</si>
  <si>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</si>
  <si>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</si>
  <si>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</si>
  <si>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</si>
  <si>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</si>
  <si>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</si>
  <si>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</si>
  <si>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</si>
  <si>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</si>
  <si>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Ariyana</t>
  </si>
  <si>
    <t>280221-001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</si>
  <si>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</si>
  <si>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</si>
  <si>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</si>
  <si>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</si>
  <si>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</si>
  <si>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</si>
  <si>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</si>
  <si>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</si>
  <si>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</si>
  <si>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</si>
  <si>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</si>
  <si>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</si>
  <si>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</si>
  <si>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</si>
  <si>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</si>
  <si>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</si>
  <si>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</si>
  <si>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</si>
  <si>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</si>
  <si>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</si>
  <si>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</si>
  <si>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</si>
  <si>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</si>
  <si>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</si>
  <si>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</si>
  <si>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</si>
  <si>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</si>
  <si>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</si>
  <si>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</si>
  <si>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</si>
  <si>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</si>
  <si>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</si>
  <si>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</si>
  <si>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</si>
  <si>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</si>
  <si>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</si>
  <si>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</si>
  <si>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</si>
  <si>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</si>
  <si>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</si>
  <si>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</si>
  <si>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</si>
  <si>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</si>
  <si>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250918-001</t>
  </si>
  <si>
    <t>Sunandar</t>
  </si>
  <si>
    <t>250918-002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</si>
  <si>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</si>
  <si>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</si>
  <si>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</si>
  <si>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</si>
  <si>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</si>
  <si>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</si>
  <si>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</si>
  <si>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</si>
  <si>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</si>
  <si>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</si>
  <si>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</si>
  <si>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</si>
  <si>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</si>
  <si>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</si>
  <si>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</si>
  <si>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040220-003</t>
  </si>
  <si>
    <t>Edi Wahyono</t>
  </si>
  <si>
    <t>040220-002</t>
  </si>
  <si>
    <t>Wawan Hermawan</t>
  </si>
  <si>
    <t>120918-011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</si>
  <si>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</si>
  <si>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</si>
  <si>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</si>
  <si>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</si>
  <si>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</si>
  <si>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</si>
  <si>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</si>
  <si>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</si>
  <si>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</si>
  <si>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</si>
  <si>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</si>
  <si>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</si>
  <si>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</si>
  <si>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</si>
  <si>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</si>
  <si>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</si>
  <si>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</si>
  <si>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</si>
  <si>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</si>
  <si>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020718-022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</si>
  <si>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</si>
  <si>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</si>
  <si>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</si>
  <si>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</si>
  <si>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</si>
  <si>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</si>
  <si>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</si>
  <si>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</si>
  <si>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</si>
  <si>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</si>
  <si>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</si>
  <si>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</si>
  <si>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</si>
  <si>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</si>
  <si>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</si>
  <si>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</si>
  <si>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</si>
  <si>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</si>
  <si>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</si>
  <si>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</si>
  <si>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</si>
  <si>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</si>
  <si>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</si>
  <si>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</si>
  <si>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</si>
  <si>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</si>
  <si>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</si>
  <si>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</si>
  <si>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</si>
  <si>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</si>
  <si>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</si>
  <si>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</si>
  <si>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</si>
  <si>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</si>
  <si>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</si>
  <si>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</si>
  <si>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</si>
  <si>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</si>
  <si>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</si>
  <si>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</si>
  <si>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</si>
  <si>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</si>
  <si>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</si>
  <si>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</si>
  <si>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</si>
  <si>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</si>
  <si>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</si>
  <si>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</si>
  <si>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</si>
  <si>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</si>
  <si>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</si>
  <si>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</si>
  <si>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</si>
  <si>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</si>
  <si>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</si>
  <si>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</si>
  <si>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</si>
  <si>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</si>
  <si>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</si>
  <si>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</si>
  <si>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</si>
  <si>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</si>
  <si>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</si>
  <si>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</si>
  <si>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</si>
  <si>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</si>
  <si>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</si>
  <si>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</si>
  <si>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</si>
  <si>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</si>
  <si>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</si>
  <si>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</si>
  <si>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</si>
  <si>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</si>
  <si>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</si>
  <si>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</si>
  <si>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</si>
  <si>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</si>
  <si>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</si>
  <si>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</si>
  <si>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</si>
  <si>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</si>
  <si>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</si>
  <si>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</si>
  <si>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</si>
  <si>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</si>
  <si>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</si>
  <si>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</si>
  <si>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</si>
  <si>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</si>
  <si>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</si>
  <si>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</si>
  <si>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</si>
  <si>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</si>
  <si>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</si>
  <si>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</si>
  <si>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</si>
  <si>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</si>
  <si>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</si>
  <si>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</si>
  <si>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Edi Junaedi</t>
  </si>
  <si>
    <t>040814-016</t>
  </si>
  <si>
    <t>Fajar Ganda Setiawan</t>
  </si>
  <si>
    <t>221214-012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</si>
  <si>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</si>
  <si>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</si>
  <si>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</si>
  <si>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</si>
  <si>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</si>
  <si>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</si>
  <si>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</si>
  <si>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</si>
  <si>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</si>
  <si>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</si>
  <si>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</si>
  <si>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</si>
  <si>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</si>
  <si>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</si>
  <si>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</si>
  <si>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</si>
  <si>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</si>
  <si>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</si>
  <si>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</si>
  <si>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</si>
  <si>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</si>
  <si>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</si>
  <si>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</si>
  <si>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>300718-006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</si>
  <si>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</si>
  <si>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</si>
  <si>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</si>
  <si>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</si>
  <si>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</si>
  <si>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</si>
  <si>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</si>
  <si>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</si>
  <si>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</si>
  <si>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</si>
  <si>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</si>
  <si>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</si>
  <si>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</si>
  <si>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</si>
  <si>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</si>
  <si>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</si>
  <si>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</si>
  <si>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</si>
  <si>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</si>
  <si>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130818-011</t>
  </si>
  <si>
    <t>Sugeng Riyadi</t>
  </si>
  <si>
    <t>040814-443</t>
  </si>
  <si>
    <t>Amat Ihwan</t>
  </si>
  <si>
    <t>150421-002</t>
  </si>
  <si>
    <t>Deny Yuliyanto</t>
  </si>
  <si>
    <t>060818-007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</si>
  <si>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</si>
  <si>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</si>
  <si>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</si>
  <si>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</si>
  <si>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</si>
  <si>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</si>
  <si>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</si>
  <si>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</si>
  <si>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</si>
  <si>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</si>
  <si>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</si>
  <si>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</si>
  <si>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</si>
  <si>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</si>
  <si>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</si>
  <si>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</si>
  <si>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</si>
  <si>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</si>
  <si>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</si>
  <si>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</si>
  <si>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</si>
  <si>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</si>
  <si>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</si>
  <si>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</si>
  <si>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</si>
  <si>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</si>
  <si>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</si>
  <si>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</si>
  <si>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</si>
  <si>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</si>
  <si>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</si>
  <si>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</si>
  <si>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</si>
  <si>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</si>
  <si>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</si>
  <si>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</si>
  <si>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</si>
  <si>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</si>
  <si>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</si>
  <si>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060818-009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</si>
  <si>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</si>
  <si>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</si>
  <si>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</si>
  <si>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</si>
  <si>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</si>
  <si>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</si>
  <si>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</si>
  <si>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</si>
  <si>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</si>
  <si>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</si>
  <si>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</si>
  <si>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</si>
  <si>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</si>
  <si>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</si>
  <si>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</si>
  <si>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</si>
  <si>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</si>
  <si>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</si>
  <si>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</si>
  <si>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</si>
  <si>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</si>
  <si>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</si>
  <si>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</si>
  <si>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</si>
  <si>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</si>
  <si>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</si>
  <si>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</si>
  <si>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</si>
  <si>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</si>
  <si>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</si>
  <si>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</si>
  <si>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</si>
  <si>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</si>
  <si>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</si>
  <si>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</si>
  <si>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</si>
  <si>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</si>
  <si>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</si>
  <si>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</si>
  <si>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</si>
  <si>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</si>
  <si>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</si>
  <si>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</si>
  <si>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</si>
  <si>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</si>
  <si>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</si>
  <si>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</si>
  <si>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</si>
  <si>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</si>
  <si>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</si>
  <si>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</si>
  <si>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</si>
  <si>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</si>
  <si>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</si>
  <si>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</si>
  <si>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</si>
  <si>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</si>
  <si>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</si>
  <si>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</si>
  <si>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</si>
  <si>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</si>
  <si>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</si>
  <si>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Ajat Sudrajat</t>
  </si>
  <si>
    <t>270219-001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</si>
  <si>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</si>
  <si>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</si>
  <si>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</si>
  <si>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</si>
  <si>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</si>
  <si>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</si>
  <si>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</si>
  <si>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</si>
  <si>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</si>
  <si>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</si>
  <si>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</si>
  <si>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</si>
  <si>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</si>
  <si>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</si>
  <si>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</si>
  <si>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</si>
  <si>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</si>
  <si>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</si>
  <si>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</si>
  <si>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060818-008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</si>
  <si>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</si>
  <si>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</si>
  <si>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</si>
  <si>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</si>
  <si>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</si>
  <si>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</si>
  <si>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</si>
  <si>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</si>
  <si>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</si>
  <si>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</si>
  <si>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</si>
  <si>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</si>
  <si>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Ridho Al Badii</t>
  </si>
  <si>
    <t>220517-002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</si>
  <si>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</si>
  <si>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</si>
  <si>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</si>
  <si>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</si>
  <si>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</si>
  <si>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</si>
  <si>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</si>
  <si>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</si>
  <si>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</si>
  <si>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</si>
  <si>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Nur Amarrullah Salim</t>
  </si>
  <si>
    <t>080318-001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</si>
  <si>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</si>
  <si>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</si>
  <si>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</si>
  <si>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</si>
  <si>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</si>
  <si>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</si>
  <si>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</si>
  <si>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</si>
  <si>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</si>
  <si>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</si>
  <si>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</si>
  <si>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</si>
  <si>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</si>
  <si>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200819-001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</si>
  <si>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</si>
  <si>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</si>
  <si>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</si>
  <si>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</si>
  <si>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</si>
  <si>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</si>
  <si>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</si>
  <si>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</si>
  <si>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</si>
  <si>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</si>
  <si>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</si>
  <si>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</si>
  <si>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</si>
  <si>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</si>
  <si>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</si>
  <si>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</si>
  <si>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</si>
  <si>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</si>
  <si>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</si>
  <si>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</si>
  <si>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</si>
  <si>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</si>
  <si>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</si>
  <si>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</si>
  <si>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</si>
  <si>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</si>
  <si>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</si>
  <si>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</si>
  <si>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</si>
  <si>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</si>
  <si>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</si>
  <si>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</si>
  <si>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</si>
  <si>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</si>
  <si>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Dwi Susanto Nan</t>
  </si>
  <si>
    <t>040814-485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</si>
  <si>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</si>
  <si>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</si>
  <si>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</si>
  <si>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</si>
  <si>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</si>
  <si>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</si>
  <si>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</si>
  <si>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</si>
  <si>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</si>
  <si>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</si>
  <si>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</si>
  <si>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</si>
  <si>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</si>
  <si>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</si>
  <si>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</si>
  <si>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</si>
  <si>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</si>
  <si>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</si>
  <si>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</si>
  <si>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</si>
  <si>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</si>
  <si>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</si>
  <si>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</si>
  <si>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</si>
  <si>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</si>
  <si>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</si>
  <si>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</si>
  <si>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</si>
  <si>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</si>
  <si>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</si>
  <si>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</si>
  <si>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</si>
  <si>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</si>
  <si>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</si>
  <si>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</si>
  <si>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</si>
  <si>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</si>
  <si>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</si>
  <si>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</si>
  <si>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</si>
  <si>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</si>
  <si>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</si>
  <si>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</si>
  <si>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</si>
  <si>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Galih Sulisno</t>
  </si>
  <si>
    <t>010321-003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</si>
  <si>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</si>
  <si>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</si>
  <si>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</si>
  <si>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</si>
  <si>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</si>
  <si>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</si>
  <si>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</si>
  <si>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</si>
  <si>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</si>
  <si>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</si>
  <si>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</si>
  <si>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</si>
  <si>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</si>
  <si>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</si>
  <si>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</si>
  <si>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</si>
  <si>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</si>
  <si>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</si>
  <si>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</si>
  <si>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</si>
  <si>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</si>
  <si>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</si>
  <si>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Tato Paryono</t>
  </si>
  <si>
    <t>150421-001</t>
  </si>
  <si>
    <t>Wijaya Juwandi</t>
  </si>
  <si>
    <t>060814-002</t>
  </si>
  <si>
    <t>Andre Yusuf Nugraha</t>
  </si>
  <si>
    <t>040814-501</t>
  </si>
  <si>
    <t xml:space="preserve">Titin Suhartini </t>
  </si>
  <si>
    <t>201014-001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</si>
  <si>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</si>
  <si>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</si>
  <si>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</si>
  <si>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</si>
  <si>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</si>
  <si>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</si>
  <si>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</si>
  <si>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</si>
  <si>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</si>
  <si>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</si>
  <si>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</si>
  <si>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</si>
  <si>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</si>
  <si>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</si>
  <si>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Dewi Sinta</t>
  </si>
  <si>
    <t>050814-030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</si>
  <si>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</si>
  <si>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</si>
  <si>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</si>
  <si>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</si>
  <si>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</si>
  <si>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</si>
  <si>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</si>
  <si>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</si>
  <si>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</si>
  <si>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</si>
  <si>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</si>
  <si>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</si>
  <si>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</si>
  <si>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</si>
  <si>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</si>
  <si>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</si>
  <si>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</si>
  <si>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</si>
  <si>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</si>
  <si>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</si>
  <si>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</si>
  <si>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</si>
  <si>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>Rizki Aprilia</t>
  </si>
  <si>
    <t>271117-001</t>
  </si>
  <si>
    <t xml:space="preserve">Resti Haryani Sudrajat </t>
  </si>
  <si>
    <t>220618-001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</si>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</sst>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LIP%20GAJI%20MA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 slip"/>
      <sheetName val="Sheet1"/>
      <sheetName val="SLIP GAJI"/>
      <sheetName val="gaji"/>
    </sheetNames>
    <sheetDataSet>
      <sheetData sheetId="0">
        <row r="1">
          <cell r="F1" t="str">
            <v>NIK</v>
          </cell>
          <cell r="G1" t="str">
            <v>STATUS</v>
          </cell>
          <cell r="H1" t="str">
            <v>LEVEL</v>
          </cell>
          <cell r="I1" t="str">
            <v>BAGIAN</v>
          </cell>
          <cell r="J1" t="str">
            <v>DB</v>
          </cell>
          <cell r="L1" t="str">
            <v>JOIN</v>
          </cell>
          <cell r="M1" t="str">
            <v>MK</v>
          </cell>
          <cell r="Q1" t="str">
            <v>FIXED SALARY (KESEPAKATAN 2020)</v>
          </cell>
          <cell r="R1" t="str">
            <v>FIXED SALARY (NOVEMBER 2020)</v>
          </cell>
          <cell r="S1" t="str">
            <v>FIXED SALARY (UMSK 2020)</v>
          </cell>
          <cell r="T1" t="str">
            <v>JOB STRUCTURE ALLOWANCE</v>
          </cell>
          <cell r="U1" t="str">
            <v>SKILL ALLOWANCE</v>
          </cell>
          <cell r="V1" t="str">
            <v>PERFORMANCE ALLOWANCE 2020</v>
          </cell>
          <cell r="W1" t="str">
            <v>TOTAL</v>
          </cell>
          <cell r="X1" t="str">
            <v>WORKDAYS</v>
          </cell>
          <cell r="AB1" t="str">
            <v>CEK</v>
          </cell>
          <cell r="AC1" t="str">
            <v xml:space="preserve">SALARY </v>
          </cell>
          <cell r="AD1" t="str">
            <v>SALARY</v>
          </cell>
          <cell r="AE1" t="str">
            <v xml:space="preserve">TOTAL SALARY </v>
          </cell>
          <cell r="AF1" t="str">
            <v>POT OFF</v>
          </cell>
          <cell r="AG1" t="str">
            <v>CEK</v>
          </cell>
          <cell r="AH1" t="str">
            <v>CEK</v>
          </cell>
          <cell r="AJ1" t="str">
            <v xml:space="preserve">BACK PAY ( RAPEL) </v>
          </cell>
          <cell r="AK1" t="str">
            <v>TOTAL</v>
          </cell>
          <cell r="AL1" t="str">
            <v>PERHITUNGAN PPh</v>
          </cell>
          <cell r="AN1" t="str">
            <v>TAX</v>
          </cell>
          <cell r="AO1" t="str">
            <v>RETURND</v>
          </cell>
          <cell r="AP1" t="str">
            <v>ABSEN</v>
          </cell>
          <cell r="AR1" t="str">
            <v>DEDUCTION</v>
          </cell>
          <cell r="AV1" t="str">
            <v>BPJS</v>
          </cell>
          <cell r="AW1" t="str">
            <v>BPJS KETENAGAKERJAAN</v>
          </cell>
          <cell r="AY1" t="str">
            <v>TOTAL</v>
          </cell>
          <cell r="AZ1" t="str">
            <v>TOTAL</v>
          </cell>
          <cell r="BA1" t="str">
            <v>INSENTIF</v>
          </cell>
          <cell r="BB1" t="str">
            <v>WITH INSENTIF PPh21</v>
          </cell>
        </row>
        <row r="2">
          <cell r="F2" t="str">
            <v>SAI</v>
          </cell>
          <cell r="G2" t="str">
            <v>KONTRAK</v>
          </cell>
          <cell r="J2" t="str">
            <v>DATEJOIN</v>
          </cell>
          <cell r="K2" t="str">
            <v>CHECK</v>
          </cell>
          <cell r="L2" t="str">
            <v>DATE</v>
          </cell>
          <cell r="M2" t="str">
            <v>YEAR</v>
          </cell>
          <cell r="N2" t="str">
            <v>MONTH</v>
          </cell>
          <cell r="O2" t="str">
            <v>DAY</v>
          </cell>
          <cell r="W2" t="str">
            <v>SALARY</v>
          </cell>
          <cell r="X2" t="str">
            <v>ON</v>
          </cell>
          <cell r="Y2" t="str">
            <v>OFF</v>
          </cell>
          <cell r="Z2" t="str">
            <v>ON</v>
          </cell>
          <cell r="AA2" t="str">
            <v>OFF</v>
          </cell>
          <cell r="AB2" t="str">
            <v>WORKINGDAYS</v>
          </cell>
          <cell r="AC2" t="str">
            <v>PERIODE 25-31 JAN</v>
          </cell>
          <cell r="AD2" t="str">
            <v xml:space="preserve"> PERIODE 1-24 FEB</v>
          </cell>
          <cell r="AE2" t="str">
            <v>(COVID-19)</v>
          </cell>
          <cell r="AJ2" t="str">
            <v>/ INCENTIVE</v>
          </cell>
          <cell r="AK2" t="str">
            <v xml:space="preserve">RECIEVED       </v>
          </cell>
          <cell r="AL2" t="str">
            <v>STATUS</v>
          </cell>
          <cell r="AM2" t="str">
            <v xml:space="preserve">TOTAL    GROSS </v>
          </cell>
          <cell r="AN2">
            <v>21</v>
          </cell>
          <cell r="AO2" t="str">
            <v>TAX JAN 2021</v>
          </cell>
          <cell r="AP2" t="str">
            <v>DAY</v>
          </cell>
          <cell r="AQ2" t="str">
            <v>( Rp )</v>
          </cell>
          <cell r="AR2" t="str">
            <v>UNION</v>
          </cell>
          <cell r="AS2" t="str">
            <v>OTHERS</v>
          </cell>
          <cell r="AT2" t="str">
            <v>PPh21</v>
          </cell>
          <cell r="AU2" t="str">
            <v>KOPERASI</v>
          </cell>
          <cell r="AV2" t="str">
            <v>KESEHATAN</v>
          </cell>
          <cell r="AW2" t="str">
            <v>JHT</v>
          </cell>
          <cell r="AX2" t="str">
            <v>PENSIUN</v>
          </cell>
          <cell r="AY2" t="str">
            <v>DEDUCTION</v>
          </cell>
          <cell r="AZ2" t="str">
            <v>PAID</v>
          </cell>
          <cell r="BA2" t="str">
            <v>PPh21</v>
          </cell>
          <cell r="BB2" t="str">
            <v>TOTAL DEDUCTION</v>
          </cell>
          <cell r="BC2" t="str">
            <v>TOTAL PAID</v>
          </cell>
        </row>
        <row r="3">
          <cell r="F3" t="str">
            <v>050421-001</v>
          </cell>
          <cell r="G3" t="str">
            <v>Kontrak 1</v>
          </cell>
          <cell r="H3" t="str">
            <v>Specialist</v>
          </cell>
          <cell r="I3" t="str">
            <v>SQEMS</v>
          </cell>
          <cell r="L3">
            <v>44291</v>
          </cell>
          <cell r="M3">
            <v>0</v>
          </cell>
          <cell r="N3">
            <v>1</v>
          </cell>
          <cell r="O3">
            <v>19</v>
          </cell>
          <cell r="S3">
            <v>5250000</v>
          </cell>
          <cell r="T3">
            <v>1000000</v>
          </cell>
          <cell r="U3">
            <v>0</v>
          </cell>
          <cell r="V3">
            <v>0</v>
          </cell>
          <cell r="W3">
            <v>6250000</v>
          </cell>
          <cell r="X3">
            <v>5</v>
          </cell>
          <cell r="Z3">
            <v>16</v>
          </cell>
          <cell r="AB3">
            <v>21</v>
          </cell>
          <cell r="AC3">
            <v>1488095.2380952381</v>
          </cell>
          <cell r="AD3">
            <v>4761904.7619047621</v>
          </cell>
          <cell r="AE3">
            <v>6250000</v>
          </cell>
          <cell r="AF3">
            <v>0</v>
          </cell>
          <cell r="AG3">
            <v>6250000</v>
          </cell>
          <cell r="AH3" t="b">
            <v>1</v>
          </cell>
          <cell r="AK3">
            <v>6250000</v>
          </cell>
          <cell r="AL3" t="str">
            <v>TK</v>
          </cell>
          <cell r="AM3">
            <v>6250000</v>
          </cell>
          <cell r="AN3">
            <v>78376.5625</v>
          </cell>
          <cell r="AQ3">
            <v>0</v>
          </cell>
          <cell r="AR3">
            <v>38000</v>
          </cell>
          <cell r="AS3">
            <v>31700</v>
          </cell>
          <cell r="AV3">
            <v>62500</v>
          </cell>
          <cell r="AW3">
            <v>125000</v>
          </cell>
          <cell r="AX3">
            <v>62500</v>
          </cell>
          <cell r="AY3">
            <v>398077</v>
          </cell>
          <cell r="AZ3">
            <v>5851923</v>
          </cell>
          <cell r="BA3">
            <v>78376.5625</v>
          </cell>
          <cell r="BB3">
            <v>319700</v>
          </cell>
          <cell r="BC3">
            <v>5930300</v>
          </cell>
        </row>
        <row r="4">
          <cell r="F4" t="str">
            <v>040521-001</v>
          </cell>
          <cell r="G4" t="str">
            <v>Kontrak 1</v>
          </cell>
          <cell r="H4" t="str">
            <v>Translator</v>
          </cell>
          <cell r="I4" t="str">
            <v>Thailand Team</v>
          </cell>
          <cell r="L4">
            <v>44294</v>
          </cell>
          <cell r="M4">
            <v>0</v>
          </cell>
          <cell r="N4">
            <v>1</v>
          </cell>
          <cell r="O4">
            <v>16</v>
          </cell>
          <cell r="S4">
            <v>10819503</v>
          </cell>
          <cell r="T4">
            <v>25220.286713286714</v>
          </cell>
          <cell r="U4">
            <v>0</v>
          </cell>
          <cell r="V4">
            <v>0</v>
          </cell>
          <cell r="W4">
            <v>11537524.562727274</v>
          </cell>
          <cell r="X4">
            <v>5</v>
          </cell>
          <cell r="Z4">
            <v>16</v>
          </cell>
          <cell r="AB4">
            <v>21</v>
          </cell>
          <cell r="AC4">
            <v>2747029.6577922078</v>
          </cell>
          <cell r="AD4">
            <v>8790494.9049350657</v>
          </cell>
          <cell r="AE4">
            <v>11537524.562727273</v>
          </cell>
          <cell r="AF4">
            <v>0</v>
          </cell>
          <cell r="AG4">
            <v>11537524.562727273</v>
          </cell>
          <cell r="AH4" t="b">
            <v>1</v>
          </cell>
          <cell r="AK4">
            <v>11537524.562727273</v>
          </cell>
          <cell r="AL4" t="str">
            <v>TK</v>
          </cell>
          <cell r="AM4">
            <v>11537524.562727273</v>
          </cell>
          <cell r="AN4">
            <v>549943.92539871053</v>
          </cell>
          <cell r="AQ4">
            <v>0</v>
          </cell>
          <cell r="AS4">
            <v>31700</v>
          </cell>
          <cell r="AV4">
            <v>0</v>
          </cell>
          <cell r="AW4">
            <v>230750.49125454549</v>
          </cell>
          <cell r="AX4">
            <v>0</v>
          </cell>
          <cell r="AY4">
            <v>812394</v>
          </cell>
          <cell r="AZ4">
            <v>10725131</v>
          </cell>
          <cell r="BA4">
            <v>0</v>
          </cell>
          <cell r="BB4">
            <v>812394</v>
          </cell>
          <cell r="BC4">
            <v>10725131</v>
          </cell>
        </row>
        <row r="5">
          <cell r="F5" t="str">
            <v>180918-001</v>
          </cell>
          <cell r="G5" t="str">
            <v>Kontrak 2</v>
          </cell>
          <cell r="H5" t="str">
            <v>Pelaksana</v>
          </cell>
          <cell r="I5" t="str">
            <v>HR &amp; GA</v>
          </cell>
          <cell r="J5">
            <v>43361</v>
          </cell>
          <cell r="K5" t="b">
            <v>1</v>
          </cell>
          <cell r="L5">
            <v>43361</v>
          </cell>
          <cell r="M5">
            <v>2</v>
          </cell>
          <cell r="N5">
            <v>8</v>
          </cell>
          <cell r="O5">
            <v>6</v>
          </cell>
          <cell r="Q5">
            <v>5343082</v>
          </cell>
          <cell r="R5">
            <v>4924046</v>
          </cell>
          <cell r="S5">
            <v>5343083</v>
          </cell>
          <cell r="T5">
            <v>0</v>
          </cell>
          <cell r="U5">
            <v>0</v>
          </cell>
          <cell r="V5">
            <v>0</v>
          </cell>
          <cell r="W5">
            <v>5343083</v>
          </cell>
          <cell r="X5">
            <v>5</v>
          </cell>
          <cell r="Z5">
            <v>16</v>
          </cell>
          <cell r="AB5">
            <v>21</v>
          </cell>
          <cell r="AC5">
            <v>1272162.6190476192</v>
          </cell>
          <cell r="AD5">
            <v>4070920.3809523811</v>
          </cell>
          <cell r="AE5">
            <v>5343083</v>
          </cell>
          <cell r="AF5">
            <v>0</v>
          </cell>
          <cell r="AG5">
            <v>5343083</v>
          </cell>
          <cell r="AH5" t="b">
            <v>1</v>
          </cell>
          <cell r="AK5">
            <v>5343083</v>
          </cell>
          <cell r="AL5" t="str">
            <v>K2</v>
          </cell>
          <cell r="AM5">
            <v>5343083</v>
          </cell>
          <cell r="AN5">
            <v>0</v>
          </cell>
          <cell r="AQ5">
            <v>0</v>
          </cell>
          <cell r="AS5">
            <v>31700</v>
          </cell>
          <cell r="AV5">
            <v>53430.83</v>
          </cell>
          <cell r="AW5">
            <v>106861.66</v>
          </cell>
          <cell r="AX5">
            <v>53430.83</v>
          </cell>
          <cell r="AY5">
            <v>245423</v>
          </cell>
          <cell r="AZ5">
            <v>5097660</v>
          </cell>
          <cell r="BA5">
            <v>0</v>
          </cell>
          <cell r="BB5">
            <v>245423</v>
          </cell>
          <cell r="BC5">
            <v>5097660</v>
          </cell>
        </row>
        <row r="6">
          <cell r="F6" t="str">
            <v>250321-003</v>
          </cell>
          <cell r="G6" t="str">
            <v>Kontrak 1</v>
          </cell>
          <cell r="H6" t="str">
            <v>Driver</v>
          </cell>
          <cell r="I6" t="str">
            <v>HR &amp; GA</v>
          </cell>
          <cell r="L6">
            <v>44280</v>
          </cell>
          <cell r="M6">
            <v>0</v>
          </cell>
          <cell r="N6">
            <v>1</v>
          </cell>
          <cell r="O6">
            <v>29</v>
          </cell>
          <cell r="S6">
            <v>5343083</v>
          </cell>
          <cell r="T6">
            <v>0</v>
          </cell>
          <cell r="U6">
            <v>0</v>
          </cell>
          <cell r="V6">
            <v>835300</v>
          </cell>
          <cell r="W6">
            <v>6178383</v>
          </cell>
          <cell r="X6">
            <v>5</v>
          </cell>
          <cell r="Z6">
            <v>16</v>
          </cell>
          <cell r="AB6">
            <v>21</v>
          </cell>
          <cell r="AC6">
            <v>1471043.5714285714</v>
          </cell>
          <cell r="AD6">
            <v>4707339.4285714282</v>
          </cell>
          <cell r="AE6">
            <v>6178383</v>
          </cell>
          <cell r="AF6">
            <v>0</v>
          </cell>
          <cell r="AG6">
            <v>6178383</v>
          </cell>
          <cell r="AH6" t="b">
            <v>1</v>
          </cell>
          <cell r="AK6">
            <v>6178383</v>
          </cell>
          <cell r="AL6" t="str">
            <v>K2</v>
          </cell>
          <cell r="AM6">
            <v>6178383</v>
          </cell>
          <cell r="AN6">
            <v>18650.255415749987</v>
          </cell>
          <cell r="AQ6">
            <v>0</v>
          </cell>
          <cell r="AS6">
            <v>31700</v>
          </cell>
          <cell r="AV6">
            <v>61783.83</v>
          </cell>
          <cell r="AW6">
            <v>123567.66</v>
          </cell>
          <cell r="AX6">
            <v>61783.83</v>
          </cell>
          <cell r="AY6">
            <v>297486</v>
          </cell>
          <cell r="AZ6">
            <v>5880897</v>
          </cell>
          <cell r="BA6">
            <v>18650.255415749987</v>
          </cell>
          <cell r="BB6">
            <v>278835</v>
          </cell>
          <cell r="BC6">
            <v>5899548</v>
          </cell>
        </row>
        <row r="7">
          <cell r="F7" t="str">
            <v>240918-001</v>
          </cell>
          <cell r="G7" t="str">
            <v>Kontrak 2</v>
          </cell>
          <cell r="H7" t="str">
            <v>Specialist</v>
          </cell>
          <cell r="I7" t="str">
            <v>Thailand Team</v>
          </cell>
          <cell r="J7">
            <v>43367</v>
          </cell>
          <cell r="K7" t="b">
            <v>1</v>
          </cell>
          <cell r="L7">
            <v>43367</v>
          </cell>
          <cell r="M7">
            <v>2</v>
          </cell>
          <cell r="N7">
            <v>8</v>
          </cell>
          <cell r="O7">
            <v>0</v>
          </cell>
          <cell r="Q7">
            <v>25034870</v>
          </cell>
          <cell r="R7">
            <v>25034870</v>
          </cell>
          <cell r="S7">
            <v>25034870</v>
          </cell>
          <cell r="T7">
            <v>58356.340326340323</v>
          </cell>
          <cell r="U7">
            <v>0</v>
          </cell>
          <cell r="V7">
            <v>0</v>
          </cell>
          <cell r="W7">
            <v>26696275.009090908</v>
          </cell>
          <cell r="X7">
            <v>5</v>
          </cell>
          <cell r="Z7">
            <v>16</v>
          </cell>
          <cell r="AB7">
            <v>21</v>
          </cell>
          <cell r="AC7">
            <v>6356255.9545454551</v>
          </cell>
          <cell r="AD7">
            <v>20340019.054545455</v>
          </cell>
          <cell r="AE7">
            <v>26696275.009090908</v>
          </cell>
          <cell r="AF7">
            <v>0</v>
          </cell>
          <cell r="AG7">
            <v>26696275.009090908</v>
          </cell>
          <cell r="AH7" t="b">
            <v>1</v>
          </cell>
          <cell r="AK7">
            <v>26696275.009090908</v>
          </cell>
          <cell r="AL7" t="str">
            <v>TK</v>
          </cell>
          <cell r="AM7">
            <v>26696275.009090908</v>
          </cell>
          <cell r="AN7">
            <v>2990008.7953793183</v>
          </cell>
          <cell r="AQ7">
            <v>0</v>
          </cell>
          <cell r="AS7">
            <v>31700</v>
          </cell>
          <cell r="AV7">
            <v>120000</v>
          </cell>
          <cell r="AW7">
            <v>533925.50018181815</v>
          </cell>
          <cell r="AX7">
            <v>0</v>
          </cell>
          <cell r="AY7">
            <v>3675634</v>
          </cell>
          <cell r="AZ7">
            <v>23020641</v>
          </cell>
          <cell r="BA7">
            <v>0</v>
          </cell>
          <cell r="BB7">
            <v>3675634</v>
          </cell>
          <cell r="BC7">
            <v>23020641</v>
          </cell>
        </row>
        <row r="8">
          <cell r="F8" t="str">
            <v>291118-001</v>
          </cell>
          <cell r="G8" t="str">
            <v>Kontrak 2</v>
          </cell>
          <cell r="H8" t="str">
            <v>Secretary</v>
          </cell>
          <cell r="I8" t="str">
            <v>Thailand Team</v>
          </cell>
          <cell r="J8">
            <v>43433</v>
          </cell>
          <cell r="K8" t="b">
            <v>1</v>
          </cell>
          <cell r="L8">
            <v>43433</v>
          </cell>
          <cell r="M8">
            <v>2</v>
          </cell>
          <cell r="N8">
            <v>5</v>
          </cell>
          <cell r="O8">
            <v>25</v>
          </cell>
          <cell r="Q8">
            <v>14000000</v>
          </cell>
          <cell r="R8">
            <v>14000000</v>
          </cell>
          <cell r="S8">
            <v>14000000</v>
          </cell>
          <cell r="T8">
            <v>32634.032634032636</v>
          </cell>
          <cell r="U8">
            <v>0</v>
          </cell>
          <cell r="V8">
            <v>0</v>
          </cell>
          <cell r="W8">
            <v>14929090.90909091</v>
          </cell>
          <cell r="X8">
            <v>5</v>
          </cell>
          <cell r="Z8">
            <v>16</v>
          </cell>
          <cell r="AB8">
            <v>21</v>
          </cell>
          <cell r="AC8">
            <v>3554545.4545454546</v>
          </cell>
          <cell r="AD8">
            <v>11374545.454545455</v>
          </cell>
          <cell r="AE8">
            <v>14929090.90909091</v>
          </cell>
          <cell r="AF8">
            <v>0</v>
          </cell>
          <cell r="AG8">
            <v>14929090.90909091</v>
          </cell>
          <cell r="AH8" t="b">
            <v>1</v>
          </cell>
          <cell r="AK8">
            <v>14929090.90909091</v>
          </cell>
          <cell r="AL8" t="str">
            <v>TK</v>
          </cell>
          <cell r="AM8">
            <v>14929090.90909091</v>
          </cell>
          <cell r="AN8">
            <v>1126558.1242424243</v>
          </cell>
          <cell r="AQ8">
            <v>0</v>
          </cell>
          <cell r="AS8">
            <v>31700</v>
          </cell>
          <cell r="AV8">
            <v>120000</v>
          </cell>
          <cell r="AW8">
            <v>298581.81818181823</v>
          </cell>
          <cell r="AX8">
            <v>0</v>
          </cell>
          <cell r="AY8">
            <v>1576840</v>
          </cell>
          <cell r="AZ8">
            <v>13352251</v>
          </cell>
          <cell r="BA8">
            <v>0</v>
          </cell>
          <cell r="BB8">
            <v>1576840</v>
          </cell>
          <cell r="BC8">
            <v>13352251</v>
          </cell>
        </row>
        <row r="11">
          <cell r="L11">
            <v>44340</v>
          </cell>
          <cell r="Q11">
            <v>419037</v>
          </cell>
          <cell r="R11">
            <v>5343082</v>
          </cell>
          <cell r="S11">
            <v>5343083</v>
          </cell>
          <cell r="T11" t="str">
            <v>UMK 2020</v>
          </cell>
          <cell r="X11" t="str">
            <v>MARET</v>
          </cell>
          <cell r="Z11" t="str">
            <v>APRIL</v>
          </cell>
          <cell r="AC11">
            <v>0.25</v>
          </cell>
          <cell r="AD11">
            <v>0.25</v>
          </cell>
          <cell r="AX11">
            <v>8754600</v>
          </cell>
        </row>
        <row r="12">
          <cell r="F12" t="str">
            <v>NIK</v>
          </cell>
          <cell r="G12" t="str">
            <v>STATUS</v>
          </cell>
          <cell r="H12" t="str">
            <v>LEVEL</v>
          </cell>
          <cell r="I12" t="str">
            <v>BAGIAN</v>
          </cell>
          <cell r="J12" t="str">
            <v>DB</v>
          </cell>
          <cell r="L12" t="str">
            <v>JOIN</v>
          </cell>
          <cell r="M12" t="str">
            <v>MK</v>
          </cell>
          <cell r="Q12" t="str">
            <v>FIXED SALARY (KESEPAKATAN 2020)</v>
          </cell>
          <cell r="R12" t="str">
            <v>FIXED SALARY (NOVEMBER 2020)</v>
          </cell>
          <cell r="S12" t="str">
            <v>FIXED SALARY (UMSK 2020)</v>
          </cell>
          <cell r="T12" t="str">
            <v>JOB STRUCTURE ALLOWANCE</v>
          </cell>
          <cell r="U12" t="str">
            <v>SKILL ALLOWANCE</v>
          </cell>
          <cell r="V12" t="str">
            <v>PERFORMANCE ALLOWANCE 2020</v>
          </cell>
          <cell r="W12" t="str">
            <v>TOTAL</v>
          </cell>
          <cell r="X12" t="str">
            <v>WORKDAYS</v>
          </cell>
          <cell r="AB12" t="str">
            <v>CEK</v>
          </cell>
          <cell r="AC12" t="str">
            <v xml:space="preserve">SALARY </v>
          </cell>
          <cell r="AD12" t="str">
            <v>SALARY</v>
          </cell>
          <cell r="AE12" t="str">
            <v xml:space="preserve">TOTAL SALARY </v>
          </cell>
          <cell r="AF12" t="str">
            <v>POT OFF</v>
          </cell>
          <cell r="AG12" t="str">
            <v>CEK</v>
          </cell>
          <cell r="AH12" t="str">
            <v>CEK</v>
          </cell>
          <cell r="AJ12" t="str">
            <v xml:space="preserve">BACK PAY ( RAPEL) </v>
          </cell>
          <cell r="AK12" t="str">
            <v>TOTAL</v>
          </cell>
          <cell r="AL12" t="str">
            <v>PERHITUNGAN PPh</v>
          </cell>
          <cell r="AN12" t="str">
            <v>TAX</v>
          </cell>
          <cell r="AO12" t="str">
            <v>RETURND</v>
          </cell>
          <cell r="AP12" t="str">
            <v>ABSEN</v>
          </cell>
          <cell r="AR12" t="str">
            <v>DEDUCTION</v>
          </cell>
          <cell r="AV12" t="str">
            <v>BPJS</v>
          </cell>
          <cell r="AW12" t="str">
            <v>BPJS KETENAGAKERJAAN</v>
          </cell>
          <cell r="AY12" t="str">
            <v>TOTAL</v>
          </cell>
          <cell r="AZ12" t="str">
            <v>TOTAL</v>
          </cell>
          <cell r="BA12" t="str">
            <v>INSENTIF</v>
          </cell>
          <cell r="BB12" t="str">
            <v>WITH INSENTIF PPh21</v>
          </cell>
        </row>
        <row r="13">
          <cell r="F13" t="str">
            <v>SAI</v>
          </cell>
          <cell r="G13" t="str">
            <v>KONTRAK</v>
          </cell>
          <cell r="J13" t="str">
            <v>DATEJOIN</v>
          </cell>
          <cell r="K13" t="str">
            <v>CHECK</v>
          </cell>
          <cell r="L13" t="str">
            <v>DATE</v>
          </cell>
          <cell r="M13" t="str">
            <v>YEAR</v>
          </cell>
          <cell r="N13" t="str">
            <v>MONTH</v>
          </cell>
          <cell r="O13" t="str">
            <v>DAY</v>
          </cell>
          <cell r="W13" t="str">
            <v>SALARY</v>
          </cell>
          <cell r="X13" t="str">
            <v>ON</v>
          </cell>
          <cell r="Y13" t="str">
            <v>OFF</v>
          </cell>
          <cell r="Z13" t="str">
            <v>ON</v>
          </cell>
          <cell r="AA13" t="str">
            <v>OFF</v>
          </cell>
          <cell r="AB13" t="str">
            <v>WORKINGDAYS</v>
          </cell>
          <cell r="AC13" t="str">
            <v>PERIODE 25-31 MAR</v>
          </cell>
          <cell r="AD13" t="str">
            <v xml:space="preserve"> PERIODE 1-24 APRIL</v>
          </cell>
          <cell r="AE13" t="str">
            <v>(COVID-19)</v>
          </cell>
          <cell r="AJ13" t="str">
            <v>/ INCENTIVE</v>
          </cell>
          <cell r="AK13" t="str">
            <v xml:space="preserve">RECIEVED       </v>
          </cell>
          <cell r="AL13" t="str">
            <v>STATUS</v>
          </cell>
          <cell r="AM13" t="str">
            <v xml:space="preserve">TOTAL    GROSS </v>
          </cell>
          <cell r="AN13">
            <v>21</v>
          </cell>
          <cell r="AO13" t="str">
            <v>TAX JAN 2021</v>
          </cell>
          <cell r="AP13" t="str">
            <v>DAY</v>
          </cell>
          <cell r="AQ13" t="str">
            <v>( Rp )</v>
          </cell>
          <cell r="AR13" t="str">
            <v>UNION</v>
          </cell>
          <cell r="AS13" t="str">
            <v>RAPID TEST</v>
          </cell>
          <cell r="AT13" t="str">
            <v>OTHERS</v>
          </cell>
          <cell r="AU13" t="str">
            <v>KOPERASI</v>
          </cell>
          <cell r="AV13" t="str">
            <v>KESEHATAN</v>
          </cell>
          <cell r="AW13" t="str">
            <v>JHT</v>
          </cell>
          <cell r="AX13" t="str">
            <v>PENSIUN</v>
          </cell>
          <cell r="AY13" t="str">
            <v>DEDUCTION</v>
          </cell>
          <cell r="AZ13" t="str">
            <v>PAID</v>
          </cell>
          <cell r="BA13" t="str">
            <v>PPh21</v>
          </cell>
          <cell r="BB13" t="str">
            <v>TOTAL DEDUCTION</v>
          </cell>
          <cell r="BC13" t="str">
            <v>TOTAL PAID</v>
          </cell>
        </row>
        <row r="14">
          <cell r="F14" t="str">
            <v>040814-017</v>
          </cell>
          <cell r="G14" t="str">
            <v>Tetap</v>
          </cell>
          <cell r="H14" t="str">
            <v>Sect. Head</v>
          </cell>
          <cell r="I14" t="str">
            <v>Prod. Stamping</v>
          </cell>
          <cell r="J14">
            <v>41855</v>
          </cell>
          <cell r="K14" t="b">
            <v>1</v>
          </cell>
          <cell r="L14">
            <v>41855</v>
          </cell>
          <cell r="M14">
            <v>6</v>
          </cell>
          <cell r="N14">
            <v>9</v>
          </cell>
          <cell r="O14">
            <v>20</v>
          </cell>
          <cell r="Q14">
            <v>5487922</v>
          </cell>
          <cell r="R14">
            <v>5487922</v>
          </cell>
          <cell r="S14">
            <v>5487922</v>
          </cell>
          <cell r="T14">
            <v>1500000</v>
          </cell>
          <cell r="U14">
            <v>0</v>
          </cell>
          <cell r="V14">
            <v>213723</v>
          </cell>
          <cell r="W14">
            <v>7201645</v>
          </cell>
          <cell r="X14">
            <v>5</v>
          </cell>
          <cell r="Z14">
            <v>16</v>
          </cell>
          <cell r="AB14">
            <v>21</v>
          </cell>
          <cell r="AC14">
            <v>1714677.3809523811</v>
          </cell>
          <cell r="AD14">
            <v>5486967.6190476194</v>
          </cell>
          <cell r="AE14">
            <v>7201645</v>
          </cell>
          <cell r="AF14">
            <v>0</v>
          </cell>
          <cell r="AG14">
            <v>7201645</v>
          </cell>
          <cell r="AH14" t="b">
            <v>1</v>
          </cell>
          <cell r="AK14">
            <v>7201645</v>
          </cell>
          <cell r="AL14" t="str">
            <v>K2</v>
          </cell>
          <cell r="AM14">
            <v>7201645</v>
          </cell>
          <cell r="AN14">
            <v>68319.648711249974</v>
          </cell>
          <cell r="AQ14">
            <v>0</v>
          </cell>
          <cell r="AR14">
            <v>38000</v>
          </cell>
          <cell r="AS14">
            <v>31700</v>
          </cell>
          <cell r="AU14">
            <v>10000</v>
          </cell>
          <cell r="AV14">
            <v>72016.45</v>
          </cell>
          <cell r="AW14">
            <v>144032.9</v>
          </cell>
          <cell r="AX14">
            <v>72016.45</v>
          </cell>
          <cell r="AY14">
            <v>436085</v>
          </cell>
          <cell r="AZ14">
            <v>6765560</v>
          </cell>
          <cell r="BA14">
            <v>68319.648711249974</v>
          </cell>
          <cell r="BB14">
            <v>367766</v>
          </cell>
          <cell r="BC14">
            <v>6833879</v>
          </cell>
        </row>
        <row r="15">
          <cell r="F15" t="str">
            <v>290816-005</v>
          </cell>
          <cell r="G15" t="str">
            <v>Tetap</v>
          </cell>
          <cell r="H15" t="str">
            <v>Sect. Head</v>
          </cell>
          <cell r="I15" t="str">
            <v>Prod. Stamping</v>
          </cell>
          <cell r="J15">
            <v>42611</v>
          </cell>
          <cell r="K15" t="b">
            <v>1</v>
          </cell>
          <cell r="L15">
            <v>42611</v>
          </cell>
          <cell r="M15">
            <v>4</v>
          </cell>
          <cell r="N15">
            <v>8</v>
          </cell>
          <cell r="O15">
            <v>25</v>
          </cell>
          <cell r="Q15">
            <v>5343082</v>
          </cell>
          <cell r="R15">
            <v>5343083</v>
          </cell>
          <cell r="S15">
            <v>5343083</v>
          </cell>
          <cell r="T15">
            <v>750000</v>
          </cell>
          <cell r="U15">
            <v>0</v>
          </cell>
          <cell r="V15">
            <v>213723</v>
          </cell>
          <cell r="W15">
            <v>6306806</v>
          </cell>
          <cell r="X15">
            <v>5</v>
          </cell>
          <cell r="Z15">
            <v>16</v>
          </cell>
          <cell r="AB15">
            <v>21</v>
          </cell>
          <cell r="AC15">
            <v>1501620.4761904762</v>
          </cell>
          <cell r="AD15">
            <v>4805185.5238095243</v>
          </cell>
          <cell r="AE15">
            <v>6306806</v>
          </cell>
          <cell r="AF15">
            <v>0</v>
          </cell>
          <cell r="AG15">
            <v>6306806</v>
          </cell>
          <cell r="AH15" t="b">
            <v>1</v>
          </cell>
          <cell r="AK15">
            <v>6306806</v>
          </cell>
          <cell r="AL15" t="str">
            <v>K2</v>
          </cell>
          <cell r="AM15">
            <v>6306806</v>
          </cell>
          <cell r="AN15">
            <v>24883.939941500066</v>
          </cell>
          <cell r="AQ15">
            <v>0</v>
          </cell>
          <cell r="AR15">
            <v>38000</v>
          </cell>
          <cell r="AS15">
            <v>31700</v>
          </cell>
          <cell r="AV15">
            <v>63068.060000000005</v>
          </cell>
          <cell r="AW15">
            <v>126136.12000000001</v>
          </cell>
          <cell r="AX15">
            <v>63068.060000000005</v>
          </cell>
          <cell r="AY15">
            <v>346856</v>
          </cell>
          <cell r="AZ15">
            <v>5959950</v>
          </cell>
          <cell r="BA15">
            <v>24883.939941500066</v>
          </cell>
          <cell r="BB15">
            <v>321972</v>
          </cell>
          <cell r="BC15">
            <v>5984834</v>
          </cell>
        </row>
        <row r="16">
          <cell r="F16" t="str">
            <v>070316-002</v>
          </cell>
          <cell r="G16" t="str">
            <v>Tetap</v>
          </cell>
          <cell r="H16" t="str">
            <v>Leader</v>
          </cell>
          <cell r="I16" t="str">
            <v>Prod. Stamping</v>
          </cell>
          <cell r="J16">
            <v>42436</v>
          </cell>
          <cell r="K16" t="b">
            <v>1</v>
          </cell>
          <cell r="L16">
            <v>42436</v>
          </cell>
          <cell r="M16">
            <v>5</v>
          </cell>
          <cell r="N16">
            <v>2</v>
          </cell>
          <cell r="O16">
            <v>17</v>
          </cell>
          <cell r="Q16">
            <v>5343082</v>
          </cell>
          <cell r="R16">
            <v>4924046</v>
          </cell>
          <cell r="S16">
            <v>5343083</v>
          </cell>
          <cell r="T16">
            <v>300000</v>
          </cell>
          <cell r="U16">
            <v>0</v>
          </cell>
          <cell r="V16">
            <v>0</v>
          </cell>
          <cell r="W16">
            <v>5643083</v>
          </cell>
          <cell r="X16">
            <v>5</v>
          </cell>
          <cell r="Z16">
            <v>16</v>
          </cell>
          <cell r="AB16">
            <v>21</v>
          </cell>
          <cell r="AC16">
            <v>1343591.1904761905</v>
          </cell>
          <cell r="AD16">
            <v>4299491.8095238097</v>
          </cell>
          <cell r="AE16">
            <v>5643083</v>
          </cell>
          <cell r="AF16">
            <v>0</v>
          </cell>
          <cell r="AG16">
            <v>5643083</v>
          </cell>
          <cell r="AH16" t="b">
            <v>1</v>
          </cell>
          <cell r="AK16">
            <v>5643083</v>
          </cell>
          <cell r="AL16" t="str">
            <v>K2</v>
          </cell>
          <cell r="AM16">
            <v>5643083</v>
          </cell>
          <cell r="AN16">
            <v>0</v>
          </cell>
          <cell r="AQ16">
            <v>0</v>
          </cell>
          <cell r="AR16">
            <v>38000</v>
          </cell>
          <cell r="AS16">
            <v>31700</v>
          </cell>
          <cell r="AV16">
            <v>56430.83</v>
          </cell>
          <cell r="AW16">
            <v>112861.66</v>
          </cell>
          <cell r="AX16">
            <v>56430.83</v>
          </cell>
          <cell r="AY16">
            <v>295423</v>
          </cell>
          <cell r="AZ16">
            <v>5347660</v>
          </cell>
          <cell r="BA16">
            <v>0</v>
          </cell>
          <cell r="BB16">
            <v>295423</v>
          </cell>
          <cell r="BC16">
            <v>5347660</v>
          </cell>
        </row>
        <row r="17">
          <cell r="F17" t="str">
            <v>140920-001</v>
          </cell>
          <cell r="G17" t="str">
            <v>Recall Kontrak 1</v>
          </cell>
          <cell r="H17" t="str">
            <v>Leader</v>
          </cell>
          <cell r="I17" t="str">
            <v>Prod. Stamping</v>
          </cell>
          <cell r="J17">
            <v>44088</v>
          </cell>
          <cell r="K17" t="b">
            <v>1</v>
          </cell>
          <cell r="L17">
            <v>44088</v>
          </cell>
          <cell r="M17">
            <v>0</v>
          </cell>
          <cell r="N17">
            <v>8</v>
          </cell>
          <cell r="O17">
            <v>10</v>
          </cell>
          <cell r="Q17">
            <v>5343082</v>
          </cell>
          <cell r="R17">
            <v>4924046</v>
          </cell>
          <cell r="S17">
            <v>5343083</v>
          </cell>
          <cell r="T17">
            <v>300000</v>
          </cell>
          <cell r="U17">
            <v>0</v>
          </cell>
          <cell r="V17">
            <v>0</v>
          </cell>
          <cell r="W17">
            <v>5643083</v>
          </cell>
          <cell r="X17">
            <v>5</v>
          </cell>
          <cell r="Z17">
            <v>16</v>
          </cell>
          <cell r="AB17">
            <v>21</v>
          </cell>
          <cell r="AC17">
            <v>1343591.1904761905</v>
          </cell>
          <cell r="AD17">
            <v>4299491.8095238097</v>
          </cell>
          <cell r="AE17">
            <v>5643083</v>
          </cell>
          <cell r="AF17">
            <v>0</v>
          </cell>
          <cell r="AG17">
            <v>5643083</v>
          </cell>
          <cell r="AH17" t="b">
            <v>1</v>
          </cell>
          <cell r="AK17">
            <v>5643083</v>
          </cell>
          <cell r="AL17" t="str">
            <v>K1</v>
          </cell>
          <cell r="AM17">
            <v>5643083</v>
          </cell>
          <cell r="AN17">
            <v>11416.65959074997</v>
          </cell>
          <cell r="AQ17">
            <v>0</v>
          </cell>
          <cell r="AS17">
            <v>31700</v>
          </cell>
          <cell r="AV17">
            <v>56430.83</v>
          </cell>
          <cell r="AW17">
            <v>112861.66</v>
          </cell>
          <cell r="AX17">
            <v>56430.83</v>
          </cell>
          <cell r="AY17">
            <v>268840</v>
          </cell>
          <cell r="AZ17">
            <v>5374243</v>
          </cell>
          <cell r="BA17">
            <v>11416.65959074997</v>
          </cell>
          <cell r="BB17">
            <v>257423</v>
          </cell>
          <cell r="BC17">
            <v>5385660</v>
          </cell>
        </row>
        <row r="18">
          <cell r="F18" t="str">
            <v>040116-001</v>
          </cell>
          <cell r="G18" t="str">
            <v>Tetap</v>
          </cell>
          <cell r="H18" t="str">
            <v>Leader</v>
          </cell>
          <cell r="I18" t="str">
            <v>Prod. Stamping</v>
          </cell>
          <cell r="J18">
            <v>42373</v>
          </cell>
          <cell r="K18" t="b">
            <v>1</v>
          </cell>
          <cell r="L18">
            <v>42373</v>
          </cell>
          <cell r="M18">
            <v>5</v>
          </cell>
          <cell r="N18">
            <v>4</v>
          </cell>
          <cell r="O18">
            <v>20</v>
          </cell>
          <cell r="Q18">
            <v>5343082</v>
          </cell>
          <cell r="R18">
            <v>4924046</v>
          </cell>
          <cell r="S18">
            <v>5343083</v>
          </cell>
          <cell r="T18">
            <v>300000</v>
          </cell>
          <cell r="U18">
            <v>0</v>
          </cell>
          <cell r="V18">
            <v>0</v>
          </cell>
          <cell r="W18">
            <v>5643083</v>
          </cell>
          <cell r="X18">
            <v>5</v>
          </cell>
          <cell r="Z18">
            <v>16</v>
          </cell>
          <cell r="AB18">
            <v>21</v>
          </cell>
          <cell r="AC18">
            <v>1343591.1904761905</v>
          </cell>
          <cell r="AD18">
            <v>4299491.8095238097</v>
          </cell>
          <cell r="AE18">
            <v>5643083</v>
          </cell>
          <cell r="AF18">
            <v>0</v>
          </cell>
          <cell r="AG18">
            <v>5643083</v>
          </cell>
          <cell r="AH18" t="b">
            <v>1</v>
          </cell>
          <cell r="AK18">
            <v>5643083</v>
          </cell>
          <cell r="AL18" t="str">
            <v>K3</v>
          </cell>
          <cell r="AM18">
            <v>5643083</v>
          </cell>
          <cell r="AN18">
            <v>0</v>
          </cell>
          <cell r="AQ18">
            <v>0</v>
          </cell>
          <cell r="AR18">
            <v>38000</v>
          </cell>
          <cell r="AS18">
            <v>31700</v>
          </cell>
          <cell r="AU18">
            <v>10000</v>
          </cell>
          <cell r="AV18">
            <v>56430.83</v>
          </cell>
          <cell r="AW18">
            <v>112861.66</v>
          </cell>
          <cell r="AX18">
            <v>56430.83</v>
          </cell>
          <cell r="AY18">
            <v>305423</v>
          </cell>
          <cell r="AZ18">
            <v>5337660</v>
          </cell>
          <cell r="BA18">
            <v>0</v>
          </cell>
          <cell r="BB18">
            <v>305423</v>
          </cell>
          <cell r="BC18">
            <v>5337660</v>
          </cell>
        </row>
        <row r="19">
          <cell r="F19" t="str">
            <v>040814-024</v>
          </cell>
          <cell r="G19" t="str">
            <v>Tetap</v>
          </cell>
          <cell r="H19" t="str">
            <v>Leader</v>
          </cell>
          <cell r="I19" t="str">
            <v>Prod. Stamping</v>
          </cell>
          <cell r="J19">
            <v>41855</v>
          </cell>
          <cell r="K19" t="b">
            <v>1</v>
          </cell>
          <cell r="L19">
            <v>41855</v>
          </cell>
          <cell r="M19">
            <v>6</v>
          </cell>
          <cell r="N19">
            <v>9</v>
          </cell>
          <cell r="O19">
            <v>20</v>
          </cell>
          <cell r="Q19">
            <v>5343082</v>
          </cell>
          <cell r="R19">
            <v>4924046</v>
          </cell>
          <cell r="S19">
            <v>5343083</v>
          </cell>
          <cell r="T19">
            <v>400000</v>
          </cell>
          <cell r="U19">
            <v>0</v>
          </cell>
          <cell r="V19">
            <v>0</v>
          </cell>
          <cell r="W19">
            <v>5743083</v>
          </cell>
          <cell r="X19">
            <v>5</v>
          </cell>
          <cell r="Z19">
            <v>16</v>
          </cell>
          <cell r="AB19">
            <v>21</v>
          </cell>
          <cell r="AC19">
            <v>1367400.7142857141</v>
          </cell>
          <cell r="AD19">
            <v>4375682.2857142854</v>
          </cell>
          <cell r="AE19">
            <v>5743083</v>
          </cell>
          <cell r="AF19">
            <v>0</v>
          </cell>
          <cell r="AG19">
            <v>5743083</v>
          </cell>
          <cell r="AH19" t="b">
            <v>1</v>
          </cell>
          <cell r="AK19">
            <v>5743083</v>
          </cell>
          <cell r="AL19" t="str">
            <v>TK</v>
          </cell>
          <cell r="AM19">
            <v>5743083</v>
          </cell>
          <cell r="AN19">
            <v>53770.684590749974</v>
          </cell>
          <cell r="AQ19">
            <v>0</v>
          </cell>
          <cell r="AR19">
            <v>38000</v>
          </cell>
          <cell r="AS19">
            <v>31700</v>
          </cell>
          <cell r="AV19">
            <v>57430.83</v>
          </cell>
          <cell r="AW19">
            <v>114861.66</v>
          </cell>
          <cell r="AX19">
            <v>57430.83</v>
          </cell>
          <cell r="AY19">
            <v>353194</v>
          </cell>
          <cell r="AZ19">
            <v>5389889</v>
          </cell>
          <cell r="BA19">
            <v>53770.684590749974</v>
          </cell>
          <cell r="BB19">
            <v>299423</v>
          </cell>
          <cell r="BC19">
            <v>5443660</v>
          </cell>
        </row>
        <row r="20">
          <cell r="F20" t="str">
            <v>040816-013</v>
          </cell>
          <cell r="G20" t="str">
            <v>Tetap</v>
          </cell>
          <cell r="H20" t="str">
            <v>Leader</v>
          </cell>
          <cell r="I20" t="str">
            <v>Prod. Stamping</v>
          </cell>
          <cell r="J20">
            <v>42586</v>
          </cell>
          <cell r="K20" t="b">
            <v>1</v>
          </cell>
          <cell r="L20">
            <v>42586</v>
          </cell>
          <cell r="M20">
            <v>4</v>
          </cell>
          <cell r="N20">
            <v>9</v>
          </cell>
          <cell r="O20">
            <v>20</v>
          </cell>
          <cell r="Q20">
            <v>5343082</v>
          </cell>
          <cell r="R20">
            <v>4924046</v>
          </cell>
          <cell r="S20">
            <v>5343083</v>
          </cell>
          <cell r="T20">
            <v>500000</v>
          </cell>
          <cell r="U20">
            <v>0</v>
          </cell>
          <cell r="V20">
            <v>0</v>
          </cell>
          <cell r="W20">
            <v>5843083</v>
          </cell>
          <cell r="X20">
            <v>5</v>
          </cell>
          <cell r="Z20">
            <v>16</v>
          </cell>
          <cell r="AB20">
            <v>21</v>
          </cell>
          <cell r="AC20">
            <v>1391210.2380952381</v>
          </cell>
          <cell r="AD20">
            <v>4451872.7619047621</v>
          </cell>
          <cell r="AE20">
            <v>5843083</v>
          </cell>
          <cell r="AF20">
            <v>0</v>
          </cell>
          <cell r="AG20">
            <v>5843083</v>
          </cell>
          <cell r="AH20" t="b">
            <v>1</v>
          </cell>
          <cell r="AK20">
            <v>5843083</v>
          </cell>
          <cell r="AL20" t="str">
            <v>K1</v>
          </cell>
          <cell r="AM20">
            <v>5843083</v>
          </cell>
          <cell r="AN20">
            <v>21124.709590749942</v>
          </cell>
          <cell r="AQ20">
            <v>0</v>
          </cell>
          <cell r="AR20">
            <v>38000</v>
          </cell>
          <cell r="AS20">
            <v>31700</v>
          </cell>
          <cell r="AU20">
            <v>10000</v>
          </cell>
          <cell r="AV20">
            <v>58430.83</v>
          </cell>
          <cell r="AW20">
            <v>116861.66</v>
          </cell>
          <cell r="AX20">
            <v>58430.83</v>
          </cell>
          <cell r="AY20">
            <v>334548</v>
          </cell>
          <cell r="AZ20">
            <v>5508535</v>
          </cell>
          <cell r="BA20">
            <v>21124.709590749942</v>
          </cell>
          <cell r="BB20">
            <v>313423</v>
          </cell>
          <cell r="BC20">
            <v>5529660</v>
          </cell>
        </row>
        <row r="21">
          <cell r="F21" t="str">
            <v>040817-001</v>
          </cell>
          <cell r="G21" t="str">
            <v>Tetap</v>
          </cell>
          <cell r="H21" t="str">
            <v>Leader</v>
          </cell>
          <cell r="I21" t="str">
            <v>Prod. Stamping</v>
          </cell>
          <cell r="J21">
            <v>42951</v>
          </cell>
          <cell r="K21" t="b">
            <v>1</v>
          </cell>
          <cell r="L21">
            <v>42951</v>
          </cell>
          <cell r="M21">
            <v>3</v>
          </cell>
          <cell r="N21">
            <v>9</v>
          </cell>
          <cell r="O21">
            <v>20</v>
          </cell>
          <cell r="Q21">
            <v>5343082</v>
          </cell>
          <cell r="R21">
            <v>4924046</v>
          </cell>
          <cell r="S21">
            <v>5343083</v>
          </cell>
          <cell r="T21">
            <v>300000</v>
          </cell>
          <cell r="U21">
            <v>0</v>
          </cell>
          <cell r="V21">
            <v>0</v>
          </cell>
          <cell r="W21">
            <v>5643083</v>
          </cell>
          <cell r="X21">
            <v>5</v>
          </cell>
          <cell r="Z21">
            <v>16</v>
          </cell>
          <cell r="AB21">
            <v>21</v>
          </cell>
          <cell r="AC21">
            <v>1343591.1904761905</v>
          </cell>
          <cell r="AD21">
            <v>4299491.8095238097</v>
          </cell>
          <cell r="AE21">
            <v>5643083</v>
          </cell>
          <cell r="AF21">
            <v>0</v>
          </cell>
          <cell r="AG21">
            <v>5643083</v>
          </cell>
          <cell r="AH21" t="b">
            <v>1</v>
          </cell>
          <cell r="AK21">
            <v>5643083</v>
          </cell>
          <cell r="AL21" t="str">
            <v>K1</v>
          </cell>
          <cell r="AM21">
            <v>5374365</v>
          </cell>
          <cell r="AN21">
            <v>0</v>
          </cell>
          <cell r="AP21">
            <v>1</v>
          </cell>
          <cell r="AQ21">
            <v>268718</v>
          </cell>
          <cell r="AR21">
            <v>38000</v>
          </cell>
          <cell r="AS21">
            <v>31700</v>
          </cell>
          <cell r="AU21">
            <v>10000</v>
          </cell>
          <cell r="AV21">
            <v>56430.83</v>
          </cell>
          <cell r="AW21">
            <v>112861.66</v>
          </cell>
          <cell r="AX21">
            <v>56430.83</v>
          </cell>
          <cell r="AY21">
            <v>574141</v>
          </cell>
          <cell r="AZ21">
            <v>5068942</v>
          </cell>
          <cell r="BA21">
            <v>0</v>
          </cell>
          <cell r="BB21">
            <v>574141</v>
          </cell>
          <cell r="BC21">
            <v>5068942</v>
          </cell>
        </row>
        <row r="22">
          <cell r="F22" t="str">
            <v>040814-100</v>
          </cell>
          <cell r="G22" t="str">
            <v>Tetap</v>
          </cell>
          <cell r="H22" t="str">
            <v>Leader</v>
          </cell>
          <cell r="I22" t="str">
            <v>Prod. Stamping</v>
          </cell>
          <cell r="J22">
            <v>41855</v>
          </cell>
          <cell r="K22" t="b">
            <v>1</v>
          </cell>
          <cell r="L22">
            <v>41855</v>
          </cell>
          <cell r="M22">
            <v>6</v>
          </cell>
          <cell r="N22">
            <v>9</v>
          </cell>
          <cell r="O22">
            <v>20</v>
          </cell>
          <cell r="Q22">
            <v>5343082</v>
          </cell>
          <cell r="R22">
            <v>4924046</v>
          </cell>
          <cell r="S22">
            <v>5343083</v>
          </cell>
          <cell r="T22">
            <v>500000</v>
          </cell>
          <cell r="U22">
            <v>0</v>
          </cell>
          <cell r="V22">
            <v>0</v>
          </cell>
          <cell r="W22">
            <v>5843083</v>
          </cell>
          <cell r="X22">
            <v>5</v>
          </cell>
          <cell r="Z22">
            <v>16</v>
          </cell>
          <cell r="AB22">
            <v>21</v>
          </cell>
          <cell r="AC22">
            <v>1391210.2380952381</v>
          </cell>
          <cell r="AD22">
            <v>4451872.7619047621</v>
          </cell>
          <cell r="AE22">
            <v>5843083</v>
          </cell>
          <cell r="AF22">
            <v>0</v>
          </cell>
          <cell r="AG22">
            <v>5843083</v>
          </cell>
          <cell r="AH22" t="b">
            <v>1</v>
          </cell>
          <cell r="AK22">
            <v>5843083</v>
          </cell>
          <cell r="AL22" t="str">
            <v>K1</v>
          </cell>
          <cell r="AM22">
            <v>5843083</v>
          </cell>
          <cell r="AN22">
            <v>21124.709590749942</v>
          </cell>
          <cell r="AQ22">
            <v>0</v>
          </cell>
          <cell r="AR22">
            <v>38000</v>
          </cell>
          <cell r="AS22">
            <v>31700</v>
          </cell>
          <cell r="AU22">
            <v>10000</v>
          </cell>
          <cell r="AV22">
            <v>58430.83</v>
          </cell>
          <cell r="AW22">
            <v>116861.66</v>
          </cell>
          <cell r="AX22">
            <v>58430.83</v>
          </cell>
          <cell r="AY22">
            <v>334548</v>
          </cell>
          <cell r="AZ22">
            <v>5508535</v>
          </cell>
          <cell r="BA22">
            <v>21124.709590749942</v>
          </cell>
          <cell r="BB22">
            <v>313423</v>
          </cell>
          <cell r="BC22">
            <v>5529660</v>
          </cell>
        </row>
        <row r="23">
          <cell r="F23" t="str">
            <v>080817-003</v>
          </cell>
          <cell r="G23" t="str">
            <v>Tetap</v>
          </cell>
          <cell r="H23" t="str">
            <v>Leader</v>
          </cell>
          <cell r="I23" t="str">
            <v>Prod. Stamping</v>
          </cell>
          <cell r="J23">
            <v>42955</v>
          </cell>
          <cell r="K23" t="b">
            <v>1</v>
          </cell>
          <cell r="L23">
            <v>42955</v>
          </cell>
          <cell r="M23">
            <v>3</v>
          </cell>
          <cell r="N23">
            <v>9</v>
          </cell>
          <cell r="O23">
            <v>16</v>
          </cell>
          <cell r="Q23">
            <v>5343082</v>
          </cell>
          <cell r="R23">
            <v>4924046</v>
          </cell>
          <cell r="S23">
            <v>5343083</v>
          </cell>
          <cell r="T23">
            <v>300000</v>
          </cell>
          <cell r="U23">
            <v>0</v>
          </cell>
          <cell r="V23">
            <v>0</v>
          </cell>
          <cell r="W23">
            <v>5643083</v>
          </cell>
          <cell r="X23">
            <v>5</v>
          </cell>
          <cell r="Z23">
            <v>16</v>
          </cell>
          <cell r="AB23">
            <v>21</v>
          </cell>
          <cell r="AC23">
            <v>1343591.1904761905</v>
          </cell>
          <cell r="AD23">
            <v>4299491.8095238097</v>
          </cell>
          <cell r="AE23">
            <v>5643083</v>
          </cell>
          <cell r="AF23">
            <v>0</v>
          </cell>
          <cell r="AG23">
            <v>5643083</v>
          </cell>
          <cell r="AH23" t="b">
            <v>1</v>
          </cell>
          <cell r="AK23">
            <v>5643083</v>
          </cell>
          <cell r="AL23" t="str">
            <v>K3</v>
          </cell>
          <cell r="AM23">
            <v>5643083</v>
          </cell>
          <cell r="AN23">
            <v>0</v>
          </cell>
          <cell r="AQ23">
            <v>0</v>
          </cell>
          <cell r="AR23">
            <v>38000</v>
          </cell>
          <cell r="AS23">
            <v>31700</v>
          </cell>
          <cell r="AV23">
            <v>56430.83</v>
          </cell>
          <cell r="AW23">
            <v>112861.66</v>
          </cell>
          <cell r="AX23">
            <v>56430.83</v>
          </cell>
          <cell r="AY23">
            <v>295423</v>
          </cell>
          <cell r="AZ23">
            <v>5347660</v>
          </cell>
          <cell r="BA23">
            <v>0</v>
          </cell>
          <cell r="BB23">
            <v>295423</v>
          </cell>
          <cell r="BC23">
            <v>5347660</v>
          </cell>
        </row>
        <row r="24">
          <cell r="F24" t="str">
            <v>070817-003</v>
          </cell>
          <cell r="G24" t="str">
            <v>Tetap</v>
          </cell>
          <cell r="H24" t="str">
            <v>Leader</v>
          </cell>
          <cell r="I24" t="str">
            <v>Prod. Stamping</v>
          </cell>
          <cell r="J24">
            <v>42954</v>
          </cell>
          <cell r="K24" t="b">
            <v>1</v>
          </cell>
          <cell r="L24">
            <v>42954</v>
          </cell>
          <cell r="M24">
            <v>3</v>
          </cell>
          <cell r="N24">
            <v>9</v>
          </cell>
          <cell r="O24">
            <v>17</v>
          </cell>
          <cell r="Q24">
            <v>5343082</v>
          </cell>
          <cell r="R24">
            <v>4924046</v>
          </cell>
          <cell r="S24">
            <v>5343083</v>
          </cell>
          <cell r="T24">
            <v>500000</v>
          </cell>
          <cell r="U24">
            <v>0</v>
          </cell>
          <cell r="V24">
            <v>0</v>
          </cell>
          <cell r="W24">
            <v>5843083</v>
          </cell>
          <cell r="X24">
            <v>5</v>
          </cell>
          <cell r="Z24">
            <v>16</v>
          </cell>
          <cell r="AB24">
            <v>21</v>
          </cell>
          <cell r="AC24">
            <v>1391210.2380952381</v>
          </cell>
          <cell r="AD24">
            <v>4451872.7619047621</v>
          </cell>
          <cell r="AE24">
            <v>5843083</v>
          </cell>
          <cell r="AF24">
            <v>0</v>
          </cell>
          <cell r="AG24">
            <v>5843083</v>
          </cell>
          <cell r="AH24" t="b">
            <v>1</v>
          </cell>
          <cell r="AK24">
            <v>5843083</v>
          </cell>
          <cell r="AL24" t="str">
            <v>K2</v>
          </cell>
          <cell r="AM24">
            <v>5843083</v>
          </cell>
          <cell r="AN24">
            <v>2374.7095907499393</v>
          </cell>
          <cell r="AQ24">
            <v>0</v>
          </cell>
          <cell r="AR24">
            <v>38000</v>
          </cell>
          <cell r="AS24">
            <v>31700</v>
          </cell>
          <cell r="AU24">
            <v>10000</v>
          </cell>
          <cell r="AV24">
            <v>58430.83</v>
          </cell>
          <cell r="AW24">
            <v>116861.66</v>
          </cell>
          <cell r="AX24">
            <v>58430.83</v>
          </cell>
          <cell r="AY24">
            <v>315798</v>
          </cell>
          <cell r="AZ24">
            <v>5527285</v>
          </cell>
          <cell r="BA24">
            <v>2374.7095907499393</v>
          </cell>
          <cell r="BB24">
            <v>313423</v>
          </cell>
          <cell r="BC24">
            <v>5529660</v>
          </cell>
        </row>
        <row r="25">
          <cell r="F25" t="str">
            <v>020718-019</v>
          </cell>
          <cell r="G25" t="str">
            <v>Kontrak 2</v>
          </cell>
          <cell r="H25" t="str">
            <v>Leader</v>
          </cell>
          <cell r="I25" t="str">
            <v>Prod. Stamping</v>
          </cell>
          <cell r="J25">
            <v>43283</v>
          </cell>
          <cell r="K25" t="b">
            <v>1</v>
          </cell>
          <cell r="L25">
            <v>43283</v>
          </cell>
          <cell r="M25">
            <v>2</v>
          </cell>
          <cell r="N25">
            <v>10</v>
          </cell>
          <cell r="O25">
            <v>22</v>
          </cell>
          <cell r="Q25">
            <v>5343082</v>
          </cell>
          <cell r="R25">
            <v>4924046</v>
          </cell>
          <cell r="S25">
            <v>5343083</v>
          </cell>
          <cell r="T25">
            <v>300000</v>
          </cell>
          <cell r="U25">
            <v>0</v>
          </cell>
          <cell r="V25">
            <v>0</v>
          </cell>
          <cell r="W25">
            <v>5643083</v>
          </cell>
          <cell r="X25">
            <v>5</v>
          </cell>
          <cell r="Z25">
            <v>16</v>
          </cell>
          <cell r="AB25">
            <v>21</v>
          </cell>
          <cell r="AC25">
            <v>1343591.1904761905</v>
          </cell>
          <cell r="AD25">
            <v>4299491.8095238097</v>
          </cell>
          <cell r="AE25">
            <v>5643083</v>
          </cell>
          <cell r="AF25">
            <v>0</v>
          </cell>
          <cell r="AG25">
            <v>5643083</v>
          </cell>
          <cell r="AH25" t="b">
            <v>1</v>
          </cell>
          <cell r="AK25">
            <v>5643083</v>
          </cell>
          <cell r="AL25" t="str">
            <v>K1</v>
          </cell>
          <cell r="AM25">
            <v>5643083</v>
          </cell>
          <cell r="AN25">
            <v>11416.65959074997</v>
          </cell>
          <cell r="AQ25">
            <v>0</v>
          </cell>
          <cell r="AS25">
            <v>31700</v>
          </cell>
          <cell r="AU25">
            <v>10000</v>
          </cell>
          <cell r="AV25">
            <v>56430.83</v>
          </cell>
          <cell r="AW25">
            <v>112861.66</v>
          </cell>
          <cell r="AX25">
            <v>56430.83</v>
          </cell>
          <cell r="AY25">
            <v>278840</v>
          </cell>
          <cell r="AZ25">
            <v>5364243</v>
          </cell>
          <cell r="BA25">
            <v>11416.65959074997</v>
          </cell>
          <cell r="BB25">
            <v>267423</v>
          </cell>
          <cell r="BC25">
            <v>5375660</v>
          </cell>
        </row>
        <row r="26">
          <cell r="F26" t="str">
            <v>200818-001</v>
          </cell>
          <cell r="G26" t="str">
            <v>Recall Kontrak 2</v>
          </cell>
          <cell r="H26" t="str">
            <v>Leader</v>
          </cell>
          <cell r="I26" t="str">
            <v>Prod. Stamping</v>
          </cell>
          <cell r="J26">
            <v>43332</v>
          </cell>
          <cell r="K26" t="b">
            <v>1</v>
          </cell>
          <cell r="L26">
            <v>43332</v>
          </cell>
          <cell r="M26">
            <v>2</v>
          </cell>
          <cell r="N26">
            <v>9</v>
          </cell>
          <cell r="O26">
            <v>4</v>
          </cell>
          <cell r="Q26">
            <v>5343082</v>
          </cell>
          <cell r="R26">
            <v>4924046</v>
          </cell>
          <cell r="S26">
            <v>5343083</v>
          </cell>
          <cell r="T26">
            <v>300000</v>
          </cell>
          <cell r="U26">
            <v>0</v>
          </cell>
          <cell r="V26">
            <v>0</v>
          </cell>
          <cell r="W26">
            <v>5643083</v>
          </cell>
          <cell r="X26">
            <v>5</v>
          </cell>
          <cell r="Z26">
            <v>16</v>
          </cell>
          <cell r="AB26">
            <v>21</v>
          </cell>
          <cell r="AC26">
            <v>1343591.1904761905</v>
          </cell>
          <cell r="AD26">
            <v>4299491.8095238097</v>
          </cell>
          <cell r="AE26">
            <v>5643083</v>
          </cell>
          <cell r="AF26">
            <v>0</v>
          </cell>
          <cell r="AG26">
            <v>5643083</v>
          </cell>
          <cell r="AH26" t="b">
            <v>1</v>
          </cell>
          <cell r="AK26">
            <v>5643083</v>
          </cell>
          <cell r="AL26" t="str">
            <v>K2</v>
          </cell>
          <cell r="AM26">
            <v>5643083</v>
          </cell>
          <cell r="AN26">
            <v>0</v>
          </cell>
          <cell r="AQ26">
            <v>0</v>
          </cell>
          <cell r="AR26">
            <v>38000</v>
          </cell>
          <cell r="AS26">
            <v>31700</v>
          </cell>
          <cell r="AU26">
            <v>10000</v>
          </cell>
          <cell r="AV26">
            <v>56430.83</v>
          </cell>
          <cell r="AW26">
            <v>112861.66</v>
          </cell>
          <cell r="AX26">
            <v>56430.83</v>
          </cell>
          <cell r="AY26">
            <v>305423</v>
          </cell>
          <cell r="AZ26">
            <v>5337660</v>
          </cell>
          <cell r="BA26">
            <v>0</v>
          </cell>
          <cell r="BB26">
            <v>305423</v>
          </cell>
          <cell r="BC26">
            <v>5337660</v>
          </cell>
        </row>
        <row r="27">
          <cell r="F27" t="str">
            <v>200818-010</v>
          </cell>
          <cell r="G27" t="str">
            <v>Kontrak 2</v>
          </cell>
          <cell r="H27" t="str">
            <v>Leader</v>
          </cell>
          <cell r="I27" t="str">
            <v>Prod. Stamping</v>
          </cell>
          <cell r="J27">
            <v>43333</v>
          </cell>
          <cell r="K27" t="b">
            <v>1</v>
          </cell>
          <cell r="L27">
            <v>43333</v>
          </cell>
          <cell r="M27">
            <v>2</v>
          </cell>
          <cell r="N27">
            <v>9</v>
          </cell>
          <cell r="O27">
            <v>3</v>
          </cell>
          <cell r="Q27">
            <v>5343082</v>
          </cell>
          <cell r="R27">
            <v>4924046</v>
          </cell>
          <cell r="S27">
            <v>5343083</v>
          </cell>
          <cell r="T27">
            <v>300000</v>
          </cell>
          <cell r="U27">
            <v>0</v>
          </cell>
          <cell r="V27">
            <v>0</v>
          </cell>
          <cell r="W27">
            <v>5643083</v>
          </cell>
          <cell r="X27">
            <v>5</v>
          </cell>
          <cell r="Z27">
            <v>16</v>
          </cell>
          <cell r="AB27">
            <v>21</v>
          </cell>
          <cell r="AC27">
            <v>1343591.1904761905</v>
          </cell>
          <cell r="AD27">
            <v>4299491.8095238097</v>
          </cell>
          <cell r="AE27">
            <v>5643083</v>
          </cell>
          <cell r="AF27">
            <v>0</v>
          </cell>
          <cell r="AG27">
            <v>5643083</v>
          </cell>
          <cell r="AH27" t="b">
            <v>1</v>
          </cell>
          <cell r="AK27">
            <v>5643083</v>
          </cell>
          <cell r="AL27" t="str">
            <v>K2</v>
          </cell>
          <cell r="AM27">
            <v>5643083</v>
          </cell>
          <cell r="AN27">
            <v>0</v>
          </cell>
          <cell r="AQ27">
            <v>0</v>
          </cell>
          <cell r="AR27">
            <v>38000</v>
          </cell>
          <cell r="AS27">
            <v>31700</v>
          </cell>
          <cell r="AU27">
            <v>10000</v>
          </cell>
          <cell r="AV27">
            <v>56430.83</v>
          </cell>
          <cell r="AW27">
            <v>112861.66</v>
          </cell>
          <cell r="AX27">
            <v>56430.83</v>
          </cell>
          <cell r="AY27">
            <v>305423</v>
          </cell>
          <cell r="AZ27">
            <v>5337660</v>
          </cell>
          <cell r="BA27">
            <v>0</v>
          </cell>
          <cell r="BB27">
            <v>305423</v>
          </cell>
          <cell r="BC27">
            <v>5337660</v>
          </cell>
        </row>
        <row r="28">
          <cell r="F28" t="str">
            <v>190916-007</v>
          </cell>
          <cell r="G28" t="str">
            <v>Tetap</v>
          </cell>
          <cell r="H28" t="str">
            <v>Leader</v>
          </cell>
          <cell r="I28" t="str">
            <v>Prod. Stamping</v>
          </cell>
          <cell r="J28">
            <v>42632</v>
          </cell>
          <cell r="K28" t="b">
            <v>1</v>
          </cell>
          <cell r="L28">
            <v>42632</v>
          </cell>
          <cell r="M28">
            <v>4</v>
          </cell>
          <cell r="N28">
            <v>8</v>
          </cell>
          <cell r="O28">
            <v>5</v>
          </cell>
          <cell r="Q28">
            <v>5343082</v>
          </cell>
          <cell r="R28">
            <v>4924046</v>
          </cell>
          <cell r="S28">
            <v>5343083</v>
          </cell>
          <cell r="T28">
            <v>300000</v>
          </cell>
          <cell r="U28">
            <v>0</v>
          </cell>
          <cell r="V28">
            <v>0</v>
          </cell>
          <cell r="W28">
            <v>5643083</v>
          </cell>
          <cell r="X28">
            <v>5</v>
          </cell>
          <cell r="Z28">
            <v>16</v>
          </cell>
          <cell r="AB28">
            <v>21</v>
          </cell>
          <cell r="AC28">
            <v>1343591.1904761905</v>
          </cell>
          <cell r="AD28">
            <v>4299491.8095238097</v>
          </cell>
          <cell r="AE28">
            <v>5643083</v>
          </cell>
          <cell r="AF28">
            <v>0</v>
          </cell>
          <cell r="AG28">
            <v>5643083</v>
          </cell>
          <cell r="AH28" t="b">
            <v>1</v>
          </cell>
          <cell r="AK28">
            <v>5643083</v>
          </cell>
          <cell r="AL28" t="str">
            <v>K3</v>
          </cell>
          <cell r="AM28">
            <v>5643083</v>
          </cell>
          <cell r="AN28">
            <v>0</v>
          </cell>
          <cell r="AQ28">
            <v>0</v>
          </cell>
          <cell r="AR28">
            <v>38000</v>
          </cell>
          <cell r="AS28">
            <v>31700</v>
          </cell>
          <cell r="AU28">
            <v>10000</v>
          </cell>
          <cell r="AV28">
            <v>56430.83</v>
          </cell>
          <cell r="AW28">
            <v>112861.66</v>
          </cell>
          <cell r="AX28">
            <v>56430.83</v>
          </cell>
          <cell r="AY28">
            <v>305423</v>
          </cell>
          <cell r="AZ28">
            <v>5337660</v>
          </cell>
          <cell r="BA28">
            <v>0</v>
          </cell>
          <cell r="BB28">
            <v>305423</v>
          </cell>
          <cell r="BC28">
            <v>5337660</v>
          </cell>
        </row>
        <row r="29">
          <cell r="F29" t="str">
            <v>040814-019</v>
          </cell>
          <cell r="G29" t="str">
            <v>Tetap</v>
          </cell>
          <cell r="H29" t="str">
            <v>Leader</v>
          </cell>
          <cell r="I29" t="str">
            <v>Prod. Stamping</v>
          </cell>
          <cell r="J29">
            <v>41855</v>
          </cell>
          <cell r="K29" t="b">
            <v>1</v>
          </cell>
          <cell r="L29">
            <v>41855</v>
          </cell>
          <cell r="M29">
            <v>6</v>
          </cell>
          <cell r="N29">
            <v>9</v>
          </cell>
          <cell r="O29">
            <v>20</v>
          </cell>
          <cell r="Q29">
            <v>5343082</v>
          </cell>
          <cell r="R29">
            <v>4924046</v>
          </cell>
          <cell r="S29">
            <v>5343083</v>
          </cell>
          <cell r="T29">
            <v>400000</v>
          </cell>
          <cell r="U29">
            <v>0</v>
          </cell>
          <cell r="V29">
            <v>0</v>
          </cell>
          <cell r="W29">
            <v>5743083</v>
          </cell>
          <cell r="X29">
            <v>5</v>
          </cell>
          <cell r="Z29">
            <v>16</v>
          </cell>
          <cell r="AB29">
            <v>21</v>
          </cell>
          <cell r="AC29">
            <v>1367400.7142857141</v>
          </cell>
          <cell r="AD29">
            <v>4375682.2857142854</v>
          </cell>
          <cell r="AE29">
            <v>5743083</v>
          </cell>
          <cell r="AF29">
            <v>0</v>
          </cell>
          <cell r="AG29">
            <v>5743083</v>
          </cell>
          <cell r="AH29" t="b">
            <v>1</v>
          </cell>
          <cell r="AK29">
            <v>5743083</v>
          </cell>
          <cell r="AL29" t="str">
            <v>K2</v>
          </cell>
          <cell r="AM29">
            <v>5743083</v>
          </cell>
          <cell r="AN29">
            <v>0</v>
          </cell>
          <cell r="AQ29">
            <v>0</v>
          </cell>
          <cell r="AR29">
            <v>38000</v>
          </cell>
          <cell r="AS29">
            <v>31700</v>
          </cell>
          <cell r="AU29">
            <v>10000</v>
          </cell>
          <cell r="AV29">
            <v>57430.83</v>
          </cell>
          <cell r="AW29">
            <v>114861.66</v>
          </cell>
          <cell r="AX29">
            <v>57430.83</v>
          </cell>
          <cell r="AY29">
            <v>309423</v>
          </cell>
          <cell r="AZ29">
            <v>5433660</v>
          </cell>
          <cell r="BA29">
            <v>0</v>
          </cell>
          <cell r="BB29">
            <v>309423</v>
          </cell>
          <cell r="BC29">
            <v>5433660</v>
          </cell>
        </row>
        <row r="30">
          <cell r="F30" t="str">
            <v>220917-005</v>
          </cell>
          <cell r="G30" t="str">
            <v>Tetap</v>
          </cell>
          <cell r="H30" t="str">
            <v>Leader</v>
          </cell>
          <cell r="I30" t="str">
            <v>Prod. Stamping</v>
          </cell>
          <cell r="J30">
            <v>43000</v>
          </cell>
          <cell r="K30" t="b">
            <v>1</v>
          </cell>
          <cell r="L30">
            <v>43000</v>
          </cell>
          <cell r="M30">
            <v>3</v>
          </cell>
          <cell r="N30">
            <v>8</v>
          </cell>
          <cell r="O30">
            <v>2</v>
          </cell>
          <cell r="Q30">
            <v>5343082</v>
          </cell>
          <cell r="R30">
            <v>4924046</v>
          </cell>
          <cell r="S30">
            <v>5343083</v>
          </cell>
          <cell r="T30">
            <v>500000</v>
          </cell>
          <cell r="U30">
            <v>0</v>
          </cell>
          <cell r="V30">
            <v>0</v>
          </cell>
          <cell r="W30">
            <v>5843083</v>
          </cell>
          <cell r="X30">
            <v>5</v>
          </cell>
          <cell r="Z30">
            <v>16</v>
          </cell>
          <cell r="AB30">
            <v>21</v>
          </cell>
          <cell r="AC30">
            <v>1391210.2380952381</v>
          </cell>
          <cell r="AD30">
            <v>4451872.7619047621</v>
          </cell>
          <cell r="AE30">
            <v>5843083</v>
          </cell>
          <cell r="AF30">
            <v>0</v>
          </cell>
          <cell r="AG30">
            <v>5843083</v>
          </cell>
          <cell r="AH30" t="b">
            <v>1</v>
          </cell>
          <cell r="AK30">
            <v>5843083</v>
          </cell>
          <cell r="AL30" t="str">
            <v>K2</v>
          </cell>
          <cell r="AM30">
            <v>5843083</v>
          </cell>
          <cell r="AN30">
            <v>2374.7095907499393</v>
          </cell>
          <cell r="AQ30">
            <v>0</v>
          </cell>
          <cell r="AS30">
            <v>31700</v>
          </cell>
          <cell r="AU30">
            <v>10000</v>
          </cell>
          <cell r="AV30">
            <v>58430.83</v>
          </cell>
          <cell r="AW30">
            <v>116861.66</v>
          </cell>
          <cell r="AX30">
            <v>58430.83</v>
          </cell>
          <cell r="AY30">
            <v>277798</v>
          </cell>
          <cell r="AZ30">
            <v>5565285</v>
          </cell>
          <cell r="BA30">
            <v>2374.7095907499393</v>
          </cell>
          <cell r="BB30">
            <v>275423</v>
          </cell>
          <cell r="BC30">
            <v>5567660</v>
          </cell>
        </row>
        <row r="31">
          <cell r="F31" t="str">
            <v>110817-006</v>
          </cell>
          <cell r="G31" t="str">
            <v>Tetap</v>
          </cell>
          <cell r="H31" t="str">
            <v>Leader</v>
          </cell>
          <cell r="I31" t="str">
            <v>Prod. Stamping</v>
          </cell>
          <cell r="J31">
            <v>42958</v>
          </cell>
          <cell r="K31" t="b">
            <v>1</v>
          </cell>
          <cell r="L31">
            <v>42958</v>
          </cell>
          <cell r="M31">
            <v>3</v>
          </cell>
          <cell r="N31">
            <v>9</v>
          </cell>
          <cell r="O31">
            <v>13</v>
          </cell>
          <cell r="Q31">
            <v>5343082</v>
          </cell>
          <cell r="R31">
            <v>4924046</v>
          </cell>
          <cell r="S31">
            <v>5343083</v>
          </cell>
          <cell r="T31">
            <v>300000</v>
          </cell>
          <cell r="U31">
            <v>0</v>
          </cell>
          <cell r="V31">
            <v>0</v>
          </cell>
          <cell r="W31">
            <v>5643083</v>
          </cell>
          <cell r="X31">
            <v>5</v>
          </cell>
          <cell r="Z31">
            <v>16</v>
          </cell>
          <cell r="AB31">
            <v>21</v>
          </cell>
          <cell r="AC31">
            <v>1343591.1904761905</v>
          </cell>
          <cell r="AD31">
            <v>4299491.8095238097</v>
          </cell>
          <cell r="AE31">
            <v>5643083</v>
          </cell>
          <cell r="AF31">
            <v>0</v>
          </cell>
          <cell r="AG31">
            <v>5643083</v>
          </cell>
          <cell r="AH31" t="b">
            <v>1</v>
          </cell>
          <cell r="AK31">
            <v>5643083</v>
          </cell>
          <cell r="AL31" t="str">
            <v>K1</v>
          </cell>
          <cell r="AM31">
            <v>5643083</v>
          </cell>
          <cell r="AN31">
            <v>11416.65959074997</v>
          </cell>
          <cell r="AQ31">
            <v>0</v>
          </cell>
          <cell r="AR31">
            <v>38000</v>
          </cell>
          <cell r="AS31">
            <v>31700</v>
          </cell>
          <cell r="AU31">
            <v>10000</v>
          </cell>
          <cell r="AV31">
            <v>56430.83</v>
          </cell>
          <cell r="AW31">
            <v>112861.66</v>
          </cell>
          <cell r="AX31">
            <v>56430.83</v>
          </cell>
          <cell r="AY31">
            <v>316840</v>
          </cell>
          <cell r="AZ31">
            <v>5326243</v>
          </cell>
          <cell r="BA31">
            <v>11416.65959074997</v>
          </cell>
          <cell r="BB31">
            <v>305423</v>
          </cell>
          <cell r="BC31">
            <v>5337660</v>
          </cell>
        </row>
        <row r="32">
          <cell r="F32" t="str">
            <v>141220-001</v>
          </cell>
          <cell r="G32" t="str">
            <v>Pembaharuan</v>
          </cell>
          <cell r="H32" t="str">
            <v>Leader</v>
          </cell>
          <cell r="I32" t="str">
            <v>Prod. Stamping</v>
          </cell>
          <cell r="J32">
            <v>0</v>
          </cell>
          <cell r="K32" t="b">
            <v>0</v>
          </cell>
          <cell r="L32">
            <v>44179</v>
          </cell>
          <cell r="M32">
            <v>0</v>
          </cell>
          <cell r="N32">
            <v>5</v>
          </cell>
          <cell r="O32">
            <v>10</v>
          </cell>
          <cell r="Q32">
            <v>5343082</v>
          </cell>
          <cell r="R32">
            <v>4924046</v>
          </cell>
          <cell r="S32">
            <v>5343083</v>
          </cell>
          <cell r="T32">
            <v>300000</v>
          </cell>
          <cell r="U32">
            <v>0</v>
          </cell>
          <cell r="V32">
            <v>0</v>
          </cell>
          <cell r="W32">
            <v>5643083</v>
          </cell>
          <cell r="X32">
            <v>5</v>
          </cell>
          <cell r="Z32">
            <v>16</v>
          </cell>
          <cell r="AB32">
            <v>21</v>
          </cell>
          <cell r="AC32">
            <v>1343591.1904761905</v>
          </cell>
          <cell r="AD32">
            <v>4299491.8095238097</v>
          </cell>
          <cell r="AE32">
            <v>5643083</v>
          </cell>
          <cell r="AF32">
            <v>0</v>
          </cell>
          <cell r="AG32">
            <v>5643083</v>
          </cell>
          <cell r="AH32" t="b">
            <v>1</v>
          </cell>
          <cell r="AK32">
            <v>5643083</v>
          </cell>
          <cell r="AL32" t="str">
            <v>K1</v>
          </cell>
          <cell r="AM32">
            <v>5643083</v>
          </cell>
          <cell r="AN32">
            <v>11416.65959074997</v>
          </cell>
          <cell r="AQ32">
            <v>0</v>
          </cell>
          <cell r="AR32">
            <v>38000</v>
          </cell>
          <cell r="AS32">
            <v>31700</v>
          </cell>
          <cell r="AU32">
            <v>10000</v>
          </cell>
          <cell r="AV32">
            <v>56430.83</v>
          </cell>
          <cell r="AW32">
            <v>112861.66</v>
          </cell>
          <cell r="AX32">
            <v>56430.83</v>
          </cell>
          <cell r="AY32">
            <v>316840</v>
          </cell>
          <cell r="AZ32">
            <v>5326243</v>
          </cell>
          <cell r="BA32">
            <v>11416.65959074997</v>
          </cell>
          <cell r="BB32">
            <v>305423</v>
          </cell>
          <cell r="BC32">
            <v>5337660</v>
          </cell>
        </row>
        <row r="33">
          <cell r="F33" t="str">
            <v>080817-002</v>
          </cell>
          <cell r="G33" t="str">
            <v>Tetap</v>
          </cell>
          <cell r="H33" t="str">
            <v>Leader</v>
          </cell>
          <cell r="I33" t="str">
            <v>Prod. Stamping</v>
          </cell>
          <cell r="J33">
            <v>42955</v>
          </cell>
          <cell r="K33" t="b">
            <v>1</v>
          </cell>
          <cell r="L33">
            <v>42955</v>
          </cell>
          <cell r="M33">
            <v>3</v>
          </cell>
          <cell r="N33">
            <v>9</v>
          </cell>
          <cell r="O33">
            <v>16</v>
          </cell>
          <cell r="Q33">
            <v>5343082</v>
          </cell>
          <cell r="R33">
            <v>4924046</v>
          </cell>
          <cell r="S33">
            <v>5343083</v>
          </cell>
          <cell r="T33">
            <v>300000</v>
          </cell>
          <cell r="U33">
            <v>0</v>
          </cell>
          <cell r="V33">
            <v>0</v>
          </cell>
          <cell r="W33">
            <v>5643083</v>
          </cell>
          <cell r="X33">
            <v>5</v>
          </cell>
          <cell r="Z33">
            <v>16</v>
          </cell>
          <cell r="AB33">
            <v>21</v>
          </cell>
          <cell r="AC33">
            <v>1343591.1904761905</v>
          </cell>
          <cell r="AD33">
            <v>4299491.8095238097</v>
          </cell>
          <cell r="AE33">
            <v>5643083</v>
          </cell>
          <cell r="AF33">
            <v>0</v>
          </cell>
          <cell r="AG33">
            <v>5643083</v>
          </cell>
          <cell r="AH33" t="b">
            <v>1</v>
          </cell>
          <cell r="AK33">
            <v>5643083</v>
          </cell>
          <cell r="AL33" t="str">
            <v>K2</v>
          </cell>
          <cell r="AM33">
            <v>5643083</v>
          </cell>
          <cell r="AN33">
            <v>0</v>
          </cell>
          <cell r="AQ33">
            <v>0</v>
          </cell>
          <cell r="AR33">
            <v>38000</v>
          </cell>
          <cell r="AS33">
            <v>31700</v>
          </cell>
          <cell r="AU33">
            <v>10000</v>
          </cell>
          <cell r="AV33">
            <v>56430.83</v>
          </cell>
          <cell r="AW33">
            <v>112861.66</v>
          </cell>
          <cell r="AX33">
            <v>56430.83</v>
          </cell>
          <cell r="AY33">
            <v>305423</v>
          </cell>
          <cell r="AZ33">
            <v>5337660</v>
          </cell>
          <cell r="BA33">
            <v>0</v>
          </cell>
          <cell r="BB33">
            <v>305423</v>
          </cell>
          <cell r="BC33">
            <v>5337660</v>
          </cell>
        </row>
        <row r="34">
          <cell r="F34" t="str">
            <v>040814-026</v>
          </cell>
          <cell r="G34" t="str">
            <v>Tetap</v>
          </cell>
          <cell r="H34" t="str">
            <v>Staff</v>
          </cell>
          <cell r="I34" t="str">
            <v>Prod. Stamping</v>
          </cell>
          <cell r="J34">
            <v>41855</v>
          </cell>
          <cell r="K34" t="b">
            <v>1</v>
          </cell>
          <cell r="L34">
            <v>41855</v>
          </cell>
          <cell r="M34">
            <v>6</v>
          </cell>
          <cell r="N34">
            <v>9</v>
          </cell>
          <cell r="O34">
            <v>20</v>
          </cell>
          <cell r="Q34">
            <v>5343082</v>
          </cell>
          <cell r="R34">
            <v>4924046</v>
          </cell>
          <cell r="S34">
            <v>5343083</v>
          </cell>
          <cell r="T34">
            <v>0</v>
          </cell>
          <cell r="U34">
            <v>0</v>
          </cell>
          <cell r="V34">
            <v>0</v>
          </cell>
          <cell r="W34">
            <v>5343083</v>
          </cell>
          <cell r="X34">
            <v>5</v>
          </cell>
          <cell r="Z34">
            <v>16</v>
          </cell>
          <cell r="AB34">
            <v>21</v>
          </cell>
          <cell r="AC34">
            <v>1272162.6190476192</v>
          </cell>
          <cell r="AD34">
            <v>4070920.3809523811</v>
          </cell>
          <cell r="AE34">
            <v>5343083</v>
          </cell>
          <cell r="AF34">
            <v>0</v>
          </cell>
          <cell r="AG34">
            <v>5343083</v>
          </cell>
          <cell r="AH34" t="b">
            <v>1</v>
          </cell>
          <cell r="AK34">
            <v>5343083</v>
          </cell>
          <cell r="AL34" t="str">
            <v>K2</v>
          </cell>
          <cell r="AM34">
            <v>5343083</v>
          </cell>
          <cell r="AN34">
            <v>0</v>
          </cell>
          <cell r="AQ34">
            <v>0</v>
          </cell>
          <cell r="AR34">
            <v>38000</v>
          </cell>
          <cell r="AS34">
            <v>31700</v>
          </cell>
          <cell r="AU34">
            <v>10000</v>
          </cell>
          <cell r="AV34">
            <v>53430.83</v>
          </cell>
          <cell r="AW34">
            <v>106861.66</v>
          </cell>
          <cell r="AX34">
            <v>53430.83</v>
          </cell>
          <cell r="AY34">
            <v>293423</v>
          </cell>
          <cell r="AZ34">
            <v>5049660</v>
          </cell>
          <cell r="BA34">
            <v>0</v>
          </cell>
          <cell r="BB34">
            <v>293423</v>
          </cell>
          <cell r="BC34">
            <v>5049660</v>
          </cell>
        </row>
        <row r="35">
          <cell r="F35" t="str">
            <v>020818-001</v>
          </cell>
          <cell r="G35" t="str">
            <v>Recall Kontrak 2</v>
          </cell>
          <cell r="H35" t="str">
            <v>Pelaksana</v>
          </cell>
          <cell r="I35" t="str">
            <v>Prod. Stamping</v>
          </cell>
          <cell r="J35">
            <v>43314</v>
          </cell>
          <cell r="K35" t="b">
            <v>1</v>
          </cell>
          <cell r="L35">
            <v>43314</v>
          </cell>
          <cell r="M35">
            <v>2</v>
          </cell>
          <cell r="N35">
            <v>9</v>
          </cell>
          <cell r="O35">
            <v>22</v>
          </cell>
          <cell r="Q35">
            <v>5343082</v>
          </cell>
          <cell r="R35">
            <v>4924046</v>
          </cell>
          <cell r="S35">
            <v>5343083</v>
          </cell>
          <cell r="T35">
            <v>0</v>
          </cell>
          <cell r="U35">
            <v>0</v>
          </cell>
          <cell r="V35">
            <v>0</v>
          </cell>
          <cell r="W35">
            <v>5343083</v>
          </cell>
          <cell r="X35">
            <v>5</v>
          </cell>
          <cell r="Z35">
            <v>16</v>
          </cell>
          <cell r="AB35">
            <v>21</v>
          </cell>
          <cell r="AC35">
            <v>1272162.6190476192</v>
          </cell>
          <cell r="AD35">
            <v>4070920.3809523811</v>
          </cell>
          <cell r="AE35">
            <v>5343083</v>
          </cell>
          <cell r="AF35">
            <v>0</v>
          </cell>
          <cell r="AG35">
            <v>5343083</v>
          </cell>
          <cell r="AH35" t="b">
            <v>1</v>
          </cell>
          <cell r="AK35">
            <v>5343083</v>
          </cell>
          <cell r="AL35" t="str">
            <v>K2</v>
          </cell>
          <cell r="AM35">
            <v>5343083</v>
          </cell>
          <cell r="AN35">
            <v>0</v>
          </cell>
          <cell r="AQ35">
            <v>0</v>
          </cell>
          <cell r="AR35">
            <v>38000</v>
          </cell>
          <cell r="AS35">
            <v>31700</v>
          </cell>
          <cell r="AV35">
            <v>53430.83</v>
          </cell>
          <cell r="AW35">
            <v>106861.66</v>
          </cell>
          <cell r="AX35">
            <v>53430.83</v>
          </cell>
          <cell r="AY35">
            <v>283423</v>
          </cell>
          <cell r="AZ35">
            <v>5059660</v>
          </cell>
          <cell r="BA35">
            <v>0</v>
          </cell>
          <cell r="BB35">
            <v>283423</v>
          </cell>
          <cell r="BC35">
            <v>5059660</v>
          </cell>
        </row>
        <row r="36">
          <cell r="F36" t="str">
            <v>140321-001</v>
          </cell>
          <cell r="G36" t="str">
            <v>Pembaharuan</v>
          </cell>
          <cell r="H36" t="str">
            <v>Pelaksana</v>
          </cell>
          <cell r="I36" t="str">
            <v>Prod. Stamping</v>
          </cell>
          <cell r="J36" t="e">
            <v>#N/A</v>
          </cell>
          <cell r="K36" t="e">
            <v>#N/A</v>
          </cell>
          <cell r="L36">
            <v>44269</v>
          </cell>
          <cell r="M36">
            <v>0</v>
          </cell>
          <cell r="N36">
            <v>2</v>
          </cell>
          <cell r="O36">
            <v>10</v>
          </cell>
          <cell r="Q36">
            <v>5343082</v>
          </cell>
          <cell r="R36">
            <v>4924046</v>
          </cell>
          <cell r="S36">
            <v>5343083</v>
          </cell>
          <cell r="T36">
            <v>0</v>
          </cell>
          <cell r="U36">
            <v>0</v>
          </cell>
          <cell r="V36">
            <v>0</v>
          </cell>
          <cell r="W36">
            <v>5343083</v>
          </cell>
          <cell r="X36">
            <v>5</v>
          </cell>
          <cell r="Z36">
            <v>16</v>
          </cell>
          <cell r="AB36">
            <v>21</v>
          </cell>
          <cell r="AC36">
            <v>1272162.6190476192</v>
          </cell>
          <cell r="AD36">
            <v>4070920.3809523811</v>
          </cell>
          <cell r="AE36">
            <v>5343083</v>
          </cell>
          <cell r="AF36">
            <v>0</v>
          </cell>
          <cell r="AG36">
            <v>5343083</v>
          </cell>
          <cell r="AH36" t="b">
            <v>1</v>
          </cell>
          <cell r="AK36">
            <v>5343083</v>
          </cell>
          <cell r="AL36" t="str">
            <v>TK</v>
          </cell>
          <cell r="AM36">
            <v>5343083</v>
          </cell>
          <cell r="AN36">
            <v>34354.584590750004</v>
          </cell>
          <cell r="AQ36">
            <v>0</v>
          </cell>
          <cell r="AU36">
            <v>10000</v>
          </cell>
          <cell r="AV36">
            <v>53430.83</v>
          </cell>
          <cell r="AW36">
            <v>106861.66</v>
          </cell>
          <cell r="AX36">
            <v>53430.83</v>
          </cell>
          <cell r="AY36">
            <v>258078</v>
          </cell>
          <cell r="AZ36">
            <v>5085005</v>
          </cell>
          <cell r="BA36">
            <v>34354.584590750004</v>
          </cell>
          <cell r="BB36">
            <v>223723</v>
          </cell>
          <cell r="BC36">
            <v>5119360</v>
          </cell>
        </row>
        <row r="37">
          <cell r="F37" t="str">
            <v>080819-021</v>
          </cell>
          <cell r="G37" t="str">
            <v>Recall Kontrak 1</v>
          </cell>
          <cell r="H37" t="str">
            <v>Pelaksana</v>
          </cell>
          <cell r="I37" t="str">
            <v>Prod. Stamping</v>
          </cell>
          <cell r="J37" t="str">
            <v>08 Agustus 2019</v>
          </cell>
          <cell r="K37" t="b">
            <v>0</v>
          </cell>
          <cell r="L37">
            <v>43685</v>
          </cell>
          <cell r="M37">
            <v>1</v>
          </cell>
          <cell r="N37">
            <v>9</v>
          </cell>
          <cell r="O37">
            <v>16</v>
          </cell>
          <cell r="Q37">
            <v>5343082</v>
          </cell>
          <cell r="R37">
            <v>4924046</v>
          </cell>
          <cell r="S37">
            <v>5343083</v>
          </cell>
          <cell r="T37">
            <v>0</v>
          </cell>
          <cell r="U37">
            <v>0</v>
          </cell>
          <cell r="V37">
            <v>0</v>
          </cell>
          <cell r="W37">
            <v>5343083</v>
          </cell>
          <cell r="X37">
            <v>5</v>
          </cell>
          <cell r="Z37">
            <v>16</v>
          </cell>
          <cell r="AB37">
            <v>21</v>
          </cell>
          <cell r="AC37">
            <v>1272162.6190476192</v>
          </cell>
          <cell r="AD37">
            <v>4070920.3809523811</v>
          </cell>
          <cell r="AE37">
            <v>5343083</v>
          </cell>
          <cell r="AF37">
            <v>0</v>
          </cell>
          <cell r="AG37">
            <v>5343083</v>
          </cell>
          <cell r="AH37" t="b">
            <v>1</v>
          </cell>
          <cell r="AK37">
            <v>5343083</v>
          </cell>
          <cell r="AL37" t="str">
            <v>K3</v>
          </cell>
          <cell r="AM37">
            <v>5343083</v>
          </cell>
          <cell r="AN37">
            <v>0</v>
          </cell>
          <cell r="AQ37">
            <v>0</v>
          </cell>
          <cell r="AR37">
            <v>38000</v>
          </cell>
          <cell r="AS37">
            <v>31700</v>
          </cell>
          <cell r="AV37">
            <v>53430.83</v>
          </cell>
          <cell r="AW37">
            <v>106861.66</v>
          </cell>
          <cell r="AX37">
            <v>53430.83</v>
          </cell>
          <cell r="AY37">
            <v>283423</v>
          </cell>
          <cell r="AZ37">
            <v>5059660</v>
          </cell>
          <cell r="BA37">
            <v>0</v>
          </cell>
          <cell r="BB37">
            <v>283423</v>
          </cell>
          <cell r="BC37">
            <v>5059660</v>
          </cell>
        </row>
        <row r="38">
          <cell r="F38" t="str">
            <v>191020-002</v>
          </cell>
          <cell r="G38" t="str">
            <v>Recall Kontrak 1</v>
          </cell>
          <cell r="H38" t="str">
            <v>Pelaksana</v>
          </cell>
          <cell r="I38" t="str">
            <v>Prod. Stamping</v>
          </cell>
          <cell r="J38" t="str">
            <v>19 Oktober 2020</v>
          </cell>
          <cell r="K38" t="b">
            <v>0</v>
          </cell>
          <cell r="L38">
            <v>44123</v>
          </cell>
          <cell r="M38">
            <v>0</v>
          </cell>
          <cell r="N38">
            <v>7</v>
          </cell>
          <cell r="O38">
            <v>5</v>
          </cell>
          <cell r="Q38">
            <v>5343082</v>
          </cell>
          <cell r="R38">
            <v>4924046</v>
          </cell>
          <cell r="S38">
            <v>5343083</v>
          </cell>
          <cell r="T38">
            <v>0</v>
          </cell>
          <cell r="U38">
            <v>0</v>
          </cell>
          <cell r="V38">
            <v>0</v>
          </cell>
          <cell r="W38">
            <v>5343083</v>
          </cell>
          <cell r="X38">
            <v>5</v>
          </cell>
          <cell r="Z38">
            <v>16</v>
          </cell>
          <cell r="AB38">
            <v>21</v>
          </cell>
          <cell r="AC38">
            <v>1272162.6190476192</v>
          </cell>
          <cell r="AD38">
            <v>4070920.3809523811</v>
          </cell>
          <cell r="AE38">
            <v>5343083</v>
          </cell>
          <cell r="AF38">
            <v>0</v>
          </cell>
          <cell r="AG38">
            <v>5343083</v>
          </cell>
          <cell r="AH38" t="b">
            <v>1</v>
          </cell>
          <cell r="AK38">
            <v>5343083</v>
          </cell>
          <cell r="AL38" t="str">
            <v>K1</v>
          </cell>
          <cell r="AM38">
            <v>5343083</v>
          </cell>
          <cell r="AN38">
            <v>0</v>
          </cell>
          <cell r="AQ38">
            <v>0</v>
          </cell>
          <cell r="AR38">
            <v>38000</v>
          </cell>
          <cell r="AS38">
            <v>31700</v>
          </cell>
          <cell r="AV38">
            <v>53430.83</v>
          </cell>
          <cell r="AW38">
            <v>106861.66</v>
          </cell>
          <cell r="AX38">
            <v>53430.83</v>
          </cell>
          <cell r="AY38">
            <v>283423</v>
          </cell>
          <cell r="AZ38">
            <v>5059660</v>
          </cell>
          <cell r="BA38">
            <v>0</v>
          </cell>
          <cell r="BB38">
            <v>283423</v>
          </cell>
          <cell r="BC38">
            <v>5059660</v>
          </cell>
        </row>
        <row r="39">
          <cell r="F39" t="str">
            <v>191020-001</v>
          </cell>
          <cell r="G39" t="str">
            <v>Recall Kontrak 1</v>
          </cell>
          <cell r="H39" t="str">
            <v>Pelaksana</v>
          </cell>
          <cell r="I39" t="str">
            <v>Prod. Stamping</v>
          </cell>
          <cell r="J39" t="str">
            <v>19 Oktober 2020</v>
          </cell>
          <cell r="K39" t="b">
            <v>0</v>
          </cell>
          <cell r="L39">
            <v>44123</v>
          </cell>
          <cell r="M39">
            <v>0</v>
          </cell>
          <cell r="N39">
            <v>7</v>
          </cell>
          <cell r="O39">
            <v>5</v>
          </cell>
          <cell r="Q39">
            <v>5343082</v>
          </cell>
          <cell r="R39">
            <v>4924046</v>
          </cell>
          <cell r="S39">
            <v>5343083</v>
          </cell>
          <cell r="T39">
            <v>0</v>
          </cell>
          <cell r="U39">
            <v>0</v>
          </cell>
          <cell r="V39">
            <v>0</v>
          </cell>
          <cell r="W39">
            <v>5343083</v>
          </cell>
          <cell r="X39">
            <v>5</v>
          </cell>
          <cell r="Z39">
            <v>16</v>
          </cell>
          <cell r="AB39">
            <v>21</v>
          </cell>
          <cell r="AC39">
            <v>1272162.6190476192</v>
          </cell>
          <cell r="AD39">
            <v>4070920.3809523811</v>
          </cell>
          <cell r="AE39">
            <v>5343083</v>
          </cell>
          <cell r="AF39">
            <v>0</v>
          </cell>
          <cell r="AG39">
            <v>5343083</v>
          </cell>
          <cell r="AH39" t="b">
            <v>1</v>
          </cell>
          <cell r="AK39">
            <v>5343083</v>
          </cell>
          <cell r="AL39" t="str">
            <v>K0</v>
          </cell>
          <cell r="AM39">
            <v>5343083</v>
          </cell>
          <cell r="AN39">
            <v>15604.584590750002</v>
          </cell>
          <cell r="AQ39">
            <v>0</v>
          </cell>
          <cell r="AR39">
            <v>38000</v>
          </cell>
          <cell r="AS39">
            <v>31700</v>
          </cell>
          <cell r="AV39">
            <v>53430.83</v>
          </cell>
          <cell r="AW39">
            <v>106861.66</v>
          </cell>
          <cell r="AX39">
            <v>53430.83</v>
          </cell>
          <cell r="AY39">
            <v>299028</v>
          </cell>
          <cell r="AZ39">
            <v>5044055</v>
          </cell>
          <cell r="BA39">
            <v>15604.584590750002</v>
          </cell>
          <cell r="BB39">
            <v>283423</v>
          </cell>
          <cell r="BC39">
            <v>5059660</v>
          </cell>
        </row>
        <row r="40">
          <cell r="F40" t="str">
            <v>040121-001</v>
          </cell>
          <cell r="G40" t="str">
            <v>Recall Kontrak 1</v>
          </cell>
          <cell r="H40" t="str">
            <v>Pelaksana</v>
          </cell>
          <cell r="I40" t="str">
            <v>Prod. Stamping</v>
          </cell>
          <cell r="J40" t="str">
            <v>04 Januari 2021</v>
          </cell>
          <cell r="K40" t="b">
            <v>0</v>
          </cell>
          <cell r="L40">
            <v>44200</v>
          </cell>
          <cell r="M40">
            <v>0</v>
          </cell>
          <cell r="N40">
            <v>4</v>
          </cell>
          <cell r="O40">
            <v>20</v>
          </cell>
          <cell r="Q40">
            <v>5343082</v>
          </cell>
          <cell r="R40">
            <v>4924046</v>
          </cell>
          <cell r="S40">
            <v>5343083</v>
          </cell>
          <cell r="T40">
            <v>0</v>
          </cell>
          <cell r="U40">
            <v>0</v>
          </cell>
          <cell r="V40">
            <v>0</v>
          </cell>
          <cell r="W40">
            <v>5343083</v>
          </cell>
          <cell r="X40">
            <v>5</v>
          </cell>
          <cell r="Z40">
            <v>16</v>
          </cell>
          <cell r="AB40">
            <v>21</v>
          </cell>
          <cell r="AC40">
            <v>1272162.6190476192</v>
          </cell>
          <cell r="AD40">
            <v>4070920.3809523811</v>
          </cell>
          <cell r="AE40">
            <v>5343083</v>
          </cell>
          <cell r="AF40">
            <v>0</v>
          </cell>
          <cell r="AG40">
            <v>5343083</v>
          </cell>
          <cell r="AH40" t="b">
            <v>1</v>
          </cell>
          <cell r="AK40">
            <v>5343083</v>
          </cell>
          <cell r="AL40" t="str">
            <v>TK</v>
          </cell>
          <cell r="AM40">
            <v>5343083</v>
          </cell>
          <cell r="AN40">
            <v>34354.584590750004</v>
          </cell>
          <cell r="AQ40">
            <v>0</v>
          </cell>
          <cell r="AR40">
            <v>38000</v>
          </cell>
          <cell r="AS40">
            <v>31700</v>
          </cell>
          <cell r="AV40">
            <v>53430.83</v>
          </cell>
          <cell r="AW40">
            <v>106861.66</v>
          </cell>
          <cell r="AX40">
            <v>53430.83</v>
          </cell>
          <cell r="AY40">
            <v>317778</v>
          </cell>
          <cell r="AZ40">
            <v>5025305</v>
          </cell>
          <cell r="BA40">
            <v>34354.584590750004</v>
          </cell>
          <cell r="BB40">
            <v>283423</v>
          </cell>
          <cell r="BC40">
            <v>5059660</v>
          </cell>
        </row>
        <row r="41">
          <cell r="F41" t="str">
            <v>251119-002</v>
          </cell>
          <cell r="G41" t="str">
            <v>Pembaharuan</v>
          </cell>
          <cell r="H41" t="str">
            <v>Pelaksana</v>
          </cell>
          <cell r="I41" t="str">
            <v>Prod. Stamping</v>
          </cell>
          <cell r="J41">
            <v>43794</v>
          </cell>
          <cell r="K41" t="b">
            <v>1</v>
          </cell>
          <cell r="L41">
            <v>43794</v>
          </cell>
          <cell r="M41">
            <v>1</v>
          </cell>
          <cell r="N41">
            <v>5</v>
          </cell>
          <cell r="O41">
            <v>29</v>
          </cell>
          <cell r="Q41">
            <v>5343082</v>
          </cell>
          <cell r="R41">
            <v>4924046</v>
          </cell>
          <cell r="S41">
            <v>5343083</v>
          </cell>
          <cell r="T41">
            <v>0</v>
          </cell>
          <cell r="U41">
            <v>0</v>
          </cell>
          <cell r="V41">
            <v>0</v>
          </cell>
          <cell r="W41">
            <v>5343083</v>
          </cell>
          <cell r="X41">
            <v>5</v>
          </cell>
          <cell r="Z41">
            <v>16</v>
          </cell>
          <cell r="AB41">
            <v>21</v>
          </cell>
          <cell r="AC41">
            <v>1272162.6190476192</v>
          </cell>
          <cell r="AD41">
            <v>4070920.3809523811</v>
          </cell>
          <cell r="AE41">
            <v>5343083</v>
          </cell>
          <cell r="AF41">
            <v>0</v>
          </cell>
          <cell r="AG41">
            <v>5343083</v>
          </cell>
          <cell r="AH41" t="b">
            <v>1</v>
          </cell>
          <cell r="AK41">
            <v>5343083</v>
          </cell>
          <cell r="AL41" t="str">
            <v>K1</v>
          </cell>
          <cell r="AM41">
            <v>5343083</v>
          </cell>
          <cell r="AN41">
            <v>0</v>
          </cell>
          <cell r="AQ41">
            <v>0</v>
          </cell>
          <cell r="AR41">
            <v>38000</v>
          </cell>
          <cell r="AS41">
            <v>31700</v>
          </cell>
          <cell r="AV41">
            <v>53430.83</v>
          </cell>
          <cell r="AW41">
            <v>106861.66</v>
          </cell>
          <cell r="AX41">
            <v>53430.83</v>
          </cell>
          <cell r="AY41">
            <v>283423</v>
          </cell>
          <cell r="AZ41">
            <v>5059660</v>
          </cell>
          <cell r="BA41">
            <v>0</v>
          </cell>
          <cell r="BB41">
            <v>283423</v>
          </cell>
          <cell r="BC41">
            <v>5059660</v>
          </cell>
        </row>
        <row r="42">
          <cell r="F42" t="str">
            <v>030220-001</v>
          </cell>
          <cell r="G42" t="str">
            <v>Pembaharuan</v>
          </cell>
          <cell r="H42" t="str">
            <v>Pelaksana</v>
          </cell>
          <cell r="I42" t="str">
            <v>Prod. Stamping</v>
          </cell>
          <cell r="J42">
            <v>43864</v>
          </cell>
          <cell r="K42" t="b">
            <v>1</v>
          </cell>
          <cell r="L42">
            <v>43864</v>
          </cell>
          <cell r="M42">
            <v>1</v>
          </cell>
          <cell r="N42">
            <v>3</v>
          </cell>
          <cell r="O42">
            <v>21</v>
          </cell>
          <cell r="Q42">
            <v>5343082</v>
          </cell>
          <cell r="R42">
            <v>4924046</v>
          </cell>
          <cell r="S42">
            <v>5343083</v>
          </cell>
          <cell r="T42">
            <v>0</v>
          </cell>
          <cell r="U42">
            <v>0</v>
          </cell>
          <cell r="V42">
            <v>0</v>
          </cell>
          <cell r="W42">
            <v>5343083</v>
          </cell>
          <cell r="X42">
            <v>5</v>
          </cell>
          <cell r="Z42">
            <v>16</v>
          </cell>
          <cell r="AB42">
            <v>21</v>
          </cell>
          <cell r="AC42">
            <v>1272162.6190476192</v>
          </cell>
          <cell r="AD42">
            <v>4070920.3809523811</v>
          </cell>
          <cell r="AE42">
            <v>5343083</v>
          </cell>
          <cell r="AF42">
            <v>0</v>
          </cell>
          <cell r="AG42">
            <v>5343083</v>
          </cell>
          <cell r="AH42" t="b">
            <v>1</v>
          </cell>
          <cell r="AK42">
            <v>5343083</v>
          </cell>
          <cell r="AL42" t="str">
            <v>TK</v>
          </cell>
          <cell r="AM42">
            <v>5343083</v>
          </cell>
          <cell r="AN42">
            <v>34354.584590750004</v>
          </cell>
          <cell r="AQ42">
            <v>0</v>
          </cell>
          <cell r="AR42">
            <v>38000</v>
          </cell>
          <cell r="AS42">
            <v>31700</v>
          </cell>
          <cell r="AU42">
            <v>10000</v>
          </cell>
          <cell r="AV42">
            <v>53430.83</v>
          </cell>
          <cell r="AW42">
            <v>106861.66</v>
          </cell>
          <cell r="AX42">
            <v>53430.83</v>
          </cell>
          <cell r="AY42">
            <v>327778</v>
          </cell>
          <cell r="AZ42">
            <v>5015305</v>
          </cell>
          <cell r="BA42">
            <v>34354.584590750004</v>
          </cell>
          <cell r="BB42">
            <v>293423</v>
          </cell>
          <cell r="BC42">
            <v>5049660</v>
          </cell>
        </row>
        <row r="43">
          <cell r="F43" t="str">
            <v>030220-002</v>
          </cell>
          <cell r="G43" t="str">
            <v>Pembaharuan</v>
          </cell>
          <cell r="H43" t="str">
            <v>Pelaksana</v>
          </cell>
          <cell r="I43" t="str">
            <v>Prod. Stamping</v>
          </cell>
          <cell r="J43">
            <v>43864</v>
          </cell>
          <cell r="K43" t="b">
            <v>1</v>
          </cell>
          <cell r="L43">
            <v>43864</v>
          </cell>
          <cell r="M43">
            <v>1</v>
          </cell>
          <cell r="N43">
            <v>3</v>
          </cell>
          <cell r="O43">
            <v>21</v>
          </cell>
          <cell r="Q43">
            <v>5343082</v>
          </cell>
          <cell r="R43">
            <v>4924046</v>
          </cell>
          <cell r="S43">
            <v>5343083</v>
          </cell>
          <cell r="T43">
            <v>0</v>
          </cell>
          <cell r="U43">
            <v>0</v>
          </cell>
          <cell r="V43">
            <v>0</v>
          </cell>
          <cell r="W43">
            <v>5343083</v>
          </cell>
          <cell r="X43">
            <v>5</v>
          </cell>
          <cell r="Z43">
            <v>16</v>
          </cell>
          <cell r="AB43">
            <v>21</v>
          </cell>
          <cell r="AC43">
            <v>1272162.6190476192</v>
          </cell>
          <cell r="AD43">
            <v>4070920.3809523811</v>
          </cell>
          <cell r="AE43">
            <v>5343083</v>
          </cell>
          <cell r="AF43">
            <v>0</v>
          </cell>
          <cell r="AG43">
            <v>5343083</v>
          </cell>
          <cell r="AH43" t="b">
            <v>1</v>
          </cell>
          <cell r="AK43">
            <v>5343083</v>
          </cell>
          <cell r="AL43" t="str">
            <v>K1</v>
          </cell>
          <cell r="AM43">
            <v>5343083</v>
          </cell>
          <cell r="AN43">
            <v>0</v>
          </cell>
          <cell r="AQ43">
            <v>0</v>
          </cell>
          <cell r="AR43">
            <v>38000</v>
          </cell>
          <cell r="AS43">
            <v>31700</v>
          </cell>
          <cell r="AU43">
            <v>10000</v>
          </cell>
          <cell r="AV43">
            <v>53430.83</v>
          </cell>
          <cell r="AW43">
            <v>106861.66</v>
          </cell>
          <cell r="AX43">
            <v>53430.83</v>
          </cell>
          <cell r="AY43">
            <v>293423</v>
          </cell>
          <cell r="AZ43">
            <v>5049660</v>
          </cell>
          <cell r="BA43">
            <v>0</v>
          </cell>
          <cell r="BB43">
            <v>293423</v>
          </cell>
          <cell r="BC43">
            <v>5049660</v>
          </cell>
        </row>
        <row r="44">
          <cell r="F44" t="str">
            <v>250920-004</v>
          </cell>
          <cell r="G44" t="str">
            <v>Pembaharuan</v>
          </cell>
          <cell r="H44" t="str">
            <v>Pelaksana</v>
          </cell>
          <cell r="I44" t="str">
            <v>Prod. Stamping</v>
          </cell>
          <cell r="J44">
            <v>44099</v>
          </cell>
          <cell r="K44" t="b">
            <v>1</v>
          </cell>
          <cell r="L44">
            <v>44099</v>
          </cell>
          <cell r="M44">
            <v>0</v>
          </cell>
          <cell r="N44">
            <v>7</v>
          </cell>
          <cell r="O44">
            <v>29</v>
          </cell>
          <cell r="Q44">
            <v>5343082</v>
          </cell>
          <cell r="R44">
            <v>4924046</v>
          </cell>
          <cell r="S44">
            <v>5343083</v>
          </cell>
          <cell r="T44">
            <v>0</v>
          </cell>
          <cell r="U44">
            <v>0</v>
          </cell>
          <cell r="V44">
            <v>0</v>
          </cell>
          <cell r="W44">
            <v>5343083</v>
          </cell>
          <cell r="X44">
            <v>5</v>
          </cell>
          <cell r="Z44">
            <v>16</v>
          </cell>
          <cell r="AB44">
            <v>21</v>
          </cell>
          <cell r="AC44">
            <v>1272162.6190476192</v>
          </cell>
          <cell r="AD44">
            <v>4070920.3809523811</v>
          </cell>
          <cell r="AE44">
            <v>5343083</v>
          </cell>
          <cell r="AF44">
            <v>0</v>
          </cell>
          <cell r="AG44">
            <v>5343083</v>
          </cell>
          <cell r="AH44" t="b">
            <v>1</v>
          </cell>
          <cell r="AK44">
            <v>5343083</v>
          </cell>
          <cell r="AL44" t="str">
            <v>K0</v>
          </cell>
          <cell r="AM44">
            <v>5343083</v>
          </cell>
          <cell r="AN44">
            <v>15604.584590750002</v>
          </cell>
          <cell r="AQ44">
            <v>0</v>
          </cell>
          <cell r="AR44">
            <v>38000</v>
          </cell>
          <cell r="AS44">
            <v>31700</v>
          </cell>
          <cell r="AU44">
            <v>10000</v>
          </cell>
          <cell r="AV44">
            <v>53430.83</v>
          </cell>
          <cell r="AW44">
            <v>106861.66</v>
          </cell>
          <cell r="AX44">
            <v>53430.83</v>
          </cell>
          <cell r="AY44">
            <v>309028</v>
          </cell>
          <cell r="AZ44">
            <v>5034055</v>
          </cell>
          <cell r="BA44">
            <v>15604.584590750002</v>
          </cell>
          <cell r="BB44">
            <v>293423</v>
          </cell>
          <cell r="BC44">
            <v>5049660</v>
          </cell>
        </row>
        <row r="45">
          <cell r="F45" t="str">
            <v>251017-017</v>
          </cell>
          <cell r="G45" t="str">
            <v>Pembaharuan</v>
          </cell>
          <cell r="H45" t="str">
            <v>Pelaksana</v>
          </cell>
          <cell r="I45" t="str">
            <v>Prod. Stamping</v>
          </cell>
          <cell r="J45">
            <v>43033</v>
          </cell>
          <cell r="K45" t="b">
            <v>1</v>
          </cell>
          <cell r="L45">
            <v>43033</v>
          </cell>
          <cell r="M45">
            <v>3</v>
          </cell>
          <cell r="N45">
            <v>6</v>
          </cell>
          <cell r="O45">
            <v>29</v>
          </cell>
          <cell r="Q45">
            <v>5343082</v>
          </cell>
          <cell r="R45">
            <v>4924046</v>
          </cell>
          <cell r="S45">
            <v>5343083</v>
          </cell>
          <cell r="T45">
            <v>0</v>
          </cell>
          <cell r="U45">
            <v>0</v>
          </cell>
          <cell r="V45">
            <v>0</v>
          </cell>
          <cell r="W45">
            <v>5343083</v>
          </cell>
          <cell r="X45">
            <v>5</v>
          </cell>
          <cell r="Z45">
            <v>16</v>
          </cell>
          <cell r="AB45">
            <v>21</v>
          </cell>
          <cell r="AC45">
            <v>1272162.6190476192</v>
          </cell>
          <cell r="AD45">
            <v>4070920.3809523811</v>
          </cell>
          <cell r="AE45">
            <v>5343083</v>
          </cell>
          <cell r="AF45">
            <v>0</v>
          </cell>
          <cell r="AG45">
            <v>5343083</v>
          </cell>
          <cell r="AH45" t="b">
            <v>1</v>
          </cell>
          <cell r="AK45">
            <v>5343083</v>
          </cell>
          <cell r="AL45" t="str">
            <v>K2</v>
          </cell>
          <cell r="AM45">
            <v>5343083</v>
          </cell>
          <cell r="AN45">
            <v>0</v>
          </cell>
          <cell r="AQ45">
            <v>0</v>
          </cell>
          <cell r="AR45">
            <v>38000</v>
          </cell>
          <cell r="AS45">
            <v>31700</v>
          </cell>
          <cell r="AU45">
            <v>10000</v>
          </cell>
          <cell r="AV45">
            <v>53430.83</v>
          </cell>
          <cell r="AW45">
            <v>106861.66</v>
          </cell>
          <cell r="AX45">
            <v>53430.83</v>
          </cell>
          <cell r="AY45">
            <v>293423</v>
          </cell>
          <cell r="AZ45">
            <v>5049660</v>
          </cell>
          <cell r="BA45">
            <v>0</v>
          </cell>
          <cell r="BB45">
            <v>293423</v>
          </cell>
          <cell r="BC45">
            <v>5049660</v>
          </cell>
        </row>
        <row r="46">
          <cell r="F46" t="str">
            <v>251017-021</v>
          </cell>
          <cell r="G46" t="str">
            <v>Pembaharuan</v>
          </cell>
          <cell r="H46" t="str">
            <v>Pelaksana</v>
          </cell>
          <cell r="I46" t="str">
            <v>Prod. Stamping</v>
          </cell>
          <cell r="J46">
            <v>43033</v>
          </cell>
          <cell r="K46" t="b">
            <v>1</v>
          </cell>
          <cell r="L46">
            <v>43033</v>
          </cell>
          <cell r="M46">
            <v>3</v>
          </cell>
          <cell r="N46">
            <v>6</v>
          </cell>
          <cell r="O46">
            <v>29</v>
          </cell>
          <cell r="Q46">
            <v>5343082</v>
          </cell>
          <cell r="R46">
            <v>4924046</v>
          </cell>
          <cell r="S46">
            <v>5343083</v>
          </cell>
          <cell r="T46">
            <v>0</v>
          </cell>
          <cell r="U46">
            <v>0</v>
          </cell>
          <cell r="V46">
            <v>0</v>
          </cell>
          <cell r="W46">
            <v>5343083</v>
          </cell>
          <cell r="X46">
            <v>5</v>
          </cell>
          <cell r="Z46">
            <v>16</v>
          </cell>
          <cell r="AB46">
            <v>21</v>
          </cell>
          <cell r="AC46">
            <v>1272162.6190476192</v>
          </cell>
          <cell r="AD46">
            <v>4070920.3809523811</v>
          </cell>
          <cell r="AE46">
            <v>5343083</v>
          </cell>
          <cell r="AF46">
            <v>0</v>
          </cell>
          <cell r="AG46">
            <v>5343083</v>
          </cell>
          <cell r="AH46" t="b">
            <v>1</v>
          </cell>
          <cell r="AK46">
            <v>5343083</v>
          </cell>
          <cell r="AL46" t="str">
            <v>K1</v>
          </cell>
          <cell r="AM46">
            <v>5343083</v>
          </cell>
          <cell r="AN46">
            <v>0</v>
          </cell>
          <cell r="AQ46">
            <v>0</v>
          </cell>
          <cell r="AR46">
            <v>38000</v>
          </cell>
          <cell r="AS46">
            <v>31700</v>
          </cell>
          <cell r="AV46">
            <v>53430.83</v>
          </cell>
          <cell r="AW46">
            <v>106861.66</v>
          </cell>
          <cell r="AX46">
            <v>53430.83</v>
          </cell>
          <cell r="AY46">
            <v>283423</v>
          </cell>
          <cell r="AZ46">
            <v>5059660</v>
          </cell>
          <cell r="BA46">
            <v>0</v>
          </cell>
          <cell r="BB46">
            <v>283423</v>
          </cell>
          <cell r="BC46">
            <v>5059660</v>
          </cell>
        </row>
        <row r="47">
          <cell r="F47" t="str">
            <v>280318-018</v>
          </cell>
          <cell r="G47" t="str">
            <v>Pembaharuan</v>
          </cell>
          <cell r="H47" t="str">
            <v>Pelaksana</v>
          </cell>
          <cell r="I47" t="str">
            <v>Prod. Stamping</v>
          </cell>
          <cell r="J47">
            <v>43187</v>
          </cell>
          <cell r="K47" t="b">
            <v>1</v>
          </cell>
          <cell r="L47">
            <v>43187</v>
          </cell>
          <cell r="M47">
            <v>3</v>
          </cell>
          <cell r="N47">
            <v>1</v>
          </cell>
          <cell r="O47">
            <v>26</v>
          </cell>
          <cell r="Q47">
            <v>5343082</v>
          </cell>
          <cell r="R47">
            <v>4924046</v>
          </cell>
          <cell r="S47">
            <v>5343083</v>
          </cell>
          <cell r="T47">
            <v>0</v>
          </cell>
          <cell r="U47">
            <v>0</v>
          </cell>
          <cell r="V47">
            <v>0</v>
          </cell>
          <cell r="W47">
            <v>5343083</v>
          </cell>
          <cell r="X47">
            <v>5</v>
          </cell>
          <cell r="Z47">
            <v>16</v>
          </cell>
          <cell r="AB47">
            <v>21</v>
          </cell>
          <cell r="AC47">
            <v>1272162.6190476192</v>
          </cell>
          <cell r="AD47">
            <v>4070920.3809523811</v>
          </cell>
          <cell r="AE47">
            <v>5343083</v>
          </cell>
          <cell r="AF47">
            <v>0</v>
          </cell>
          <cell r="AG47">
            <v>5343083</v>
          </cell>
          <cell r="AH47" t="b">
            <v>1</v>
          </cell>
          <cell r="AK47">
            <v>5343083</v>
          </cell>
          <cell r="AL47" t="str">
            <v>K1</v>
          </cell>
          <cell r="AM47">
            <v>5343083</v>
          </cell>
          <cell r="AN47">
            <v>0</v>
          </cell>
          <cell r="AQ47">
            <v>0</v>
          </cell>
          <cell r="AR47">
            <v>38000</v>
          </cell>
          <cell r="AS47">
            <v>31700</v>
          </cell>
          <cell r="AV47">
            <v>53430.83</v>
          </cell>
          <cell r="AW47">
            <v>106861.66</v>
          </cell>
          <cell r="AX47">
            <v>53430.83</v>
          </cell>
          <cell r="AY47">
            <v>283423</v>
          </cell>
          <cell r="AZ47">
            <v>5059660</v>
          </cell>
          <cell r="BA47">
            <v>0</v>
          </cell>
          <cell r="BB47">
            <v>283423</v>
          </cell>
          <cell r="BC47">
            <v>5059660</v>
          </cell>
        </row>
        <row r="48">
          <cell r="F48" t="str">
            <v>190421-001</v>
          </cell>
          <cell r="G48" t="str">
            <v>Pembaharuan</v>
          </cell>
          <cell r="H48" t="str">
            <v>Pelaksana</v>
          </cell>
          <cell r="I48" t="str">
            <v>Prod. Stamping</v>
          </cell>
          <cell r="J48" t="e">
            <v>#N/A</v>
          </cell>
          <cell r="K48" t="e">
            <v>#N/A</v>
          </cell>
          <cell r="L48">
            <v>44305</v>
          </cell>
          <cell r="M48">
            <v>0</v>
          </cell>
          <cell r="N48">
            <v>1</v>
          </cell>
          <cell r="O48">
            <v>5</v>
          </cell>
          <cell r="Q48">
            <v>5343082</v>
          </cell>
          <cell r="R48">
            <v>4924046</v>
          </cell>
          <cell r="S48">
            <v>5343083</v>
          </cell>
          <cell r="T48">
            <v>0</v>
          </cell>
          <cell r="U48">
            <v>0</v>
          </cell>
          <cell r="V48">
            <v>0</v>
          </cell>
          <cell r="W48">
            <v>5343083</v>
          </cell>
          <cell r="X48">
            <v>5</v>
          </cell>
          <cell r="Z48">
            <v>16</v>
          </cell>
          <cell r="AB48">
            <v>21</v>
          </cell>
          <cell r="AC48">
            <v>1272162.6190476192</v>
          </cell>
          <cell r="AD48">
            <v>4070920.3809523811</v>
          </cell>
          <cell r="AE48">
            <v>5343083</v>
          </cell>
          <cell r="AF48">
            <v>0</v>
          </cell>
          <cell r="AG48">
            <v>5343083</v>
          </cell>
          <cell r="AH48" t="b">
            <v>1</v>
          </cell>
          <cell r="AK48">
            <v>5343083</v>
          </cell>
          <cell r="AL48" t="str">
            <v>K1</v>
          </cell>
          <cell r="AM48">
            <v>5343083</v>
          </cell>
          <cell r="AN48">
            <v>0</v>
          </cell>
          <cell r="AQ48">
            <v>0</v>
          </cell>
          <cell r="AR48">
            <v>38000</v>
          </cell>
          <cell r="AS48">
            <v>31700</v>
          </cell>
          <cell r="AV48">
            <v>53430.83</v>
          </cell>
          <cell r="AW48">
            <v>106861.66</v>
          </cell>
          <cell r="AX48">
            <v>53430.83</v>
          </cell>
          <cell r="AY48">
            <v>283423</v>
          </cell>
          <cell r="AZ48">
            <v>5059660</v>
          </cell>
          <cell r="BA48">
            <v>0</v>
          </cell>
          <cell r="BB48">
            <v>283423</v>
          </cell>
          <cell r="BC48">
            <v>5059660</v>
          </cell>
        </row>
        <row r="49">
          <cell r="F49" t="str">
            <v>020718-001</v>
          </cell>
          <cell r="G49" t="str">
            <v>Kontrak 2</v>
          </cell>
          <cell r="H49" t="str">
            <v>Pelaksana</v>
          </cell>
          <cell r="I49" t="str">
            <v>Prod. Stamping</v>
          </cell>
          <cell r="J49">
            <v>43283</v>
          </cell>
          <cell r="K49" t="b">
            <v>1</v>
          </cell>
          <cell r="L49">
            <v>43283</v>
          </cell>
          <cell r="M49">
            <v>2</v>
          </cell>
          <cell r="N49">
            <v>10</v>
          </cell>
          <cell r="O49">
            <v>22</v>
          </cell>
          <cell r="Q49">
            <v>5343082</v>
          </cell>
          <cell r="R49">
            <v>4924046</v>
          </cell>
          <cell r="S49">
            <v>5343083</v>
          </cell>
          <cell r="T49">
            <v>0</v>
          </cell>
          <cell r="U49">
            <v>0</v>
          </cell>
          <cell r="V49">
            <v>0</v>
          </cell>
          <cell r="W49">
            <v>5343083</v>
          </cell>
          <cell r="X49">
            <v>5</v>
          </cell>
          <cell r="Z49">
            <v>16</v>
          </cell>
          <cell r="AB49">
            <v>21</v>
          </cell>
          <cell r="AC49">
            <v>1272162.6190476192</v>
          </cell>
          <cell r="AD49">
            <v>4070920.3809523811</v>
          </cell>
          <cell r="AE49">
            <v>5343083</v>
          </cell>
          <cell r="AF49">
            <v>0</v>
          </cell>
          <cell r="AG49">
            <v>5343083</v>
          </cell>
          <cell r="AH49" t="b">
            <v>1</v>
          </cell>
          <cell r="AK49">
            <v>5343083</v>
          </cell>
          <cell r="AL49" t="str">
            <v>TK</v>
          </cell>
          <cell r="AM49">
            <v>5343083</v>
          </cell>
          <cell r="AN49">
            <v>34354.584590750004</v>
          </cell>
          <cell r="AQ49">
            <v>0</v>
          </cell>
          <cell r="AS49">
            <v>31700</v>
          </cell>
          <cell r="AU49">
            <v>10000</v>
          </cell>
          <cell r="AV49">
            <v>53430.83</v>
          </cell>
          <cell r="AW49">
            <v>106861.66</v>
          </cell>
          <cell r="AX49">
            <v>53430.83</v>
          </cell>
          <cell r="AY49">
            <v>289778</v>
          </cell>
          <cell r="AZ49">
            <v>5053305</v>
          </cell>
          <cell r="BA49">
            <v>34354.584590750004</v>
          </cell>
          <cell r="BB49">
            <v>255423</v>
          </cell>
          <cell r="BC49">
            <v>5087660</v>
          </cell>
        </row>
        <row r="50">
          <cell r="F50" t="str">
            <v>020718-009</v>
          </cell>
          <cell r="G50" t="str">
            <v>Kontrak 2</v>
          </cell>
          <cell r="H50" t="str">
            <v>Pelaksana</v>
          </cell>
          <cell r="I50" t="str">
            <v>Prod. Stamping</v>
          </cell>
          <cell r="J50">
            <v>43283</v>
          </cell>
          <cell r="K50" t="b">
            <v>1</v>
          </cell>
          <cell r="L50">
            <v>43283</v>
          </cell>
          <cell r="M50">
            <v>2</v>
          </cell>
          <cell r="N50">
            <v>10</v>
          </cell>
          <cell r="O50">
            <v>22</v>
          </cell>
          <cell r="Q50">
            <v>5343082</v>
          </cell>
          <cell r="R50">
            <v>4924046</v>
          </cell>
          <cell r="S50">
            <v>5343083</v>
          </cell>
          <cell r="T50">
            <v>0</v>
          </cell>
          <cell r="U50">
            <v>0</v>
          </cell>
          <cell r="V50">
            <v>0</v>
          </cell>
          <cell r="W50">
            <v>5343083</v>
          </cell>
          <cell r="X50">
            <v>5</v>
          </cell>
          <cell r="Z50">
            <v>16</v>
          </cell>
          <cell r="AB50">
            <v>21</v>
          </cell>
          <cell r="AC50">
            <v>1272162.6190476192</v>
          </cell>
          <cell r="AD50">
            <v>4070920.3809523811</v>
          </cell>
          <cell r="AE50">
            <v>5343083</v>
          </cell>
          <cell r="AF50">
            <v>0</v>
          </cell>
          <cell r="AG50">
            <v>5343083</v>
          </cell>
          <cell r="AH50" t="b">
            <v>1</v>
          </cell>
          <cell r="AK50">
            <v>5343083</v>
          </cell>
          <cell r="AL50" t="str">
            <v>TK</v>
          </cell>
          <cell r="AM50">
            <v>5343083</v>
          </cell>
          <cell r="AN50">
            <v>34354.584590750004</v>
          </cell>
          <cell r="AQ50">
            <v>0</v>
          </cell>
          <cell r="AS50">
            <v>31700</v>
          </cell>
          <cell r="AU50">
            <v>10000</v>
          </cell>
          <cell r="AV50">
            <v>53430.83</v>
          </cell>
          <cell r="AW50">
            <v>106861.66</v>
          </cell>
          <cell r="AX50">
            <v>53430.83</v>
          </cell>
          <cell r="AY50">
            <v>289778</v>
          </cell>
          <cell r="AZ50">
            <v>5053305</v>
          </cell>
          <cell r="BA50">
            <v>34354.584590750004</v>
          </cell>
          <cell r="BB50">
            <v>255423</v>
          </cell>
          <cell r="BC50">
            <v>5087660</v>
          </cell>
        </row>
        <row r="51">
          <cell r="F51" t="str">
            <v>020718-021</v>
          </cell>
          <cell r="G51" t="str">
            <v>Kontrak 2</v>
          </cell>
          <cell r="H51" t="str">
            <v>Pelaksana</v>
          </cell>
          <cell r="I51" t="str">
            <v>Prod. Stamping</v>
          </cell>
          <cell r="J51">
            <v>43283</v>
          </cell>
          <cell r="K51" t="b">
            <v>1</v>
          </cell>
          <cell r="L51">
            <v>43283</v>
          </cell>
          <cell r="M51">
            <v>2</v>
          </cell>
          <cell r="N51">
            <v>10</v>
          </cell>
          <cell r="O51">
            <v>22</v>
          </cell>
          <cell r="Q51">
            <v>5343082</v>
          </cell>
          <cell r="R51">
            <v>4924046</v>
          </cell>
          <cell r="S51">
            <v>5343083</v>
          </cell>
          <cell r="T51">
            <v>0</v>
          </cell>
          <cell r="U51">
            <v>0</v>
          </cell>
          <cell r="V51">
            <v>0</v>
          </cell>
          <cell r="W51">
            <v>5343083</v>
          </cell>
          <cell r="X51">
            <v>5</v>
          </cell>
          <cell r="Z51">
            <v>16</v>
          </cell>
          <cell r="AB51">
            <v>21</v>
          </cell>
          <cell r="AC51">
            <v>1272162.6190476192</v>
          </cell>
          <cell r="AD51">
            <v>4070920.3809523811</v>
          </cell>
          <cell r="AE51">
            <v>5343083</v>
          </cell>
          <cell r="AF51">
            <v>0</v>
          </cell>
          <cell r="AG51">
            <v>5343083</v>
          </cell>
          <cell r="AH51" t="b">
            <v>1</v>
          </cell>
          <cell r="AK51">
            <v>5343083</v>
          </cell>
          <cell r="AL51" t="str">
            <v>TK</v>
          </cell>
          <cell r="AM51">
            <v>5343083</v>
          </cell>
          <cell r="AN51">
            <v>34354.584590750004</v>
          </cell>
          <cell r="AQ51">
            <v>0</v>
          </cell>
          <cell r="AS51">
            <v>31700</v>
          </cell>
          <cell r="AU51">
            <v>10000</v>
          </cell>
          <cell r="AV51">
            <v>53430.83</v>
          </cell>
          <cell r="AW51">
            <v>106861.66</v>
          </cell>
          <cell r="AX51">
            <v>53430.83</v>
          </cell>
          <cell r="AY51">
            <v>289778</v>
          </cell>
          <cell r="AZ51">
            <v>5053305</v>
          </cell>
          <cell r="BA51">
            <v>34354.584590750004</v>
          </cell>
          <cell r="BB51">
            <v>255423</v>
          </cell>
          <cell r="BC51">
            <v>5087660</v>
          </cell>
        </row>
        <row r="52">
          <cell r="F52" t="str">
            <v>020718-027</v>
          </cell>
          <cell r="G52" t="str">
            <v>Kontrak 2</v>
          </cell>
          <cell r="H52" t="str">
            <v>Pelaksana</v>
          </cell>
          <cell r="I52" t="str">
            <v>Prod. Stamping</v>
          </cell>
          <cell r="J52">
            <v>43283</v>
          </cell>
          <cell r="K52" t="b">
            <v>1</v>
          </cell>
          <cell r="L52">
            <v>43283</v>
          </cell>
          <cell r="M52">
            <v>2</v>
          </cell>
          <cell r="N52">
            <v>10</v>
          </cell>
          <cell r="O52">
            <v>22</v>
          </cell>
          <cell r="Q52">
            <v>5343082</v>
          </cell>
          <cell r="R52">
            <v>4924046</v>
          </cell>
          <cell r="S52">
            <v>5343083</v>
          </cell>
          <cell r="T52">
            <v>0</v>
          </cell>
          <cell r="U52">
            <v>0</v>
          </cell>
          <cell r="V52">
            <v>0</v>
          </cell>
          <cell r="W52">
            <v>5343083</v>
          </cell>
          <cell r="X52">
            <v>5</v>
          </cell>
          <cell r="Z52">
            <v>16</v>
          </cell>
          <cell r="AB52">
            <v>21</v>
          </cell>
          <cell r="AC52">
            <v>1272162.6190476192</v>
          </cell>
          <cell r="AD52">
            <v>4070920.3809523811</v>
          </cell>
          <cell r="AE52">
            <v>5343083</v>
          </cell>
          <cell r="AF52">
            <v>0</v>
          </cell>
          <cell r="AG52">
            <v>5343083</v>
          </cell>
          <cell r="AH52" t="b">
            <v>1</v>
          </cell>
          <cell r="AK52">
            <v>5343083</v>
          </cell>
          <cell r="AL52" t="str">
            <v>K1</v>
          </cell>
          <cell r="AM52">
            <v>5343083</v>
          </cell>
          <cell r="AN52">
            <v>0</v>
          </cell>
          <cell r="AQ52">
            <v>0</v>
          </cell>
          <cell r="AS52">
            <v>31700</v>
          </cell>
          <cell r="AU52">
            <v>10000</v>
          </cell>
          <cell r="AV52">
            <v>53430.83</v>
          </cell>
          <cell r="AW52">
            <v>106861.66</v>
          </cell>
          <cell r="AX52">
            <v>53430.83</v>
          </cell>
          <cell r="AY52">
            <v>255423</v>
          </cell>
          <cell r="AZ52">
            <v>5087660</v>
          </cell>
          <cell r="BA52">
            <v>0</v>
          </cell>
          <cell r="BB52">
            <v>255423</v>
          </cell>
          <cell r="BC52">
            <v>5087660</v>
          </cell>
        </row>
        <row r="53">
          <cell r="F53" t="str">
            <v>020718-028</v>
          </cell>
          <cell r="G53" t="str">
            <v>Kontrak 2</v>
          </cell>
          <cell r="H53" t="str">
            <v>Pelaksana</v>
          </cell>
          <cell r="I53" t="str">
            <v>Prod. Stamping</v>
          </cell>
          <cell r="J53">
            <v>43283</v>
          </cell>
          <cell r="K53" t="b">
            <v>1</v>
          </cell>
          <cell r="L53">
            <v>43283</v>
          </cell>
          <cell r="M53">
            <v>2</v>
          </cell>
          <cell r="N53">
            <v>10</v>
          </cell>
          <cell r="O53">
            <v>22</v>
          </cell>
          <cell r="Q53">
            <v>5343082</v>
          </cell>
          <cell r="R53">
            <v>4924046</v>
          </cell>
          <cell r="S53">
            <v>5343083</v>
          </cell>
          <cell r="T53">
            <v>0</v>
          </cell>
          <cell r="U53">
            <v>0</v>
          </cell>
          <cell r="V53">
            <v>0</v>
          </cell>
          <cell r="W53">
            <v>5343083</v>
          </cell>
          <cell r="X53">
            <v>5</v>
          </cell>
          <cell r="Z53">
            <v>16</v>
          </cell>
          <cell r="AB53">
            <v>21</v>
          </cell>
          <cell r="AC53">
            <v>1272162.6190476192</v>
          </cell>
          <cell r="AD53">
            <v>4070920.3809523811</v>
          </cell>
          <cell r="AE53">
            <v>5343083</v>
          </cell>
          <cell r="AF53">
            <v>0</v>
          </cell>
          <cell r="AG53">
            <v>5343083</v>
          </cell>
          <cell r="AH53" t="b">
            <v>1</v>
          </cell>
          <cell r="AK53">
            <v>5343083</v>
          </cell>
          <cell r="AL53" t="str">
            <v>K0</v>
          </cell>
          <cell r="AM53">
            <v>5343083</v>
          </cell>
          <cell r="AN53">
            <v>15604.584590750002</v>
          </cell>
          <cell r="AQ53">
            <v>0</v>
          </cell>
          <cell r="AR53">
            <v>38000</v>
          </cell>
          <cell r="AS53">
            <v>31700</v>
          </cell>
          <cell r="AU53">
            <v>10000</v>
          </cell>
          <cell r="AV53">
            <v>53430.83</v>
          </cell>
          <cell r="AW53">
            <v>106861.66</v>
          </cell>
          <cell r="AX53">
            <v>53430.83</v>
          </cell>
          <cell r="AY53">
            <v>309028</v>
          </cell>
          <cell r="AZ53">
            <v>5034055</v>
          </cell>
          <cell r="BA53">
            <v>15604.584590750002</v>
          </cell>
          <cell r="BB53">
            <v>293423</v>
          </cell>
          <cell r="BC53">
            <v>5049660</v>
          </cell>
        </row>
        <row r="54">
          <cell r="F54" t="str">
            <v>100718-003</v>
          </cell>
          <cell r="G54" t="str">
            <v>Kontrak 2</v>
          </cell>
          <cell r="H54" t="str">
            <v>Pelaksana</v>
          </cell>
          <cell r="I54" t="str">
            <v>Prod. Stamping</v>
          </cell>
          <cell r="J54">
            <v>43291</v>
          </cell>
          <cell r="K54" t="b">
            <v>1</v>
          </cell>
          <cell r="L54">
            <v>43291</v>
          </cell>
          <cell r="M54">
            <v>2</v>
          </cell>
          <cell r="N54">
            <v>10</v>
          </cell>
          <cell r="O54">
            <v>14</v>
          </cell>
          <cell r="Q54">
            <v>5343082</v>
          </cell>
          <cell r="R54">
            <v>4924046</v>
          </cell>
          <cell r="S54">
            <v>5343083</v>
          </cell>
          <cell r="T54">
            <v>0</v>
          </cell>
          <cell r="U54">
            <v>0</v>
          </cell>
          <cell r="V54">
            <v>0</v>
          </cell>
          <cell r="W54">
            <v>5343083</v>
          </cell>
          <cell r="X54">
            <v>5</v>
          </cell>
          <cell r="Z54">
            <v>16</v>
          </cell>
          <cell r="AB54">
            <v>21</v>
          </cell>
          <cell r="AC54">
            <v>1272162.6190476192</v>
          </cell>
          <cell r="AD54">
            <v>4070920.3809523811</v>
          </cell>
          <cell r="AE54">
            <v>5343083</v>
          </cell>
          <cell r="AF54">
            <v>0</v>
          </cell>
          <cell r="AG54">
            <v>5343083</v>
          </cell>
          <cell r="AH54" t="b">
            <v>1</v>
          </cell>
          <cell r="AK54">
            <v>5343083</v>
          </cell>
          <cell r="AL54" t="str">
            <v>K0</v>
          </cell>
          <cell r="AM54">
            <v>5343083</v>
          </cell>
          <cell r="AN54">
            <v>15604.584590750002</v>
          </cell>
          <cell r="AQ54">
            <v>0</v>
          </cell>
          <cell r="AS54">
            <v>31700</v>
          </cell>
          <cell r="AV54">
            <v>53430.83</v>
          </cell>
          <cell r="AW54">
            <v>106861.66</v>
          </cell>
          <cell r="AX54">
            <v>53430.83</v>
          </cell>
          <cell r="AY54">
            <v>261028</v>
          </cell>
          <cell r="AZ54">
            <v>5082055</v>
          </cell>
          <cell r="BA54">
            <v>15604.584590750002</v>
          </cell>
          <cell r="BB54">
            <v>245423</v>
          </cell>
          <cell r="BC54">
            <v>5097660</v>
          </cell>
        </row>
        <row r="55">
          <cell r="F55" t="str">
            <v>100718-004</v>
          </cell>
          <cell r="G55" t="str">
            <v>Kontrak 2</v>
          </cell>
          <cell r="H55" t="str">
            <v>Pelaksana</v>
          </cell>
          <cell r="I55" t="str">
            <v>Prod. Stamping</v>
          </cell>
          <cell r="J55">
            <v>43291</v>
          </cell>
          <cell r="K55" t="b">
            <v>1</v>
          </cell>
          <cell r="L55">
            <v>43291</v>
          </cell>
          <cell r="M55">
            <v>2</v>
          </cell>
          <cell r="N55">
            <v>10</v>
          </cell>
          <cell r="O55">
            <v>14</v>
          </cell>
          <cell r="Q55">
            <v>5343082</v>
          </cell>
          <cell r="R55">
            <v>4924046</v>
          </cell>
          <cell r="S55">
            <v>5343083</v>
          </cell>
          <cell r="T55">
            <v>0</v>
          </cell>
          <cell r="U55">
            <v>0</v>
          </cell>
          <cell r="V55">
            <v>0</v>
          </cell>
          <cell r="W55">
            <v>5343083</v>
          </cell>
          <cell r="X55">
            <v>5</v>
          </cell>
          <cell r="Z55">
            <v>16</v>
          </cell>
          <cell r="AB55">
            <v>21</v>
          </cell>
          <cell r="AC55">
            <v>1272162.6190476192</v>
          </cell>
          <cell r="AD55">
            <v>4070920.3809523811</v>
          </cell>
          <cell r="AE55">
            <v>5343083</v>
          </cell>
          <cell r="AF55">
            <v>0</v>
          </cell>
          <cell r="AG55">
            <v>5343083</v>
          </cell>
          <cell r="AH55" t="b">
            <v>1</v>
          </cell>
          <cell r="AK55">
            <v>5343083</v>
          </cell>
          <cell r="AL55" t="str">
            <v>TK</v>
          </cell>
          <cell r="AM55">
            <v>5343083</v>
          </cell>
          <cell r="AN55">
            <v>34354.584590750004</v>
          </cell>
          <cell r="AQ55">
            <v>0</v>
          </cell>
          <cell r="AS55">
            <v>31700</v>
          </cell>
          <cell r="AU55">
            <v>10000</v>
          </cell>
          <cell r="AV55">
            <v>53430.83</v>
          </cell>
          <cell r="AW55">
            <v>106861.66</v>
          </cell>
          <cell r="AX55">
            <v>53430.83</v>
          </cell>
          <cell r="AY55">
            <v>289778</v>
          </cell>
          <cell r="AZ55">
            <v>5053305</v>
          </cell>
          <cell r="BA55">
            <v>34354.584590750004</v>
          </cell>
          <cell r="BB55">
            <v>255423</v>
          </cell>
          <cell r="BC55">
            <v>5087660</v>
          </cell>
        </row>
        <row r="56">
          <cell r="F56" t="str">
            <v>011018-005</v>
          </cell>
          <cell r="G56" t="str">
            <v>Kontrak 2</v>
          </cell>
          <cell r="H56" t="str">
            <v>Pelaksana</v>
          </cell>
          <cell r="I56" t="str">
            <v>Prod. Stamping</v>
          </cell>
          <cell r="J56">
            <v>43374</v>
          </cell>
          <cell r="K56" t="b">
            <v>1</v>
          </cell>
          <cell r="L56">
            <v>43374</v>
          </cell>
          <cell r="M56">
            <v>2</v>
          </cell>
          <cell r="N56">
            <v>7</v>
          </cell>
          <cell r="O56">
            <v>23</v>
          </cell>
          <cell r="Q56">
            <v>5343082</v>
          </cell>
          <cell r="R56">
            <v>4924046</v>
          </cell>
          <cell r="S56">
            <v>5343083</v>
          </cell>
          <cell r="T56">
            <v>0</v>
          </cell>
          <cell r="U56">
            <v>0</v>
          </cell>
          <cell r="V56">
            <v>0</v>
          </cell>
          <cell r="W56">
            <v>5343083</v>
          </cell>
          <cell r="X56">
            <v>5</v>
          </cell>
          <cell r="Z56">
            <v>16</v>
          </cell>
          <cell r="AB56">
            <v>21</v>
          </cell>
          <cell r="AC56">
            <v>1272162.6190476192</v>
          </cell>
          <cell r="AD56">
            <v>4070920.3809523811</v>
          </cell>
          <cell r="AE56">
            <v>5343083</v>
          </cell>
          <cell r="AF56">
            <v>0</v>
          </cell>
          <cell r="AG56">
            <v>5343083</v>
          </cell>
          <cell r="AH56" t="b">
            <v>1</v>
          </cell>
          <cell r="AK56">
            <v>5343083</v>
          </cell>
          <cell r="AL56" t="str">
            <v>TK</v>
          </cell>
          <cell r="AM56">
            <v>5343083</v>
          </cell>
          <cell r="AN56">
            <v>34354.584590750004</v>
          </cell>
          <cell r="AQ56">
            <v>0</v>
          </cell>
          <cell r="AS56">
            <v>31700</v>
          </cell>
          <cell r="AU56">
            <v>10000</v>
          </cell>
          <cell r="AV56">
            <v>53430.83</v>
          </cell>
          <cell r="AW56">
            <v>106861.66</v>
          </cell>
          <cell r="AX56">
            <v>53430.83</v>
          </cell>
          <cell r="AY56">
            <v>289778</v>
          </cell>
          <cell r="AZ56">
            <v>5053305</v>
          </cell>
          <cell r="BA56">
            <v>34354.584590750004</v>
          </cell>
          <cell r="BB56">
            <v>255423</v>
          </cell>
          <cell r="BC56">
            <v>5087660</v>
          </cell>
        </row>
        <row r="57">
          <cell r="F57" t="str">
            <v>280318-010</v>
          </cell>
          <cell r="G57" t="str">
            <v>Pembaharuan</v>
          </cell>
          <cell r="H57" t="str">
            <v>Pelaksana</v>
          </cell>
          <cell r="I57" t="str">
            <v>Prod. Stamping</v>
          </cell>
          <cell r="J57">
            <v>43187</v>
          </cell>
          <cell r="K57" t="b">
            <v>1</v>
          </cell>
          <cell r="L57">
            <v>43187</v>
          </cell>
          <cell r="M57">
            <v>3</v>
          </cell>
          <cell r="N57">
            <v>1</v>
          </cell>
          <cell r="O57">
            <v>26</v>
          </cell>
          <cell r="Q57">
            <v>5343082</v>
          </cell>
          <cell r="R57">
            <v>4924046</v>
          </cell>
          <cell r="S57">
            <v>5343083</v>
          </cell>
          <cell r="T57">
            <v>0</v>
          </cell>
          <cell r="U57">
            <v>0</v>
          </cell>
          <cell r="V57">
            <v>0</v>
          </cell>
          <cell r="W57">
            <v>5343083</v>
          </cell>
          <cell r="X57">
            <v>5</v>
          </cell>
          <cell r="Z57">
            <v>16</v>
          </cell>
          <cell r="AB57">
            <v>21</v>
          </cell>
          <cell r="AC57">
            <v>1272162.6190476192</v>
          </cell>
          <cell r="AD57">
            <v>4070920.3809523811</v>
          </cell>
          <cell r="AE57">
            <v>5343083</v>
          </cell>
          <cell r="AF57">
            <v>0</v>
          </cell>
          <cell r="AG57">
            <v>5343083</v>
          </cell>
          <cell r="AH57" t="b">
            <v>1</v>
          </cell>
          <cell r="AK57">
            <v>5343083</v>
          </cell>
          <cell r="AL57" t="str">
            <v>TK</v>
          </cell>
          <cell r="AM57">
            <v>5343083</v>
          </cell>
          <cell r="AN57">
            <v>34354.584590750004</v>
          </cell>
          <cell r="AQ57">
            <v>0</v>
          </cell>
          <cell r="AR57">
            <v>38000</v>
          </cell>
          <cell r="AS57">
            <v>31700</v>
          </cell>
          <cell r="AV57">
            <v>53430.83</v>
          </cell>
          <cell r="AW57">
            <v>106861.66</v>
          </cell>
          <cell r="AX57">
            <v>53430.83</v>
          </cell>
          <cell r="AY57">
            <v>317778</v>
          </cell>
          <cell r="AZ57">
            <v>5025305</v>
          </cell>
          <cell r="BA57">
            <v>34354.584590750004</v>
          </cell>
          <cell r="BB57">
            <v>283423</v>
          </cell>
          <cell r="BC57">
            <v>5059660</v>
          </cell>
        </row>
        <row r="58">
          <cell r="F58" t="str">
            <v>290618-003</v>
          </cell>
          <cell r="G58" t="str">
            <v>Kontrak 2</v>
          </cell>
          <cell r="H58" t="str">
            <v>Pelaksana</v>
          </cell>
          <cell r="I58" t="str">
            <v>Prod. Stamping</v>
          </cell>
          <cell r="J58">
            <v>43280</v>
          </cell>
          <cell r="K58" t="b">
            <v>1</v>
          </cell>
          <cell r="L58">
            <v>43280</v>
          </cell>
          <cell r="M58">
            <v>2</v>
          </cell>
          <cell r="N58">
            <v>10</v>
          </cell>
          <cell r="O58">
            <v>25</v>
          </cell>
          <cell r="Q58">
            <v>5343082</v>
          </cell>
          <cell r="R58">
            <v>4924046</v>
          </cell>
          <cell r="S58">
            <v>5343083</v>
          </cell>
          <cell r="T58">
            <v>0</v>
          </cell>
          <cell r="U58">
            <v>0</v>
          </cell>
          <cell r="V58">
            <v>0</v>
          </cell>
          <cell r="W58">
            <v>5343083</v>
          </cell>
          <cell r="X58">
            <v>5</v>
          </cell>
          <cell r="Z58">
            <v>16</v>
          </cell>
          <cell r="AB58">
            <v>21</v>
          </cell>
          <cell r="AC58">
            <v>1272162.6190476192</v>
          </cell>
          <cell r="AD58">
            <v>4070920.3809523811</v>
          </cell>
          <cell r="AE58">
            <v>5343083</v>
          </cell>
          <cell r="AF58">
            <v>0</v>
          </cell>
          <cell r="AG58">
            <v>5343083</v>
          </cell>
          <cell r="AH58" t="b">
            <v>1</v>
          </cell>
          <cell r="AK58">
            <v>5343083</v>
          </cell>
          <cell r="AL58" t="str">
            <v>TK</v>
          </cell>
          <cell r="AM58">
            <v>5343083</v>
          </cell>
          <cell r="AN58">
            <v>34354.584590750004</v>
          </cell>
          <cell r="AQ58">
            <v>0</v>
          </cell>
          <cell r="AR58">
            <v>38000</v>
          </cell>
          <cell r="AS58">
            <v>31700</v>
          </cell>
          <cell r="AU58">
            <v>10000</v>
          </cell>
          <cell r="AV58">
            <v>53430.83</v>
          </cell>
          <cell r="AW58">
            <v>106861.66</v>
          </cell>
          <cell r="AX58">
            <v>53430.83</v>
          </cell>
          <cell r="AY58">
            <v>327778</v>
          </cell>
          <cell r="AZ58">
            <v>5015305</v>
          </cell>
          <cell r="BA58">
            <v>34354.584590750004</v>
          </cell>
          <cell r="BB58">
            <v>293423</v>
          </cell>
          <cell r="BC58">
            <v>5049660</v>
          </cell>
        </row>
        <row r="59">
          <cell r="F59" t="str">
            <v>011018-002</v>
          </cell>
          <cell r="G59" t="str">
            <v>Kontrak 2</v>
          </cell>
          <cell r="H59" t="str">
            <v>Pelaksana</v>
          </cell>
          <cell r="I59" t="str">
            <v>Prod. Stamping</v>
          </cell>
          <cell r="J59">
            <v>43374</v>
          </cell>
          <cell r="K59" t="b">
            <v>1</v>
          </cell>
          <cell r="L59">
            <v>43374</v>
          </cell>
          <cell r="M59">
            <v>2</v>
          </cell>
          <cell r="N59">
            <v>7</v>
          </cell>
          <cell r="O59">
            <v>23</v>
          </cell>
          <cell r="Q59">
            <v>5343082</v>
          </cell>
          <cell r="R59">
            <v>4924046</v>
          </cell>
          <cell r="S59">
            <v>5343083</v>
          </cell>
          <cell r="T59">
            <v>0</v>
          </cell>
          <cell r="U59">
            <v>0</v>
          </cell>
          <cell r="V59">
            <v>0</v>
          </cell>
          <cell r="W59">
            <v>5343083</v>
          </cell>
          <cell r="X59">
            <v>5</v>
          </cell>
          <cell r="Z59">
            <v>16</v>
          </cell>
          <cell r="AB59">
            <v>21</v>
          </cell>
          <cell r="AC59">
            <v>1272162.6190476192</v>
          </cell>
          <cell r="AD59">
            <v>4070920.3809523811</v>
          </cell>
          <cell r="AE59">
            <v>5343083</v>
          </cell>
          <cell r="AF59">
            <v>0</v>
          </cell>
          <cell r="AG59">
            <v>5343083</v>
          </cell>
          <cell r="AH59" t="b">
            <v>1</v>
          </cell>
          <cell r="AK59">
            <v>5343083</v>
          </cell>
          <cell r="AL59" t="str">
            <v>K1</v>
          </cell>
          <cell r="AM59">
            <v>5343083</v>
          </cell>
          <cell r="AN59">
            <v>0</v>
          </cell>
          <cell r="AQ59">
            <v>0</v>
          </cell>
          <cell r="AS59">
            <v>31700</v>
          </cell>
          <cell r="AU59">
            <v>10000</v>
          </cell>
          <cell r="AV59">
            <v>53430.83</v>
          </cell>
          <cell r="AW59">
            <v>106861.66</v>
          </cell>
          <cell r="AX59">
            <v>53430.83</v>
          </cell>
          <cell r="AY59">
            <v>255423</v>
          </cell>
          <cell r="AZ59">
            <v>5087660</v>
          </cell>
          <cell r="BA59">
            <v>0</v>
          </cell>
          <cell r="BB59">
            <v>255423</v>
          </cell>
          <cell r="BC59">
            <v>5087660</v>
          </cell>
        </row>
        <row r="60">
          <cell r="F60" t="str">
            <v>200619-004</v>
          </cell>
          <cell r="G60" t="str">
            <v>Kontrak 2</v>
          </cell>
          <cell r="H60" t="str">
            <v>Pelaksana</v>
          </cell>
          <cell r="I60" t="str">
            <v>Prod. Stamping</v>
          </cell>
          <cell r="J60" t="str">
            <v>20 Juni 2019</v>
          </cell>
          <cell r="K60" t="b">
            <v>0</v>
          </cell>
          <cell r="L60">
            <v>43636</v>
          </cell>
          <cell r="M60">
            <v>1</v>
          </cell>
          <cell r="N60">
            <v>11</v>
          </cell>
          <cell r="O60">
            <v>4</v>
          </cell>
          <cell r="Q60">
            <v>5343082</v>
          </cell>
          <cell r="R60">
            <v>4924046</v>
          </cell>
          <cell r="S60">
            <v>5343083</v>
          </cell>
          <cell r="T60">
            <v>0</v>
          </cell>
          <cell r="U60">
            <v>0</v>
          </cell>
          <cell r="V60">
            <v>0</v>
          </cell>
          <cell r="W60">
            <v>5343083</v>
          </cell>
          <cell r="X60">
            <v>5</v>
          </cell>
          <cell r="Z60">
            <v>16</v>
          </cell>
          <cell r="AB60">
            <v>21</v>
          </cell>
          <cell r="AC60">
            <v>1272162.6190476192</v>
          </cell>
          <cell r="AD60">
            <v>4070920.3809523811</v>
          </cell>
          <cell r="AE60">
            <v>5343083</v>
          </cell>
          <cell r="AF60">
            <v>0</v>
          </cell>
          <cell r="AG60">
            <v>5343083</v>
          </cell>
          <cell r="AH60" t="b">
            <v>1</v>
          </cell>
          <cell r="AK60">
            <v>5343083</v>
          </cell>
          <cell r="AL60" t="str">
            <v>K1</v>
          </cell>
          <cell r="AM60">
            <v>5343083</v>
          </cell>
          <cell r="AN60">
            <v>0</v>
          </cell>
          <cell r="AQ60">
            <v>0</v>
          </cell>
          <cell r="AS60">
            <v>31700</v>
          </cell>
          <cell r="AV60">
            <v>53430.83</v>
          </cell>
          <cell r="AW60">
            <v>106861.66</v>
          </cell>
          <cell r="AX60">
            <v>53430.83</v>
          </cell>
          <cell r="AY60">
            <v>245423</v>
          </cell>
          <cell r="AZ60">
            <v>5097660</v>
          </cell>
          <cell r="BA60">
            <v>0</v>
          </cell>
          <cell r="BB60">
            <v>245423</v>
          </cell>
          <cell r="BC60">
            <v>5097660</v>
          </cell>
        </row>
        <row r="61">
          <cell r="F61" t="str">
            <v>260121-004</v>
          </cell>
          <cell r="G61" t="str">
            <v>Pembaharuan</v>
          </cell>
          <cell r="H61" t="str">
            <v>Pelaksana</v>
          </cell>
          <cell r="I61" t="str">
            <v>Prod. Stamping</v>
          </cell>
          <cell r="J61" t="str">
            <v>26 Januari 2021</v>
          </cell>
          <cell r="K61" t="b">
            <v>0</v>
          </cell>
          <cell r="L61">
            <v>44222</v>
          </cell>
          <cell r="M61">
            <v>0</v>
          </cell>
          <cell r="N61">
            <v>3</v>
          </cell>
          <cell r="O61">
            <v>28</v>
          </cell>
          <cell r="Q61">
            <v>5343082</v>
          </cell>
          <cell r="R61">
            <v>4924046</v>
          </cell>
          <cell r="S61">
            <v>5343083</v>
          </cell>
          <cell r="T61">
            <v>0</v>
          </cell>
          <cell r="U61">
            <v>0</v>
          </cell>
          <cell r="V61">
            <v>0</v>
          </cell>
          <cell r="W61">
            <v>5343083</v>
          </cell>
          <cell r="X61">
            <v>5</v>
          </cell>
          <cell r="Z61">
            <v>16</v>
          </cell>
          <cell r="AB61">
            <v>21</v>
          </cell>
          <cell r="AC61">
            <v>1272162.6190476192</v>
          </cell>
          <cell r="AD61">
            <v>4070920.3809523811</v>
          </cell>
          <cell r="AE61">
            <v>5343083</v>
          </cell>
          <cell r="AF61">
            <v>0</v>
          </cell>
          <cell r="AG61">
            <v>5343083</v>
          </cell>
          <cell r="AH61" t="b">
            <v>1</v>
          </cell>
          <cell r="AK61">
            <v>5343083</v>
          </cell>
          <cell r="AL61" t="str">
            <v>K1</v>
          </cell>
          <cell r="AM61">
            <v>5343083</v>
          </cell>
          <cell r="AN61">
            <v>0</v>
          </cell>
          <cell r="AQ61">
            <v>0</v>
          </cell>
          <cell r="AR61">
            <v>38000</v>
          </cell>
          <cell r="AS61">
            <v>31700</v>
          </cell>
          <cell r="AU61">
            <v>10000</v>
          </cell>
          <cell r="AV61">
            <v>53430.83</v>
          </cell>
          <cell r="AW61">
            <v>106861.66</v>
          </cell>
          <cell r="AX61">
            <v>53430.83</v>
          </cell>
          <cell r="AY61">
            <v>293423</v>
          </cell>
          <cell r="AZ61">
            <v>5049660</v>
          </cell>
          <cell r="BA61">
            <v>0</v>
          </cell>
          <cell r="BB61">
            <v>293423</v>
          </cell>
          <cell r="BC61">
            <v>5049660</v>
          </cell>
        </row>
        <row r="62">
          <cell r="F62" t="str">
            <v>290618-016</v>
          </cell>
          <cell r="G62" t="str">
            <v>Kontrak 2</v>
          </cell>
          <cell r="H62" t="str">
            <v>Pelaksana</v>
          </cell>
          <cell r="I62" t="str">
            <v>Prod. Stamping</v>
          </cell>
          <cell r="J62">
            <v>43280</v>
          </cell>
          <cell r="K62" t="b">
            <v>1</v>
          </cell>
          <cell r="L62">
            <v>43280</v>
          </cell>
          <cell r="M62">
            <v>2</v>
          </cell>
          <cell r="N62">
            <v>10</v>
          </cell>
          <cell r="O62">
            <v>25</v>
          </cell>
          <cell r="Q62">
            <v>5343082</v>
          </cell>
          <cell r="R62">
            <v>4924046</v>
          </cell>
          <cell r="S62">
            <v>5343083</v>
          </cell>
          <cell r="T62">
            <v>0</v>
          </cell>
          <cell r="U62">
            <v>0</v>
          </cell>
          <cell r="V62">
            <v>0</v>
          </cell>
          <cell r="W62">
            <v>5343083</v>
          </cell>
          <cell r="X62">
            <v>5</v>
          </cell>
          <cell r="Z62">
            <v>16</v>
          </cell>
          <cell r="AB62">
            <v>21</v>
          </cell>
          <cell r="AC62">
            <v>1272162.6190476192</v>
          </cell>
          <cell r="AD62">
            <v>4070920.3809523811</v>
          </cell>
          <cell r="AE62">
            <v>5343083</v>
          </cell>
          <cell r="AF62">
            <v>0</v>
          </cell>
          <cell r="AG62">
            <v>5343083</v>
          </cell>
          <cell r="AH62" t="b">
            <v>1</v>
          </cell>
          <cell r="AK62">
            <v>5343083</v>
          </cell>
          <cell r="AL62" t="str">
            <v>K1</v>
          </cell>
          <cell r="AM62">
            <v>5343083</v>
          </cell>
          <cell r="AN62">
            <v>0</v>
          </cell>
          <cell r="AQ62">
            <v>0</v>
          </cell>
          <cell r="AR62">
            <v>38000</v>
          </cell>
          <cell r="AS62">
            <v>31700</v>
          </cell>
          <cell r="AU62">
            <v>10000</v>
          </cell>
          <cell r="AV62">
            <v>53430.83</v>
          </cell>
          <cell r="AW62">
            <v>106861.66</v>
          </cell>
          <cell r="AX62">
            <v>53430.83</v>
          </cell>
          <cell r="AY62">
            <v>293423</v>
          </cell>
          <cell r="AZ62">
            <v>5049660</v>
          </cell>
          <cell r="BA62">
            <v>0</v>
          </cell>
          <cell r="BB62">
            <v>293423</v>
          </cell>
          <cell r="BC62">
            <v>5049660</v>
          </cell>
        </row>
        <row r="63">
          <cell r="F63" t="str">
            <v>180121-001</v>
          </cell>
          <cell r="G63" t="str">
            <v>Pembaharuan</v>
          </cell>
          <cell r="H63" t="str">
            <v>Pelaksana</v>
          </cell>
          <cell r="I63" t="str">
            <v>Prod. Stamping</v>
          </cell>
          <cell r="J63" t="str">
            <v>18 Januari 2021</v>
          </cell>
          <cell r="K63" t="b">
            <v>0</v>
          </cell>
          <cell r="L63">
            <v>44214</v>
          </cell>
          <cell r="M63">
            <v>0</v>
          </cell>
          <cell r="N63">
            <v>4</v>
          </cell>
          <cell r="O63">
            <v>6</v>
          </cell>
          <cell r="Q63">
            <v>5343082</v>
          </cell>
          <cell r="R63">
            <v>4924046</v>
          </cell>
          <cell r="S63">
            <v>5343083</v>
          </cell>
          <cell r="T63">
            <v>0</v>
          </cell>
          <cell r="U63">
            <v>0</v>
          </cell>
          <cell r="V63">
            <v>0</v>
          </cell>
          <cell r="W63">
            <v>5343083</v>
          </cell>
          <cell r="X63">
            <v>5</v>
          </cell>
          <cell r="Z63">
            <v>16</v>
          </cell>
          <cell r="AB63">
            <v>21</v>
          </cell>
          <cell r="AC63">
            <v>1272162.6190476192</v>
          </cell>
          <cell r="AD63">
            <v>4070920.3809523811</v>
          </cell>
          <cell r="AE63">
            <v>5343083</v>
          </cell>
          <cell r="AF63">
            <v>0</v>
          </cell>
          <cell r="AG63">
            <v>5343083</v>
          </cell>
          <cell r="AH63" t="b">
            <v>1</v>
          </cell>
          <cell r="AK63">
            <v>5343083</v>
          </cell>
          <cell r="AL63" t="str">
            <v>K1</v>
          </cell>
          <cell r="AM63">
            <v>5343083</v>
          </cell>
          <cell r="AN63">
            <v>0</v>
          </cell>
          <cell r="AQ63">
            <v>0</v>
          </cell>
          <cell r="AR63">
            <v>38000</v>
          </cell>
          <cell r="AS63">
            <v>31700</v>
          </cell>
          <cell r="AU63">
            <v>10000</v>
          </cell>
          <cell r="AV63">
            <v>53430.83</v>
          </cell>
          <cell r="AW63">
            <v>106861.66</v>
          </cell>
          <cell r="AX63">
            <v>53430.83</v>
          </cell>
          <cell r="AY63">
            <v>293423</v>
          </cell>
          <cell r="AZ63">
            <v>5049660</v>
          </cell>
          <cell r="BA63">
            <v>0</v>
          </cell>
          <cell r="BB63">
            <v>293423</v>
          </cell>
          <cell r="BC63">
            <v>5049660</v>
          </cell>
        </row>
        <row r="64">
          <cell r="F64" t="str">
            <v>230719-002</v>
          </cell>
          <cell r="G64" t="str">
            <v>Kontrak 2</v>
          </cell>
          <cell r="H64" t="str">
            <v>Pelaksana</v>
          </cell>
          <cell r="I64" t="str">
            <v>Prod. Stamping</v>
          </cell>
          <cell r="J64" t="str">
            <v>23 Juli 2019</v>
          </cell>
          <cell r="K64" t="b">
            <v>0</v>
          </cell>
          <cell r="L64">
            <v>43669</v>
          </cell>
          <cell r="M64">
            <v>1</v>
          </cell>
          <cell r="N64">
            <v>10</v>
          </cell>
          <cell r="O64">
            <v>1</v>
          </cell>
          <cell r="Q64">
            <v>5343082</v>
          </cell>
          <cell r="R64">
            <v>4924046</v>
          </cell>
          <cell r="S64">
            <v>5343083</v>
          </cell>
          <cell r="T64">
            <v>0</v>
          </cell>
          <cell r="U64">
            <v>0</v>
          </cell>
          <cell r="V64">
            <v>0</v>
          </cell>
          <cell r="W64">
            <v>5343083</v>
          </cell>
          <cell r="X64">
            <v>5</v>
          </cell>
          <cell r="Z64">
            <v>16</v>
          </cell>
          <cell r="AB64">
            <v>21</v>
          </cell>
          <cell r="AC64">
            <v>1272162.6190476192</v>
          </cell>
          <cell r="AD64">
            <v>4070920.3809523811</v>
          </cell>
          <cell r="AE64">
            <v>5343083</v>
          </cell>
          <cell r="AF64">
            <v>0</v>
          </cell>
          <cell r="AG64">
            <v>5343083</v>
          </cell>
          <cell r="AH64" t="b">
            <v>1</v>
          </cell>
          <cell r="AK64">
            <v>5343083</v>
          </cell>
          <cell r="AL64" t="str">
            <v>TK</v>
          </cell>
          <cell r="AM64">
            <v>5343083</v>
          </cell>
          <cell r="AN64">
            <v>34354.584590750004</v>
          </cell>
          <cell r="AQ64">
            <v>0</v>
          </cell>
          <cell r="AR64">
            <v>38000</v>
          </cell>
          <cell r="AS64">
            <v>31700</v>
          </cell>
          <cell r="AV64">
            <v>53430.83</v>
          </cell>
          <cell r="AW64">
            <v>106861.66</v>
          </cell>
          <cell r="AX64">
            <v>53430.83</v>
          </cell>
          <cell r="AY64">
            <v>317778</v>
          </cell>
          <cell r="AZ64">
            <v>5025305</v>
          </cell>
          <cell r="BA64">
            <v>34354.584590750004</v>
          </cell>
          <cell r="BB64">
            <v>283423</v>
          </cell>
          <cell r="BC64">
            <v>5059660</v>
          </cell>
        </row>
        <row r="65">
          <cell r="F65" t="str">
            <v>230719-008</v>
          </cell>
          <cell r="G65" t="str">
            <v>Kontrak 2</v>
          </cell>
          <cell r="H65" t="str">
            <v>Pelaksana</v>
          </cell>
          <cell r="I65" t="str">
            <v>Prod. Stamping</v>
          </cell>
          <cell r="J65" t="str">
            <v>23 Juli 2019</v>
          </cell>
          <cell r="K65" t="b">
            <v>0</v>
          </cell>
          <cell r="L65">
            <v>43669</v>
          </cell>
          <cell r="M65">
            <v>1</v>
          </cell>
          <cell r="N65">
            <v>10</v>
          </cell>
          <cell r="O65">
            <v>1</v>
          </cell>
          <cell r="Q65">
            <v>5343082</v>
          </cell>
          <cell r="R65">
            <v>4924046</v>
          </cell>
          <cell r="S65">
            <v>5343083</v>
          </cell>
          <cell r="T65">
            <v>0</v>
          </cell>
          <cell r="U65">
            <v>0</v>
          </cell>
          <cell r="V65">
            <v>0</v>
          </cell>
          <cell r="W65">
            <v>5343083</v>
          </cell>
          <cell r="X65">
            <v>5</v>
          </cell>
          <cell r="Z65">
            <v>16</v>
          </cell>
          <cell r="AB65">
            <v>21</v>
          </cell>
          <cell r="AC65">
            <v>1272162.6190476192</v>
          </cell>
          <cell r="AD65">
            <v>4070920.3809523811</v>
          </cell>
          <cell r="AE65">
            <v>5343083</v>
          </cell>
          <cell r="AF65">
            <v>0</v>
          </cell>
          <cell r="AG65">
            <v>5343083</v>
          </cell>
          <cell r="AH65" t="b">
            <v>1</v>
          </cell>
          <cell r="AK65">
            <v>5343083</v>
          </cell>
          <cell r="AL65" t="str">
            <v>TK</v>
          </cell>
          <cell r="AM65">
            <v>5343083</v>
          </cell>
          <cell r="AN65">
            <v>34354.584590750004</v>
          </cell>
          <cell r="AQ65">
            <v>0</v>
          </cell>
          <cell r="AR65">
            <v>38000</v>
          </cell>
          <cell r="AS65">
            <v>31700</v>
          </cell>
          <cell r="AV65">
            <v>53430.83</v>
          </cell>
          <cell r="AW65">
            <v>106861.66</v>
          </cell>
          <cell r="AX65">
            <v>53430.83</v>
          </cell>
          <cell r="AY65">
            <v>317778</v>
          </cell>
          <cell r="AZ65">
            <v>5025305</v>
          </cell>
          <cell r="BA65">
            <v>34354.584590750004</v>
          </cell>
          <cell r="BB65">
            <v>283423</v>
          </cell>
          <cell r="BC65">
            <v>5059660</v>
          </cell>
        </row>
        <row r="66">
          <cell r="F66" t="str">
            <v>010719-005</v>
          </cell>
          <cell r="G66" t="str">
            <v>Kontrak 2</v>
          </cell>
          <cell r="H66" t="str">
            <v>Pelaksana</v>
          </cell>
          <cell r="I66" t="str">
            <v>Prod. Stamping</v>
          </cell>
          <cell r="J66" t="str">
            <v>01 Juli 2019</v>
          </cell>
          <cell r="K66" t="b">
            <v>0</v>
          </cell>
          <cell r="L66">
            <v>43647</v>
          </cell>
          <cell r="M66">
            <v>1</v>
          </cell>
          <cell r="N66">
            <v>10</v>
          </cell>
          <cell r="O66">
            <v>23</v>
          </cell>
          <cell r="Q66">
            <v>5343082</v>
          </cell>
          <cell r="R66">
            <v>4924046</v>
          </cell>
          <cell r="S66">
            <v>5343083</v>
          </cell>
          <cell r="T66">
            <v>0</v>
          </cell>
          <cell r="U66">
            <v>0</v>
          </cell>
          <cell r="V66">
            <v>0</v>
          </cell>
          <cell r="W66">
            <v>5343083</v>
          </cell>
          <cell r="X66">
            <v>5</v>
          </cell>
          <cell r="Z66">
            <v>16</v>
          </cell>
          <cell r="AB66">
            <v>21</v>
          </cell>
          <cell r="AC66">
            <v>1272162.6190476192</v>
          </cell>
          <cell r="AD66">
            <v>4070920.3809523811</v>
          </cell>
          <cell r="AE66">
            <v>5343083</v>
          </cell>
          <cell r="AF66">
            <v>0</v>
          </cell>
          <cell r="AG66">
            <v>5343083</v>
          </cell>
          <cell r="AH66" t="b">
            <v>1</v>
          </cell>
          <cell r="AK66">
            <v>5343083</v>
          </cell>
          <cell r="AL66" t="str">
            <v>K1</v>
          </cell>
          <cell r="AM66">
            <v>5343083</v>
          </cell>
          <cell r="AN66">
            <v>0</v>
          </cell>
          <cell r="AQ66">
            <v>0</v>
          </cell>
          <cell r="AR66">
            <v>38000</v>
          </cell>
          <cell r="AS66">
            <v>31700</v>
          </cell>
          <cell r="AV66">
            <v>53430.83</v>
          </cell>
          <cell r="AW66">
            <v>106861.66</v>
          </cell>
          <cell r="AX66">
            <v>53430.83</v>
          </cell>
          <cell r="AY66">
            <v>283423</v>
          </cell>
          <cell r="AZ66">
            <v>5059660</v>
          </cell>
          <cell r="BA66">
            <v>0</v>
          </cell>
          <cell r="BB66">
            <v>283423</v>
          </cell>
          <cell r="BC66">
            <v>5059660</v>
          </cell>
        </row>
        <row r="67">
          <cell r="F67" t="str">
            <v>130818-008</v>
          </cell>
          <cell r="G67" t="str">
            <v>Recall Kontrak 2</v>
          </cell>
          <cell r="H67" t="str">
            <v>Pelaksana</v>
          </cell>
          <cell r="I67" t="str">
            <v>Prod. Stamping</v>
          </cell>
          <cell r="J67">
            <v>43325</v>
          </cell>
          <cell r="K67" t="b">
            <v>1</v>
          </cell>
          <cell r="L67">
            <v>43325</v>
          </cell>
          <cell r="M67">
            <v>2</v>
          </cell>
          <cell r="N67">
            <v>9</v>
          </cell>
          <cell r="O67">
            <v>11</v>
          </cell>
          <cell r="Q67">
            <v>5343082</v>
          </cell>
          <cell r="R67">
            <v>4924046</v>
          </cell>
          <cell r="S67">
            <v>5343083</v>
          </cell>
          <cell r="T67">
            <v>0</v>
          </cell>
          <cell r="U67">
            <v>0</v>
          </cell>
          <cell r="V67">
            <v>0</v>
          </cell>
          <cell r="W67">
            <v>5343083</v>
          </cell>
          <cell r="X67">
            <v>5</v>
          </cell>
          <cell r="Z67">
            <v>16</v>
          </cell>
          <cell r="AB67">
            <v>21</v>
          </cell>
          <cell r="AC67">
            <v>1272162.6190476192</v>
          </cell>
          <cell r="AD67">
            <v>4070920.3809523811</v>
          </cell>
          <cell r="AE67">
            <v>5343083</v>
          </cell>
          <cell r="AF67">
            <v>0</v>
          </cell>
          <cell r="AG67">
            <v>5343083</v>
          </cell>
          <cell r="AH67" t="b">
            <v>1</v>
          </cell>
          <cell r="AK67">
            <v>5343083</v>
          </cell>
          <cell r="AL67" t="str">
            <v>K0</v>
          </cell>
          <cell r="AM67">
            <v>5343083</v>
          </cell>
          <cell r="AN67">
            <v>15604.584590750002</v>
          </cell>
          <cell r="AQ67">
            <v>0</v>
          </cell>
          <cell r="AS67">
            <v>31700</v>
          </cell>
          <cell r="AV67">
            <v>53430.83</v>
          </cell>
          <cell r="AW67">
            <v>106861.66</v>
          </cell>
          <cell r="AX67">
            <v>53430.83</v>
          </cell>
          <cell r="AY67">
            <v>261028</v>
          </cell>
          <cell r="AZ67">
            <v>5082055</v>
          </cell>
          <cell r="BA67">
            <v>15604.584590750002</v>
          </cell>
          <cell r="BB67">
            <v>245423</v>
          </cell>
          <cell r="BC67">
            <v>5097660</v>
          </cell>
        </row>
        <row r="68">
          <cell r="F68" t="str">
            <v>280318-021</v>
          </cell>
          <cell r="G68" t="str">
            <v>Pembaharuan</v>
          </cell>
          <cell r="H68" t="str">
            <v>Pelaksana</v>
          </cell>
          <cell r="I68" t="str">
            <v>Prod. Stamping</v>
          </cell>
          <cell r="J68">
            <v>43187</v>
          </cell>
          <cell r="K68" t="b">
            <v>1</v>
          </cell>
          <cell r="L68">
            <v>43187</v>
          </cell>
          <cell r="M68">
            <v>3</v>
          </cell>
          <cell r="N68">
            <v>1</v>
          </cell>
          <cell r="O68">
            <v>26</v>
          </cell>
          <cell r="Q68">
            <v>5343082</v>
          </cell>
          <cell r="R68">
            <v>4924046</v>
          </cell>
          <cell r="S68">
            <v>5343083</v>
          </cell>
          <cell r="T68">
            <v>0</v>
          </cell>
          <cell r="U68">
            <v>0</v>
          </cell>
          <cell r="V68">
            <v>0</v>
          </cell>
          <cell r="W68">
            <v>5343083</v>
          </cell>
          <cell r="X68">
            <v>5</v>
          </cell>
          <cell r="Z68">
            <v>16</v>
          </cell>
          <cell r="AB68">
            <v>21</v>
          </cell>
          <cell r="AC68">
            <v>1272162.6190476192</v>
          </cell>
          <cell r="AD68">
            <v>4070920.3809523811</v>
          </cell>
          <cell r="AE68">
            <v>5343083</v>
          </cell>
          <cell r="AF68">
            <v>0</v>
          </cell>
          <cell r="AG68">
            <v>5343083</v>
          </cell>
          <cell r="AH68" t="b">
            <v>1</v>
          </cell>
          <cell r="AK68">
            <v>5343083</v>
          </cell>
          <cell r="AL68" t="str">
            <v>K1</v>
          </cell>
          <cell r="AM68">
            <v>5343083</v>
          </cell>
          <cell r="AN68">
            <v>0</v>
          </cell>
          <cell r="AQ68">
            <v>0</v>
          </cell>
          <cell r="AR68">
            <v>38000</v>
          </cell>
          <cell r="AS68">
            <v>31700</v>
          </cell>
          <cell r="AV68">
            <v>53430.83</v>
          </cell>
          <cell r="AW68">
            <v>106861.66</v>
          </cell>
          <cell r="AX68">
            <v>53430.83</v>
          </cell>
          <cell r="AY68">
            <v>283423</v>
          </cell>
          <cell r="AZ68">
            <v>5059660</v>
          </cell>
          <cell r="BA68">
            <v>0</v>
          </cell>
          <cell r="BB68">
            <v>283423</v>
          </cell>
          <cell r="BC68">
            <v>5059660</v>
          </cell>
        </row>
        <row r="69">
          <cell r="F69" t="str">
            <v>161120-002</v>
          </cell>
          <cell r="G69" t="str">
            <v>Pembaharuan</v>
          </cell>
          <cell r="H69" t="str">
            <v>Pelaksana</v>
          </cell>
          <cell r="I69" t="str">
            <v>Prod. Stamping</v>
          </cell>
          <cell r="J69">
            <v>44152</v>
          </cell>
          <cell r="K69" t="b">
            <v>1</v>
          </cell>
          <cell r="L69">
            <v>44152</v>
          </cell>
          <cell r="M69">
            <v>0</v>
          </cell>
          <cell r="N69">
            <v>6</v>
          </cell>
          <cell r="O69">
            <v>7</v>
          </cell>
          <cell r="Q69">
            <v>5343082</v>
          </cell>
          <cell r="R69">
            <v>4924046</v>
          </cell>
          <cell r="S69">
            <v>5343083</v>
          </cell>
          <cell r="T69">
            <v>0</v>
          </cell>
          <cell r="U69">
            <v>0</v>
          </cell>
          <cell r="V69">
            <v>0</v>
          </cell>
          <cell r="W69">
            <v>5343083</v>
          </cell>
          <cell r="X69">
            <v>5</v>
          </cell>
          <cell r="Z69">
            <v>16</v>
          </cell>
          <cell r="AB69">
            <v>21</v>
          </cell>
          <cell r="AC69">
            <v>1272162.6190476192</v>
          </cell>
          <cell r="AD69">
            <v>4070920.3809523811</v>
          </cell>
          <cell r="AE69">
            <v>5343083</v>
          </cell>
          <cell r="AF69">
            <v>0</v>
          </cell>
          <cell r="AG69">
            <v>5343083</v>
          </cell>
          <cell r="AH69" t="b">
            <v>1</v>
          </cell>
          <cell r="AK69">
            <v>5343083</v>
          </cell>
          <cell r="AL69" t="str">
            <v>K1</v>
          </cell>
          <cell r="AM69">
            <v>5343083</v>
          </cell>
          <cell r="AN69">
            <v>0</v>
          </cell>
          <cell r="AQ69">
            <v>0</v>
          </cell>
          <cell r="AR69">
            <v>38000</v>
          </cell>
          <cell r="AS69">
            <v>31700</v>
          </cell>
          <cell r="AU69">
            <v>10000</v>
          </cell>
          <cell r="AV69">
            <v>53430.83</v>
          </cell>
          <cell r="AW69">
            <v>106861.66</v>
          </cell>
          <cell r="AX69">
            <v>53430.83</v>
          </cell>
          <cell r="AY69">
            <v>293423</v>
          </cell>
          <cell r="AZ69">
            <v>5049660</v>
          </cell>
          <cell r="BA69">
            <v>0</v>
          </cell>
          <cell r="BB69">
            <v>293423</v>
          </cell>
          <cell r="BC69">
            <v>5049660</v>
          </cell>
        </row>
        <row r="70">
          <cell r="F70" t="str">
            <v>090320-002</v>
          </cell>
          <cell r="G70" t="str">
            <v>Pembaharuan</v>
          </cell>
          <cell r="H70" t="str">
            <v>Pelaksana</v>
          </cell>
          <cell r="I70" t="str">
            <v>Prod. Stamping</v>
          </cell>
          <cell r="J70">
            <v>43899</v>
          </cell>
          <cell r="K70" t="b">
            <v>1</v>
          </cell>
          <cell r="L70">
            <v>43899</v>
          </cell>
          <cell r="M70">
            <v>1</v>
          </cell>
          <cell r="N70">
            <v>2</v>
          </cell>
          <cell r="O70">
            <v>15</v>
          </cell>
          <cell r="Q70">
            <v>5343082</v>
          </cell>
          <cell r="R70">
            <v>4924046</v>
          </cell>
          <cell r="S70">
            <v>5343083</v>
          </cell>
          <cell r="T70">
            <v>0</v>
          </cell>
          <cell r="U70">
            <v>0</v>
          </cell>
          <cell r="V70">
            <v>0</v>
          </cell>
          <cell r="W70">
            <v>5343083</v>
          </cell>
          <cell r="X70">
            <v>5</v>
          </cell>
          <cell r="Z70">
            <v>16</v>
          </cell>
          <cell r="AB70">
            <v>21</v>
          </cell>
          <cell r="AC70">
            <v>1272162.6190476192</v>
          </cell>
          <cell r="AD70">
            <v>4070920.3809523811</v>
          </cell>
          <cell r="AE70">
            <v>5343083</v>
          </cell>
          <cell r="AF70">
            <v>0</v>
          </cell>
          <cell r="AG70">
            <v>5343083</v>
          </cell>
          <cell r="AH70" t="b">
            <v>1</v>
          </cell>
          <cell r="AK70">
            <v>5343083</v>
          </cell>
          <cell r="AL70" t="str">
            <v>TK</v>
          </cell>
          <cell r="AM70">
            <v>5343083</v>
          </cell>
          <cell r="AN70">
            <v>34354.584590750004</v>
          </cell>
          <cell r="AQ70">
            <v>0</v>
          </cell>
          <cell r="AR70">
            <v>38000</v>
          </cell>
          <cell r="AS70">
            <v>31700</v>
          </cell>
          <cell r="AV70">
            <v>53430.83</v>
          </cell>
          <cell r="AW70">
            <v>106861.66</v>
          </cell>
          <cell r="AX70">
            <v>53430.83</v>
          </cell>
          <cell r="AY70">
            <v>317778</v>
          </cell>
          <cell r="AZ70">
            <v>5025305</v>
          </cell>
          <cell r="BA70">
            <v>34354.584590750004</v>
          </cell>
          <cell r="BB70">
            <v>283423</v>
          </cell>
          <cell r="BC70">
            <v>5059660</v>
          </cell>
        </row>
        <row r="71">
          <cell r="F71" t="str">
            <v>290618-014</v>
          </cell>
          <cell r="G71" t="str">
            <v>Kontrak 2</v>
          </cell>
          <cell r="H71" t="str">
            <v>Pelaksana</v>
          </cell>
          <cell r="I71" t="str">
            <v>Prod. Stamping</v>
          </cell>
          <cell r="J71">
            <v>43280</v>
          </cell>
          <cell r="K71" t="b">
            <v>1</v>
          </cell>
          <cell r="L71">
            <v>43280</v>
          </cell>
          <cell r="M71">
            <v>2</v>
          </cell>
          <cell r="N71">
            <v>10</v>
          </cell>
          <cell r="O71">
            <v>25</v>
          </cell>
          <cell r="Q71">
            <v>5343082</v>
          </cell>
          <cell r="R71">
            <v>4924046</v>
          </cell>
          <cell r="S71">
            <v>5343083</v>
          </cell>
          <cell r="T71">
            <v>0</v>
          </cell>
          <cell r="U71">
            <v>0</v>
          </cell>
          <cell r="V71">
            <v>0</v>
          </cell>
          <cell r="W71">
            <v>5343083</v>
          </cell>
          <cell r="X71">
            <v>5</v>
          </cell>
          <cell r="Z71">
            <v>16</v>
          </cell>
          <cell r="AB71">
            <v>21</v>
          </cell>
          <cell r="AC71">
            <v>1272162.6190476192</v>
          </cell>
          <cell r="AD71">
            <v>4070920.3809523811</v>
          </cell>
          <cell r="AE71">
            <v>5343083</v>
          </cell>
          <cell r="AF71">
            <v>0</v>
          </cell>
          <cell r="AG71">
            <v>5343083</v>
          </cell>
          <cell r="AH71" t="b">
            <v>1</v>
          </cell>
          <cell r="AK71">
            <v>5343083</v>
          </cell>
          <cell r="AL71" t="str">
            <v>TK</v>
          </cell>
          <cell r="AM71">
            <v>5343083</v>
          </cell>
          <cell r="AN71">
            <v>34354.584590750004</v>
          </cell>
          <cell r="AQ71">
            <v>0</v>
          </cell>
          <cell r="AR71">
            <v>38000</v>
          </cell>
          <cell r="AS71">
            <v>31700</v>
          </cell>
          <cell r="AU71">
            <v>10000</v>
          </cell>
          <cell r="AV71">
            <v>53430.83</v>
          </cell>
          <cell r="AW71">
            <v>106861.66</v>
          </cell>
          <cell r="AX71">
            <v>53430.83</v>
          </cell>
          <cell r="AY71">
            <v>327778</v>
          </cell>
          <cell r="AZ71">
            <v>5015305</v>
          </cell>
          <cell r="BA71">
            <v>34354.584590750004</v>
          </cell>
          <cell r="BB71">
            <v>293423</v>
          </cell>
          <cell r="BC71">
            <v>5049660</v>
          </cell>
        </row>
        <row r="72">
          <cell r="F72" t="str">
            <v>230719-004</v>
          </cell>
          <cell r="G72" t="str">
            <v>Kontrak 2</v>
          </cell>
          <cell r="H72" t="str">
            <v>Pelaksana</v>
          </cell>
          <cell r="I72" t="str">
            <v>Prod. Stamping</v>
          </cell>
          <cell r="J72" t="str">
            <v>23 Juli 2019</v>
          </cell>
          <cell r="K72" t="b">
            <v>0</v>
          </cell>
          <cell r="L72">
            <v>43669</v>
          </cell>
          <cell r="M72">
            <v>1</v>
          </cell>
          <cell r="N72">
            <v>10</v>
          </cell>
          <cell r="O72">
            <v>1</v>
          </cell>
          <cell r="Q72">
            <v>5343082</v>
          </cell>
          <cell r="R72">
            <v>4924046</v>
          </cell>
          <cell r="S72">
            <v>5343083</v>
          </cell>
          <cell r="T72">
            <v>0</v>
          </cell>
          <cell r="U72">
            <v>0</v>
          </cell>
          <cell r="V72">
            <v>0</v>
          </cell>
          <cell r="W72">
            <v>5343083</v>
          </cell>
          <cell r="X72">
            <v>5</v>
          </cell>
          <cell r="Z72">
            <v>16</v>
          </cell>
          <cell r="AB72">
            <v>21</v>
          </cell>
          <cell r="AC72">
            <v>1272162.6190476192</v>
          </cell>
          <cell r="AD72">
            <v>4070920.3809523811</v>
          </cell>
          <cell r="AE72">
            <v>5343083</v>
          </cell>
          <cell r="AF72">
            <v>0</v>
          </cell>
          <cell r="AG72">
            <v>5343083</v>
          </cell>
          <cell r="AH72" t="b">
            <v>1</v>
          </cell>
          <cell r="AK72">
            <v>5343083</v>
          </cell>
          <cell r="AL72" t="str">
            <v>TK</v>
          </cell>
          <cell r="AM72">
            <v>5343083</v>
          </cell>
          <cell r="AN72">
            <v>34354.584590750004</v>
          </cell>
          <cell r="AQ72">
            <v>0</v>
          </cell>
          <cell r="AR72">
            <v>38000</v>
          </cell>
          <cell r="AS72">
            <v>31700</v>
          </cell>
          <cell r="AV72">
            <v>53430.83</v>
          </cell>
          <cell r="AW72">
            <v>106861.66</v>
          </cell>
          <cell r="AX72">
            <v>53430.83</v>
          </cell>
          <cell r="AY72">
            <v>317778</v>
          </cell>
          <cell r="AZ72">
            <v>5025305</v>
          </cell>
          <cell r="BA72">
            <v>34354.584590750004</v>
          </cell>
          <cell r="BB72">
            <v>283423</v>
          </cell>
          <cell r="BC72">
            <v>5059660</v>
          </cell>
        </row>
        <row r="73">
          <cell r="F73" t="str">
            <v>170221-001</v>
          </cell>
          <cell r="G73" t="str">
            <v>Pembaharuan</v>
          </cell>
          <cell r="H73" t="str">
            <v>Pelaksana</v>
          </cell>
          <cell r="I73" t="str">
            <v>Prod. Stamping</v>
          </cell>
          <cell r="J73" t="str">
            <v>17 Februari 2021</v>
          </cell>
          <cell r="K73" t="b">
            <v>0</v>
          </cell>
          <cell r="L73">
            <v>44244</v>
          </cell>
          <cell r="M73">
            <v>0</v>
          </cell>
          <cell r="N73">
            <v>3</v>
          </cell>
          <cell r="O73">
            <v>7</v>
          </cell>
          <cell r="Q73">
            <v>5343082</v>
          </cell>
          <cell r="R73">
            <v>4924046</v>
          </cell>
          <cell r="S73">
            <v>5343083</v>
          </cell>
          <cell r="T73">
            <v>0</v>
          </cell>
          <cell r="U73">
            <v>0</v>
          </cell>
          <cell r="V73">
            <v>0</v>
          </cell>
          <cell r="W73">
            <v>5343083</v>
          </cell>
          <cell r="X73">
            <v>5</v>
          </cell>
          <cell r="Z73">
            <v>16</v>
          </cell>
          <cell r="AB73">
            <v>21</v>
          </cell>
          <cell r="AC73">
            <v>1272162.6190476192</v>
          </cell>
          <cell r="AD73">
            <v>4070920.3809523811</v>
          </cell>
          <cell r="AE73">
            <v>5343083</v>
          </cell>
          <cell r="AF73">
            <v>0</v>
          </cell>
          <cell r="AG73">
            <v>5343083</v>
          </cell>
          <cell r="AH73" t="b">
            <v>1</v>
          </cell>
          <cell r="AK73">
            <v>5343083</v>
          </cell>
          <cell r="AL73" t="str">
            <v>TK</v>
          </cell>
          <cell r="AM73">
            <v>5343083</v>
          </cell>
          <cell r="AN73">
            <v>34354.584590750004</v>
          </cell>
          <cell r="AQ73">
            <v>0</v>
          </cell>
          <cell r="AR73">
            <v>38000</v>
          </cell>
          <cell r="AS73">
            <v>31700</v>
          </cell>
          <cell r="AV73">
            <v>53430.83</v>
          </cell>
          <cell r="AW73">
            <v>106861.66</v>
          </cell>
          <cell r="AX73">
            <v>53430.83</v>
          </cell>
          <cell r="AY73">
            <v>317778</v>
          </cell>
          <cell r="AZ73">
            <v>5025305</v>
          </cell>
          <cell r="BA73">
            <v>34354.584590750004</v>
          </cell>
          <cell r="BB73">
            <v>283423</v>
          </cell>
          <cell r="BC73">
            <v>5059660</v>
          </cell>
        </row>
        <row r="74">
          <cell r="F74" t="str">
            <v>200619-003</v>
          </cell>
          <cell r="G74" t="str">
            <v>Kontrak 2</v>
          </cell>
          <cell r="H74" t="str">
            <v>Pelaksana</v>
          </cell>
          <cell r="I74" t="str">
            <v>Prod. Stamping</v>
          </cell>
          <cell r="J74" t="str">
            <v>20 Juni 2019</v>
          </cell>
          <cell r="K74" t="b">
            <v>0</v>
          </cell>
          <cell r="L74">
            <v>43636</v>
          </cell>
          <cell r="M74">
            <v>1</v>
          </cell>
          <cell r="N74">
            <v>11</v>
          </cell>
          <cell r="O74">
            <v>4</v>
          </cell>
          <cell r="Q74">
            <v>5343082</v>
          </cell>
          <cell r="R74">
            <v>4924046</v>
          </cell>
          <cell r="S74">
            <v>5343083</v>
          </cell>
          <cell r="T74">
            <v>0</v>
          </cell>
          <cell r="U74">
            <v>0</v>
          </cell>
          <cell r="V74">
            <v>0</v>
          </cell>
          <cell r="W74">
            <v>5343083</v>
          </cell>
          <cell r="X74">
            <v>5</v>
          </cell>
          <cell r="Z74">
            <v>16</v>
          </cell>
          <cell r="AB74">
            <v>21</v>
          </cell>
          <cell r="AC74">
            <v>1272162.6190476192</v>
          </cell>
          <cell r="AD74">
            <v>4070920.3809523811</v>
          </cell>
          <cell r="AE74">
            <v>5343083</v>
          </cell>
          <cell r="AF74">
            <v>0</v>
          </cell>
          <cell r="AG74">
            <v>5343083</v>
          </cell>
          <cell r="AH74" t="b">
            <v>1</v>
          </cell>
          <cell r="AK74">
            <v>5343083</v>
          </cell>
          <cell r="AL74" t="str">
            <v>K0</v>
          </cell>
          <cell r="AM74">
            <v>5343083</v>
          </cell>
          <cell r="AN74">
            <v>15604.584590750002</v>
          </cell>
          <cell r="AQ74">
            <v>0</v>
          </cell>
          <cell r="AS74">
            <v>31700</v>
          </cell>
          <cell r="AV74">
            <v>53430.83</v>
          </cell>
          <cell r="AW74">
            <v>106861.66</v>
          </cell>
          <cell r="AX74">
            <v>53430.83</v>
          </cell>
          <cell r="AY74">
            <v>261028</v>
          </cell>
          <cell r="AZ74">
            <v>5082055</v>
          </cell>
          <cell r="BA74">
            <v>15604.584590750002</v>
          </cell>
          <cell r="BB74">
            <v>245423</v>
          </cell>
          <cell r="BC74">
            <v>5097660</v>
          </cell>
        </row>
        <row r="75">
          <cell r="F75" t="str">
            <v>090320-001</v>
          </cell>
          <cell r="G75" t="str">
            <v>Pembaharuan</v>
          </cell>
          <cell r="H75" t="str">
            <v>Pelaksana</v>
          </cell>
          <cell r="I75" t="str">
            <v>Prod. Stamping</v>
          </cell>
          <cell r="J75">
            <v>43899</v>
          </cell>
          <cell r="K75" t="b">
            <v>1</v>
          </cell>
          <cell r="L75">
            <v>43899</v>
          </cell>
          <cell r="M75">
            <v>1</v>
          </cell>
          <cell r="N75">
            <v>2</v>
          </cell>
          <cell r="O75">
            <v>15</v>
          </cell>
          <cell r="Q75">
            <v>5343082</v>
          </cell>
          <cell r="R75">
            <v>4924046</v>
          </cell>
          <cell r="S75">
            <v>5343083</v>
          </cell>
          <cell r="T75">
            <v>0</v>
          </cell>
          <cell r="U75">
            <v>0</v>
          </cell>
          <cell r="V75">
            <v>0</v>
          </cell>
          <cell r="W75">
            <v>5343083</v>
          </cell>
          <cell r="X75">
            <v>5</v>
          </cell>
          <cell r="Z75">
            <v>16</v>
          </cell>
          <cell r="AB75">
            <v>21</v>
          </cell>
          <cell r="AC75">
            <v>1272162.6190476192</v>
          </cell>
          <cell r="AD75">
            <v>4070920.3809523811</v>
          </cell>
          <cell r="AE75">
            <v>5343083</v>
          </cell>
          <cell r="AF75">
            <v>0</v>
          </cell>
          <cell r="AG75">
            <v>5343083</v>
          </cell>
          <cell r="AH75" t="b">
            <v>1</v>
          </cell>
          <cell r="AK75">
            <v>5343083</v>
          </cell>
          <cell r="AL75" t="str">
            <v>K1</v>
          </cell>
          <cell r="AM75">
            <v>5343083</v>
          </cell>
          <cell r="AN75">
            <v>0</v>
          </cell>
          <cell r="AQ75">
            <v>0</v>
          </cell>
          <cell r="AR75">
            <v>38000</v>
          </cell>
          <cell r="AS75">
            <v>31700</v>
          </cell>
          <cell r="AV75">
            <v>53430.83</v>
          </cell>
          <cell r="AW75">
            <v>106861.66</v>
          </cell>
          <cell r="AX75">
            <v>53430.83</v>
          </cell>
          <cell r="AY75">
            <v>283423</v>
          </cell>
          <cell r="AZ75">
            <v>5059660</v>
          </cell>
          <cell r="BA75">
            <v>0</v>
          </cell>
          <cell r="BB75">
            <v>283423</v>
          </cell>
          <cell r="BC75">
            <v>5059660</v>
          </cell>
        </row>
        <row r="76">
          <cell r="F76" t="str">
            <v>090420-001</v>
          </cell>
          <cell r="G76" t="str">
            <v>pembaharuan</v>
          </cell>
          <cell r="H76" t="str">
            <v>Pelaksana</v>
          </cell>
          <cell r="I76" t="str">
            <v>Prod. Stamping</v>
          </cell>
          <cell r="J76">
            <v>43930</v>
          </cell>
          <cell r="K76" t="b">
            <v>1</v>
          </cell>
          <cell r="L76">
            <v>43930</v>
          </cell>
          <cell r="M76">
            <v>1</v>
          </cell>
          <cell r="N76">
            <v>1</v>
          </cell>
          <cell r="O76">
            <v>15</v>
          </cell>
          <cell r="Q76">
            <v>5343082</v>
          </cell>
          <cell r="R76">
            <v>4924046</v>
          </cell>
          <cell r="S76">
            <v>5343083</v>
          </cell>
          <cell r="T76">
            <v>0</v>
          </cell>
          <cell r="U76">
            <v>0</v>
          </cell>
          <cell r="V76">
            <v>0</v>
          </cell>
          <cell r="W76">
            <v>5343083</v>
          </cell>
          <cell r="X76">
            <v>5</v>
          </cell>
          <cell r="Z76">
            <v>16</v>
          </cell>
          <cell r="AB76">
            <v>21</v>
          </cell>
          <cell r="AC76">
            <v>1272162.6190476192</v>
          </cell>
          <cell r="AD76">
            <v>4070920.3809523811</v>
          </cell>
          <cell r="AE76">
            <v>5343083</v>
          </cell>
          <cell r="AF76">
            <v>0</v>
          </cell>
          <cell r="AG76">
            <v>5343083</v>
          </cell>
          <cell r="AH76" t="b">
            <v>1</v>
          </cell>
          <cell r="AK76">
            <v>5343083</v>
          </cell>
          <cell r="AL76" t="str">
            <v>K1</v>
          </cell>
          <cell r="AM76">
            <v>5343083</v>
          </cell>
          <cell r="AN76">
            <v>0</v>
          </cell>
          <cell r="AQ76">
            <v>0</v>
          </cell>
          <cell r="AR76">
            <v>38000</v>
          </cell>
          <cell r="AS76">
            <v>31700</v>
          </cell>
          <cell r="AV76">
            <v>53430.83</v>
          </cell>
          <cell r="AW76">
            <v>106861.66</v>
          </cell>
          <cell r="AX76">
            <v>53430.83</v>
          </cell>
          <cell r="AY76">
            <v>283423</v>
          </cell>
          <cell r="AZ76">
            <v>5059660</v>
          </cell>
          <cell r="BA76">
            <v>0</v>
          </cell>
          <cell r="BB76">
            <v>283423</v>
          </cell>
          <cell r="BC76">
            <v>5059660</v>
          </cell>
        </row>
        <row r="77">
          <cell r="F77" t="str">
            <v>011018-004</v>
          </cell>
          <cell r="G77" t="str">
            <v>Kontrak 2</v>
          </cell>
          <cell r="H77" t="str">
            <v>Pelaksana</v>
          </cell>
          <cell r="I77" t="str">
            <v>Prod. Stamping</v>
          </cell>
          <cell r="J77">
            <v>43374</v>
          </cell>
          <cell r="K77" t="b">
            <v>1</v>
          </cell>
          <cell r="L77">
            <v>43374</v>
          </cell>
          <cell r="M77">
            <v>2</v>
          </cell>
          <cell r="N77">
            <v>7</v>
          </cell>
          <cell r="O77">
            <v>23</v>
          </cell>
          <cell r="Q77">
            <v>5343082</v>
          </cell>
          <cell r="R77">
            <v>4924046</v>
          </cell>
          <cell r="S77">
            <v>5343083</v>
          </cell>
          <cell r="T77">
            <v>0</v>
          </cell>
          <cell r="U77">
            <v>0</v>
          </cell>
          <cell r="V77">
            <v>0</v>
          </cell>
          <cell r="W77">
            <v>5343083</v>
          </cell>
          <cell r="X77">
            <v>5</v>
          </cell>
          <cell r="Z77">
            <v>16</v>
          </cell>
          <cell r="AB77">
            <v>21</v>
          </cell>
          <cell r="AC77">
            <v>1272162.6190476192</v>
          </cell>
          <cell r="AD77">
            <v>4070920.3809523811</v>
          </cell>
          <cell r="AE77">
            <v>5343083</v>
          </cell>
          <cell r="AF77">
            <v>0</v>
          </cell>
          <cell r="AG77">
            <v>5343083</v>
          </cell>
          <cell r="AH77" t="b">
            <v>1</v>
          </cell>
          <cell r="AK77">
            <v>5343083</v>
          </cell>
          <cell r="AL77" t="str">
            <v>TK</v>
          </cell>
          <cell r="AM77">
            <v>5343083</v>
          </cell>
          <cell r="AN77">
            <v>34354.584590750004</v>
          </cell>
          <cell r="AQ77">
            <v>0</v>
          </cell>
          <cell r="AS77">
            <v>31700</v>
          </cell>
          <cell r="AU77">
            <v>10000</v>
          </cell>
          <cell r="AV77">
            <v>53430.83</v>
          </cell>
          <cell r="AW77">
            <v>106861.66</v>
          </cell>
          <cell r="AX77">
            <v>53430.83</v>
          </cell>
          <cell r="AY77">
            <v>289778</v>
          </cell>
          <cell r="AZ77">
            <v>5053305</v>
          </cell>
          <cell r="BA77">
            <v>34354.584590750004</v>
          </cell>
          <cell r="BB77">
            <v>255423</v>
          </cell>
          <cell r="BC77">
            <v>5087660</v>
          </cell>
        </row>
        <row r="78">
          <cell r="F78" t="str">
            <v>021219-001</v>
          </cell>
          <cell r="G78" t="str">
            <v>Pembaharuan</v>
          </cell>
          <cell r="H78" t="str">
            <v>Pelaksana</v>
          </cell>
          <cell r="I78" t="str">
            <v>Prod. Stamping</v>
          </cell>
          <cell r="J78">
            <v>43801</v>
          </cell>
          <cell r="K78" t="b">
            <v>1</v>
          </cell>
          <cell r="L78">
            <v>43801</v>
          </cell>
          <cell r="M78">
            <v>1</v>
          </cell>
          <cell r="N78">
            <v>5</v>
          </cell>
          <cell r="O78">
            <v>22</v>
          </cell>
          <cell r="Q78">
            <v>5343082</v>
          </cell>
          <cell r="R78">
            <v>4924046</v>
          </cell>
          <cell r="S78">
            <v>5343083</v>
          </cell>
          <cell r="T78">
            <v>0</v>
          </cell>
          <cell r="U78">
            <v>0</v>
          </cell>
          <cell r="V78">
            <v>0</v>
          </cell>
          <cell r="W78">
            <v>5343083</v>
          </cell>
          <cell r="X78">
            <v>5</v>
          </cell>
          <cell r="Z78">
            <v>16</v>
          </cell>
          <cell r="AB78">
            <v>21</v>
          </cell>
          <cell r="AC78">
            <v>1272162.6190476192</v>
          </cell>
          <cell r="AD78">
            <v>4070920.3809523811</v>
          </cell>
          <cell r="AE78">
            <v>5343083</v>
          </cell>
          <cell r="AF78">
            <v>0</v>
          </cell>
          <cell r="AG78">
            <v>5343083</v>
          </cell>
          <cell r="AH78" t="b">
            <v>1</v>
          </cell>
          <cell r="AK78">
            <v>5343083</v>
          </cell>
          <cell r="AL78" t="str">
            <v>TK</v>
          </cell>
          <cell r="AM78">
            <v>5343083</v>
          </cell>
          <cell r="AN78">
            <v>34354.584590750004</v>
          </cell>
          <cell r="AQ78">
            <v>0</v>
          </cell>
          <cell r="AR78">
            <v>38000</v>
          </cell>
          <cell r="AS78">
            <v>31700</v>
          </cell>
          <cell r="AV78">
            <v>53430.83</v>
          </cell>
          <cell r="AW78">
            <v>106861.66</v>
          </cell>
          <cell r="AX78">
            <v>53430.83</v>
          </cell>
          <cell r="AY78">
            <v>317778</v>
          </cell>
          <cell r="AZ78">
            <v>5025305</v>
          </cell>
          <cell r="BA78">
            <v>34354.584590750004</v>
          </cell>
          <cell r="BB78">
            <v>283423</v>
          </cell>
          <cell r="BC78">
            <v>5059660</v>
          </cell>
        </row>
        <row r="79">
          <cell r="F79" t="str">
            <v>101218-004</v>
          </cell>
          <cell r="G79" t="str">
            <v>Kontrak 2</v>
          </cell>
          <cell r="H79" t="str">
            <v>Pelaksana</v>
          </cell>
          <cell r="I79" t="str">
            <v>Prod. Stamping</v>
          </cell>
          <cell r="J79">
            <v>43444</v>
          </cell>
          <cell r="K79" t="b">
            <v>1</v>
          </cell>
          <cell r="L79">
            <v>43444</v>
          </cell>
          <cell r="M79">
            <v>2</v>
          </cell>
          <cell r="N79">
            <v>5</v>
          </cell>
          <cell r="O79">
            <v>14</v>
          </cell>
          <cell r="Q79">
            <v>5343082</v>
          </cell>
          <cell r="R79">
            <v>4924046</v>
          </cell>
          <cell r="S79">
            <v>5343083</v>
          </cell>
          <cell r="T79">
            <v>0</v>
          </cell>
          <cell r="U79">
            <v>0</v>
          </cell>
          <cell r="V79">
            <v>0</v>
          </cell>
          <cell r="W79">
            <v>5343083</v>
          </cell>
          <cell r="X79">
            <v>5</v>
          </cell>
          <cell r="Z79">
            <v>16</v>
          </cell>
          <cell r="AB79">
            <v>21</v>
          </cell>
          <cell r="AC79">
            <v>1272162.6190476192</v>
          </cell>
          <cell r="AD79">
            <v>4070920.3809523811</v>
          </cell>
          <cell r="AE79">
            <v>5343083</v>
          </cell>
          <cell r="AF79">
            <v>0</v>
          </cell>
          <cell r="AG79">
            <v>5343083</v>
          </cell>
          <cell r="AH79" t="b">
            <v>1</v>
          </cell>
          <cell r="AK79">
            <v>5343083</v>
          </cell>
          <cell r="AL79" t="str">
            <v>K2</v>
          </cell>
          <cell r="AM79">
            <v>5343083</v>
          </cell>
          <cell r="AN79">
            <v>0</v>
          </cell>
          <cell r="AQ79">
            <v>0</v>
          </cell>
          <cell r="AR79">
            <v>38000</v>
          </cell>
          <cell r="AV79">
            <v>53430.83</v>
          </cell>
          <cell r="AW79">
            <v>106861.66</v>
          </cell>
          <cell r="AX79">
            <v>53430.83</v>
          </cell>
          <cell r="AY79">
            <v>251723</v>
          </cell>
          <cell r="AZ79">
            <v>5091360</v>
          </cell>
          <cell r="BA79">
            <v>0</v>
          </cell>
          <cell r="BB79">
            <v>251723</v>
          </cell>
          <cell r="BC79">
            <v>5091360</v>
          </cell>
        </row>
        <row r="80">
          <cell r="F80" t="str">
            <v>140119-013</v>
          </cell>
          <cell r="G80" t="str">
            <v>Kontrak 2</v>
          </cell>
          <cell r="H80" t="str">
            <v>Pelaksana</v>
          </cell>
          <cell r="I80" t="str">
            <v>Prod. Stamping</v>
          </cell>
          <cell r="J80">
            <v>43479</v>
          </cell>
          <cell r="K80" t="b">
            <v>1</v>
          </cell>
          <cell r="L80">
            <v>43479</v>
          </cell>
          <cell r="M80">
            <v>2</v>
          </cell>
          <cell r="N80">
            <v>4</v>
          </cell>
          <cell r="O80">
            <v>10</v>
          </cell>
          <cell r="Q80">
            <v>5343082</v>
          </cell>
          <cell r="R80">
            <v>4924046</v>
          </cell>
          <cell r="S80">
            <v>5343083</v>
          </cell>
          <cell r="T80">
            <v>0</v>
          </cell>
          <cell r="U80">
            <v>0</v>
          </cell>
          <cell r="V80">
            <v>0</v>
          </cell>
          <cell r="W80">
            <v>5343083</v>
          </cell>
          <cell r="X80">
            <v>5</v>
          </cell>
          <cell r="Z80">
            <v>16</v>
          </cell>
          <cell r="AB80">
            <v>21</v>
          </cell>
          <cell r="AC80">
            <v>1272162.6190476192</v>
          </cell>
          <cell r="AD80">
            <v>4070920.3809523811</v>
          </cell>
          <cell r="AE80">
            <v>5343083</v>
          </cell>
          <cell r="AF80">
            <v>0</v>
          </cell>
          <cell r="AG80">
            <v>5343083</v>
          </cell>
          <cell r="AH80" t="b">
            <v>1</v>
          </cell>
          <cell r="AK80">
            <v>5343083</v>
          </cell>
          <cell r="AL80" t="str">
            <v>K0</v>
          </cell>
          <cell r="AM80">
            <v>5343083</v>
          </cell>
          <cell r="AN80">
            <v>15604.584590750002</v>
          </cell>
          <cell r="AQ80">
            <v>0</v>
          </cell>
          <cell r="AR80">
            <v>38000</v>
          </cell>
          <cell r="AS80">
            <v>31700</v>
          </cell>
          <cell r="AV80">
            <v>53430.83</v>
          </cell>
          <cell r="AW80">
            <v>106861.66</v>
          </cell>
          <cell r="AX80">
            <v>53430.83</v>
          </cell>
          <cell r="AY80">
            <v>299028</v>
          </cell>
          <cell r="AZ80">
            <v>5044055</v>
          </cell>
          <cell r="BA80">
            <v>15604.584590750002</v>
          </cell>
          <cell r="BB80">
            <v>283423</v>
          </cell>
          <cell r="BC80">
            <v>5059660</v>
          </cell>
        </row>
        <row r="81">
          <cell r="F81" t="str">
            <v>090320-003</v>
          </cell>
          <cell r="G81" t="str">
            <v>pembaharuan</v>
          </cell>
          <cell r="H81" t="str">
            <v>Pelaksana</v>
          </cell>
          <cell r="I81" t="str">
            <v>Prod. Stamping</v>
          </cell>
          <cell r="J81">
            <v>43899</v>
          </cell>
          <cell r="K81" t="b">
            <v>1</v>
          </cell>
          <cell r="L81">
            <v>43899</v>
          </cell>
          <cell r="M81">
            <v>1</v>
          </cell>
          <cell r="N81">
            <v>2</v>
          </cell>
          <cell r="O81">
            <v>15</v>
          </cell>
          <cell r="Q81">
            <v>5343082</v>
          </cell>
          <cell r="R81">
            <v>4924046</v>
          </cell>
          <cell r="S81">
            <v>5343083</v>
          </cell>
          <cell r="T81">
            <v>0</v>
          </cell>
          <cell r="U81">
            <v>0</v>
          </cell>
          <cell r="V81">
            <v>0</v>
          </cell>
          <cell r="W81">
            <v>5343083</v>
          </cell>
          <cell r="X81">
            <v>5</v>
          </cell>
          <cell r="Z81">
            <v>16</v>
          </cell>
          <cell r="AB81">
            <v>21</v>
          </cell>
          <cell r="AC81">
            <v>1272162.6190476192</v>
          </cell>
          <cell r="AD81">
            <v>4070920.3809523811</v>
          </cell>
          <cell r="AE81">
            <v>5343083</v>
          </cell>
          <cell r="AF81">
            <v>0</v>
          </cell>
          <cell r="AG81">
            <v>5343083</v>
          </cell>
          <cell r="AH81" t="b">
            <v>1</v>
          </cell>
          <cell r="AK81">
            <v>5343083</v>
          </cell>
          <cell r="AL81" t="str">
            <v>TK</v>
          </cell>
          <cell r="AM81">
            <v>5343083</v>
          </cell>
          <cell r="AN81">
            <v>34354.584590750004</v>
          </cell>
          <cell r="AQ81">
            <v>0</v>
          </cell>
          <cell r="AR81">
            <v>38000</v>
          </cell>
          <cell r="AS81">
            <v>31700</v>
          </cell>
          <cell r="AV81">
            <v>53430.83</v>
          </cell>
          <cell r="AW81">
            <v>106861.66</v>
          </cell>
          <cell r="AX81">
            <v>53430.83</v>
          </cell>
          <cell r="AY81">
            <v>317778</v>
          </cell>
          <cell r="AZ81">
            <v>5025305</v>
          </cell>
          <cell r="BA81">
            <v>34354.584590750004</v>
          </cell>
          <cell r="BB81">
            <v>283423</v>
          </cell>
          <cell r="BC81">
            <v>5059660</v>
          </cell>
        </row>
        <row r="82">
          <cell r="F82" t="str">
            <v>021219-003</v>
          </cell>
          <cell r="G82" t="str">
            <v>Pembaharuan</v>
          </cell>
          <cell r="H82" t="str">
            <v>Pelaksana</v>
          </cell>
          <cell r="I82" t="str">
            <v>Prod. Stamping</v>
          </cell>
          <cell r="J82">
            <v>43801</v>
          </cell>
          <cell r="K82" t="b">
            <v>1</v>
          </cell>
          <cell r="L82">
            <v>43801</v>
          </cell>
          <cell r="M82">
            <v>1</v>
          </cell>
          <cell r="N82">
            <v>5</v>
          </cell>
          <cell r="O82">
            <v>22</v>
          </cell>
          <cell r="Q82">
            <v>5343082</v>
          </cell>
          <cell r="R82">
            <v>4924046</v>
          </cell>
          <cell r="S82">
            <v>5343083</v>
          </cell>
          <cell r="T82">
            <v>0</v>
          </cell>
          <cell r="U82">
            <v>0</v>
          </cell>
          <cell r="V82">
            <v>0</v>
          </cell>
          <cell r="W82">
            <v>5343083</v>
          </cell>
          <cell r="X82">
            <v>5</v>
          </cell>
          <cell r="Z82">
            <v>16</v>
          </cell>
          <cell r="AB82">
            <v>21</v>
          </cell>
          <cell r="AC82">
            <v>1272162.6190476192</v>
          </cell>
          <cell r="AD82">
            <v>4070920.3809523811</v>
          </cell>
          <cell r="AE82">
            <v>5343083</v>
          </cell>
          <cell r="AF82">
            <v>0</v>
          </cell>
          <cell r="AG82">
            <v>5343083</v>
          </cell>
          <cell r="AH82" t="b">
            <v>1</v>
          </cell>
          <cell r="AK82">
            <v>5343083</v>
          </cell>
          <cell r="AL82" t="str">
            <v>K0</v>
          </cell>
          <cell r="AM82">
            <v>5343083</v>
          </cell>
          <cell r="AN82">
            <v>15604.584590750002</v>
          </cell>
          <cell r="AQ82">
            <v>0</v>
          </cell>
          <cell r="AR82">
            <v>38000</v>
          </cell>
          <cell r="AS82">
            <v>31700</v>
          </cell>
          <cell r="AV82">
            <v>53430.83</v>
          </cell>
          <cell r="AW82">
            <v>106861.66</v>
          </cell>
          <cell r="AX82">
            <v>53430.83</v>
          </cell>
          <cell r="AY82">
            <v>299028</v>
          </cell>
          <cell r="AZ82">
            <v>5044055</v>
          </cell>
          <cell r="BA82">
            <v>15604.584590750002</v>
          </cell>
          <cell r="BB82">
            <v>283423</v>
          </cell>
          <cell r="BC82">
            <v>5059660</v>
          </cell>
        </row>
        <row r="83">
          <cell r="F83" t="str">
            <v>180121-002</v>
          </cell>
          <cell r="G83" t="str">
            <v>Pembaharuan</v>
          </cell>
          <cell r="H83" t="str">
            <v>Pelaksana</v>
          </cell>
          <cell r="I83" t="str">
            <v>Prod. Stamping</v>
          </cell>
          <cell r="J83" t="str">
            <v>18 Januari 2021</v>
          </cell>
          <cell r="K83" t="b">
            <v>0</v>
          </cell>
          <cell r="L83">
            <v>44214</v>
          </cell>
          <cell r="M83">
            <v>0</v>
          </cell>
          <cell r="N83">
            <v>4</v>
          </cell>
          <cell r="O83">
            <v>6</v>
          </cell>
          <cell r="Q83">
            <v>5343082</v>
          </cell>
          <cell r="R83">
            <v>4924046</v>
          </cell>
          <cell r="S83">
            <v>5343083</v>
          </cell>
          <cell r="T83">
            <v>0</v>
          </cell>
          <cell r="U83">
            <v>0</v>
          </cell>
          <cell r="V83">
            <v>0</v>
          </cell>
          <cell r="W83">
            <v>5343083</v>
          </cell>
          <cell r="X83">
            <v>5</v>
          </cell>
          <cell r="Z83">
            <v>16</v>
          </cell>
          <cell r="AB83">
            <v>21</v>
          </cell>
          <cell r="AC83">
            <v>1272162.6190476192</v>
          </cell>
          <cell r="AD83">
            <v>4070920.3809523811</v>
          </cell>
          <cell r="AE83">
            <v>5343083</v>
          </cell>
          <cell r="AF83">
            <v>0</v>
          </cell>
          <cell r="AG83">
            <v>5343083</v>
          </cell>
          <cell r="AH83" t="b">
            <v>1</v>
          </cell>
          <cell r="AK83">
            <v>5343083</v>
          </cell>
          <cell r="AL83" t="str">
            <v>K2</v>
          </cell>
          <cell r="AM83">
            <v>5343083</v>
          </cell>
          <cell r="AN83">
            <v>0</v>
          </cell>
          <cell r="AQ83">
            <v>0</v>
          </cell>
          <cell r="AR83">
            <v>38000</v>
          </cell>
          <cell r="AS83">
            <v>31700</v>
          </cell>
          <cell r="AU83">
            <v>10000</v>
          </cell>
          <cell r="AV83">
            <v>53430.83</v>
          </cell>
          <cell r="AW83">
            <v>106861.66</v>
          </cell>
          <cell r="AX83">
            <v>53430.83</v>
          </cell>
          <cell r="AY83">
            <v>293423</v>
          </cell>
          <cell r="AZ83">
            <v>5049660</v>
          </cell>
          <cell r="BA83">
            <v>0</v>
          </cell>
          <cell r="BB83">
            <v>293423</v>
          </cell>
          <cell r="BC83">
            <v>5049660</v>
          </cell>
        </row>
        <row r="84">
          <cell r="F84" t="str">
            <v>050421-003</v>
          </cell>
          <cell r="G84" t="str">
            <v>Pembaharuan</v>
          </cell>
          <cell r="H84" t="str">
            <v>Pelaksana</v>
          </cell>
          <cell r="I84" t="str">
            <v>Prod. Stamping</v>
          </cell>
          <cell r="J84" t="e">
            <v>#N/A</v>
          </cell>
          <cell r="K84" t="e">
            <v>#N/A</v>
          </cell>
          <cell r="L84">
            <v>44291</v>
          </cell>
          <cell r="M84">
            <v>0</v>
          </cell>
          <cell r="N84">
            <v>1</v>
          </cell>
          <cell r="O84">
            <v>19</v>
          </cell>
          <cell r="Q84">
            <v>5343082</v>
          </cell>
          <cell r="R84">
            <v>4924046</v>
          </cell>
          <cell r="S84">
            <v>5343083</v>
          </cell>
          <cell r="T84">
            <v>0</v>
          </cell>
          <cell r="U84">
            <v>0</v>
          </cell>
          <cell r="V84">
            <v>0</v>
          </cell>
          <cell r="W84">
            <v>5343083</v>
          </cell>
          <cell r="X84">
            <v>5</v>
          </cell>
          <cell r="Z84">
            <v>16</v>
          </cell>
          <cell r="AB84">
            <v>21</v>
          </cell>
          <cell r="AC84">
            <v>1272162.6190476192</v>
          </cell>
          <cell r="AD84">
            <v>4070920.3809523811</v>
          </cell>
          <cell r="AE84">
            <v>5343083</v>
          </cell>
          <cell r="AF84">
            <v>0</v>
          </cell>
          <cell r="AG84">
            <v>5343083</v>
          </cell>
          <cell r="AH84" t="b">
            <v>1</v>
          </cell>
          <cell r="AK84">
            <v>5343083</v>
          </cell>
          <cell r="AL84" t="str">
            <v>K1</v>
          </cell>
          <cell r="AM84">
            <v>5343083</v>
          </cell>
          <cell r="AN84">
            <v>0</v>
          </cell>
          <cell r="AQ84">
            <v>0</v>
          </cell>
          <cell r="AR84">
            <v>38000</v>
          </cell>
          <cell r="AS84">
            <v>31700</v>
          </cell>
          <cell r="AU84">
            <v>10000</v>
          </cell>
          <cell r="AV84">
            <v>53430.83</v>
          </cell>
          <cell r="AW84">
            <v>106861.66</v>
          </cell>
          <cell r="AX84">
            <v>53430.83</v>
          </cell>
          <cell r="AY84">
            <v>293423</v>
          </cell>
          <cell r="AZ84">
            <v>5049660</v>
          </cell>
          <cell r="BA84">
            <v>0</v>
          </cell>
          <cell r="BB84">
            <v>293423</v>
          </cell>
          <cell r="BC84">
            <v>5049660</v>
          </cell>
        </row>
        <row r="85">
          <cell r="F85" t="str">
            <v>120918-012</v>
          </cell>
          <cell r="G85" t="str">
            <v>Recall Kontrak 2</v>
          </cell>
          <cell r="H85" t="str">
            <v>Pelaksana</v>
          </cell>
          <cell r="I85" t="str">
            <v>Prod. Stamping</v>
          </cell>
          <cell r="J85">
            <v>43355</v>
          </cell>
          <cell r="K85" t="b">
            <v>1</v>
          </cell>
          <cell r="L85">
            <v>43355</v>
          </cell>
          <cell r="M85">
            <v>2</v>
          </cell>
          <cell r="N85">
            <v>8</v>
          </cell>
          <cell r="O85">
            <v>12</v>
          </cell>
          <cell r="Q85">
            <v>5343082</v>
          </cell>
          <cell r="R85">
            <v>4924046</v>
          </cell>
          <cell r="S85">
            <v>5343083</v>
          </cell>
          <cell r="T85">
            <v>0</v>
          </cell>
          <cell r="U85">
            <v>0</v>
          </cell>
          <cell r="V85">
            <v>0</v>
          </cell>
          <cell r="W85">
            <v>5343083</v>
          </cell>
          <cell r="X85">
            <v>5</v>
          </cell>
          <cell r="Z85">
            <v>16</v>
          </cell>
          <cell r="AB85">
            <v>21</v>
          </cell>
          <cell r="AC85">
            <v>1272162.6190476192</v>
          </cell>
          <cell r="AD85">
            <v>4070920.3809523811</v>
          </cell>
          <cell r="AE85">
            <v>5343083</v>
          </cell>
          <cell r="AF85">
            <v>0</v>
          </cell>
          <cell r="AG85">
            <v>5343083</v>
          </cell>
          <cell r="AH85" t="b">
            <v>1</v>
          </cell>
          <cell r="AK85">
            <v>5343083</v>
          </cell>
          <cell r="AL85" t="str">
            <v>TK</v>
          </cell>
          <cell r="AM85">
            <v>5343083</v>
          </cell>
          <cell r="AN85">
            <v>34354.584590750004</v>
          </cell>
          <cell r="AQ85">
            <v>0</v>
          </cell>
          <cell r="AR85">
            <v>38000</v>
          </cell>
          <cell r="AS85">
            <v>31700</v>
          </cell>
          <cell r="AV85">
            <v>53430.83</v>
          </cell>
          <cell r="AW85">
            <v>106861.66</v>
          </cell>
          <cell r="AX85">
            <v>53430.83</v>
          </cell>
          <cell r="AY85">
            <v>317778</v>
          </cell>
          <cell r="AZ85">
            <v>5025305</v>
          </cell>
          <cell r="BA85">
            <v>34354.584590750004</v>
          </cell>
          <cell r="BB85">
            <v>283423</v>
          </cell>
          <cell r="BC85">
            <v>5059660</v>
          </cell>
        </row>
        <row r="86">
          <cell r="F86" t="str">
            <v>040814-143</v>
          </cell>
          <cell r="G86" t="str">
            <v>Tetap</v>
          </cell>
          <cell r="H86" t="str">
            <v>Pelaksana</v>
          </cell>
          <cell r="I86" t="str">
            <v>Prod. Stamping</v>
          </cell>
          <cell r="J86">
            <v>41855</v>
          </cell>
          <cell r="K86" t="b">
            <v>1</v>
          </cell>
          <cell r="L86">
            <v>41855</v>
          </cell>
          <cell r="M86">
            <v>6</v>
          </cell>
          <cell r="N86">
            <v>9</v>
          </cell>
          <cell r="O86">
            <v>20</v>
          </cell>
          <cell r="Q86">
            <v>5343082</v>
          </cell>
          <cell r="R86">
            <v>4924046</v>
          </cell>
          <cell r="S86">
            <v>5343083</v>
          </cell>
          <cell r="T86">
            <v>0</v>
          </cell>
          <cell r="U86">
            <v>0</v>
          </cell>
          <cell r="V86">
            <v>0</v>
          </cell>
          <cell r="W86">
            <v>5343083</v>
          </cell>
          <cell r="X86">
            <v>5</v>
          </cell>
          <cell r="Z86">
            <v>16</v>
          </cell>
          <cell r="AB86">
            <v>21</v>
          </cell>
          <cell r="AC86">
            <v>1272162.6190476192</v>
          </cell>
          <cell r="AD86">
            <v>4070920.3809523811</v>
          </cell>
          <cell r="AE86">
            <v>5343083</v>
          </cell>
          <cell r="AF86">
            <v>0</v>
          </cell>
          <cell r="AG86">
            <v>5343083</v>
          </cell>
          <cell r="AH86" t="b">
            <v>1</v>
          </cell>
          <cell r="AK86">
            <v>5343083</v>
          </cell>
          <cell r="AL86" t="str">
            <v>K1</v>
          </cell>
          <cell r="AM86">
            <v>5343083</v>
          </cell>
          <cell r="AN86">
            <v>0</v>
          </cell>
          <cell r="AQ86">
            <v>0</v>
          </cell>
          <cell r="AR86">
            <v>38000</v>
          </cell>
          <cell r="AS86">
            <v>31700</v>
          </cell>
          <cell r="AV86">
            <v>53430.83</v>
          </cell>
          <cell r="AW86">
            <v>106861.66</v>
          </cell>
          <cell r="AX86">
            <v>53430.83</v>
          </cell>
          <cell r="AY86">
            <v>283423</v>
          </cell>
          <cell r="AZ86">
            <v>5059660</v>
          </cell>
          <cell r="BA86">
            <v>0</v>
          </cell>
          <cell r="BB86">
            <v>283423</v>
          </cell>
          <cell r="BC86">
            <v>5059660</v>
          </cell>
        </row>
        <row r="87">
          <cell r="F87" t="str">
            <v>071220-004</v>
          </cell>
          <cell r="G87" t="str">
            <v>Pembaharuan</v>
          </cell>
          <cell r="H87" t="str">
            <v>Pelaksana</v>
          </cell>
          <cell r="I87" t="str">
            <v>Prod. Stamping</v>
          </cell>
          <cell r="J87" t="str">
            <v>07 Desember 2020</v>
          </cell>
          <cell r="K87" t="b">
            <v>0</v>
          </cell>
          <cell r="L87">
            <v>44172</v>
          </cell>
          <cell r="M87">
            <v>0</v>
          </cell>
          <cell r="N87">
            <v>5</v>
          </cell>
          <cell r="O87">
            <v>17</v>
          </cell>
          <cell r="Q87">
            <v>5343082</v>
          </cell>
          <cell r="R87">
            <v>4924046</v>
          </cell>
          <cell r="S87">
            <v>5343083</v>
          </cell>
          <cell r="T87">
            <v>0</v>
          </cell>
          <cell r="U87">
            <v>0</v>
          </cell>
          <cell r="V87">
            <v>0</v>
          </cell>
          <cell r="W87">
            <v>5343083</v>
          </cell>
          <cell r="X87">
            <v>5</v>
          </cell>
          <cell r="Z87">
            <v>16</v>
          </cell>
          <cell r="AB87">
            <v>21</v>
          </cell>
          <cell r="AC87">
            <v>1272162.6190476192</v>
          </cell>
          <cell r="AD87">
            <v>4070920.3809523811</v>
          </cell>
          <cell r="AE87">
            <v>5343083</v>
          </cell>
          <cell r="AF87">
            <v>0</v>
          </cell>
          <cell r="AG87">
            <v>5343083</v>
          </cell>
          <cell r="AH87" t="b">
            <v>1</v>
          </cell>
          <cell r="AK87">
            <v>5343083</v>
          </cell>
          <cell r="AL87" t="str">
            <v>TK</v>
          </cell>
          <cell r="AM87">
            <v>5343083</v>
          </cell>
          <cell r="AN87">
            <v>34354.584590750004</v>
          </cell>
          <cell r="AQ87">
            <v>0</v>
          </cell>
          <cell r="AR87">
            <v>38000</v>
          </cell>
          <cell r="AS87">
            <v>31700</v>
          </cell>
          <cell r="AV87">
            <v>53430.83</v>
          </cell>
          <cell r="AW87">
            <v>106861.66</v>
          </cell>
          <cell r="AX87">
            <v>53430.83</v>
          </cell>
          <cell r="AY87">
            <v>317778</v>
          </cell>
          <cell r="AZ87">
            <v>5025305</v>
          </cell>
          <cell r="BA87">
            <v>34354.584590750004</v>
          </cell>
          <cell r="BB87">
            <v>283423</v>
          </cell>
          <cell r="BC87">
            <v>5059660</v>
          </cell>
        </row>
        <row r="88">
          <cell r="F88" t="str">
            <v>040918-001</v>
          </cell>
          <cell r="G88" t="str">
            <v>Recall Kontrak 2</v>
          </cell>
          <cell r="H88" t="str">
            <v>Pelaksana</v>
          </cell>
          <cell r="I88" t="str">
            <v>Prod. Stamping</v>
          </cell>
          <cell r="J88">
            <v>43347</v>
          </cell>
          <cell r="K88" t="b">
            <v>1</v>
          </cell>
          <cell r="L88">
            <v>43347</v>
          </cell>
          <cell r="M88">
            <v>2</v>
          </cell>
          <cell r="N88">
            <v>8</v>
          </cell>
          <cell r="O88">
            <v>20</v>
          </cell>
          <cell r="Q88">
            <v>5343082</v>
          </cell>
          <cell r="R88">
            <v>4924046</v>
          </cell>
          <cell r="S88">
            <v>5343083</v>
          </cell>
          <cell r="T88">
            <v>0</v>
          </cell>
          <cell r="U88">
            <v>0</v>
          </cell>
          <cell r="V88">
            <v>0</v>
          </cell>
          <cell r="W88">
            <v>5343083</v>
          </cell>
          <cell r="X88">
            <v>5</v>
          </cell>
          <cell r="Z88">
            <v>16</v>
          </cell>
          <cell r="AB88">
            <v>21</v>
          </cell>
          <cell r="AC88">
            <v>1272162.6190476192</v>
          </cell>
          <cell r="AD88">
            <v>4070920.3809523811</v>
          </cell>
          <cell r="AE88">
            <v>5343083</v>
          </cell>
          <cell r="AF88">
            <v>0</v>
          </cell>
          <cell r="AG88">
            <v>5343083</v>
          </cell>
          <cell r="AH88" t="b">
            <v>1</v>
          </cell>
          <cell r="AK88">
            <v>5343083</v>
          </cell>
          <cell r="AL88" t="str">
            <v>K2</v>
          </cell>
          <cell r="AM88">
            <v>5343083</v>
          </cell>
          <cell r="AN88">
            <v>0</v>
          </cell>
          <cell r="AQ88">
            <v>0</v>
          </cell>
          <cell r="AR88">
            <v>38000</v>
          </cell>
          <cell r="AS88">
            <v>31700</v>
          </cell>
          <cell r="AV88">
            <v>53430.83</v>
          </cell>
          <cell r="AW88">
            <v>106861.66</v>
          </cell>
          <cell r="AX88">
            <v>53430.83</v>
          </cell>
          <cell r="AY88">
            <v>283423</v>
          </cell>
          <cell r="AZ88">
            <v>5059660</v>
          </cell>
          <cell r="BA88">
            <v>0</v>
          </cell>
          <cell r="BB88">
            <v>283423</v>
          </cell>
          <cell r="BC88">
            <v>5059660</v>
          </cell>
        </row>
        <row r="89">
          <cell r="F89" t="str">
            <v>310718-016</v>
          </cell>
          <cell r="G89" t="str">
            <v>Kontrak 2</v>
          </cell>
          <cell r="H89" t="str">
            <v>Pelaksana</v>
          </cell>
          <cell r="I89" t="str">
            <v>Prod. Stamping</v>
          </cell>
          <cell r="J89">
            <v>43312</v>
          </cell>
          <cell r="K89" t="b">
            <v>1</v>
          </cell>
          <cell r="L89">
            <v>43312</v>
          </cell>
          <cell r="M89">
            <v>2</v>
          </cell>
          <cell r="N89">
            <v>9</v>
          </cell>
          <cell r="O89">
            <v>23</v>
          </cell>
          <cell r="Q89">
            <v>5343082</v>
          </cell>
          <cell r="R89">
            <v>4924046</v>
          </cell>
          <cell r="S89">
            <v>5343083</v>
          </cell>
          <cell r="T89">
            <v>0</v>
          </cell>
          <cell r="U89">
            <v>0</v>
          </cell>
          <cell r="V89">
            <v>0</v>
          </cell>
          <cell r="W89">
            <v>5343083</v>
          </cell>
          <cell r="X89">
            <v>5</v>
          </cell>
          <cell r="Z89">
            <v>16</v>
          </cell>
          <cell r="AB89">
            <v>21</v>
          </cell>
          <cell r="AC89">
            <v>1272162.6190476192</v>
          </cell>
          <cell r="AD89">
            <v>4070920.3809523811</v>
          </cell>
          <cell r="AE89">
            <v>5343083</v>
          </cell>
          <cell r="AF89">
            <v>0</v>
          </cell>
          <cell r="AG89">
            <v>5343083</v>
          </cell>
          <cell r="AH89" t="b">
            <v>1</v>
          </cell>
          <cell r="AK89">
            <v>5343083</v>
          </cell>
          <cell r="AL89" t="str">
            <v>K1</v>
          </cell>
          <cell r="AM89">
            <v>1272163</v>
          </cell>
          <cell r="AN89">
            <v>0</v>
          </cell>
          <cell r="AP89">
            <v>16</v>
          </cell>
          <cell r="AQ89">
            <v>4070920</v>
          </cell>
          <cell r="AR89">
            <v>38000</v>
          </cell>
          <cell r="AS89">
            <v>0</v>
          </cell>
          <cell r="AU89">
            <v>10000</v>
          </cell>
          <cell r="AV89">
            <v>53430.83</v>
          </cell>
          <cell r="AW89">
            <v>106861.66</v>
          </cell>
          <cell r="AX89">
            <v>53430.83</v>
          </cell>
          <cell r="AY89">
            <v>4332643</v>
          </cell>
          <cell r="AZ89">
            <v>1010440</v>
          </cell>
          <cell r="BA89">
            <v>0</v>
          </cell>
          <cell r="BB89">
            <v>4332643</v>
          </cell>
          <cell r="BC89">
            <v>1010440</v>
          </cell>
        </row>
        <row r="90">
          <cell r="F90" t="str">
            <v>060919-001</v>
          </cell>
          <cell r="G90" t="str">
            <v>Recall Kontrak 2</v>
          </cell>
          <cell r="H90" t="str">
            <v>Pelaksana</v>
          </cell>
          <cell r="I90" t="str">
            <v>Prod. Stamping</v>
          </cell>
          <cell r="J90" t="str">
            <v>06 September 2019</v>
          </cell>
          <cell r="K90" t="b">
            <v>0</v>
          </cell>
          <cell r="L90">
            <v>43714</v>
          </cell>
          <cell r="M90">
            <v>1</v>
          </cell>
          <cell r="N90">
            <v>8</v>
          </cell>
          <cell r="O90">
            <v>18</v>
          </cell>
          <cell r="Q90">
            <v>5343082</v>
          </cell>
          <cell r="R90">
            <v>4924046</v>
          </cell>
          <cell r="S90">
            <v>5343083</v>
          </cell>
          <cell r="T90">
            <v>0</v>
          </cell>
          <cell r="U90">
            <v>0</v>
          </cell>
          <cell r="V90">
            <v>0</v>
          </cell>
          <cell r="W90">
            <v>5343083</v>
          </cell>
          <cell r="X90">
            <v>5</v>
          </cell>
          <cell r="Z90">
            <v>16</v>
          </cell>
          <cell r="AB90">
            <v>21</v>
          </cell>
          <cell r="AC90">
            <v>1272162.6190476192</v>
          </cell>
          <cell r="AD90">
            <v>4070920.3809523811</v>
          </cell>
          <cell r="AE90">
            <v>5343083</v>
          </cell>
          <cell r="AF90">
            <v>0</v>
          </cell>
          <cell r="AG90">
            <v>5343083</v>
          </cell>
          <cell r="AH90" t="b">
            <v>1</v>
          </cell>
          <cell r="AK90">
            <v>5343083</v>
          </cell>
          <cell r="AL90" t="str">
            <v>K0</v>
          </cell>
          <cell r="AM90">
            <v>5343083</v>
          </cell>
          <cell r="AN90">
            <v>15604.584590750002</v>
          </cell>
          <cell r="AQ90">
            <v>0</v>
          </cell>
          <cell r="AR90">
            <v>38000</v>
          </cell>
          <cell r="AS90">
            <v>31700</v>
          </cell>
          <cell r="AV90">
            <v>53430.83</v>
          </cell>
          <cell r="AW90">
            <v>106861.66</v>
          </cell>
          <cell r="AX90">
            <v>53430.83</v>
          </cell>
          <cell r="AY90">
            <v>299028</v>
          </cell>
          <cell r="AZ90">
            <v>5044055</v>
          </cell>
          <cell r="BA90">
            <v>15604.584590750002</v>
          </cell>
          <cell r="BB90">
            <v>283423</v>
          </cell>
          <cell r="BC90">
            <v>5059660</v>
          </cell>
        </row>
        <row r="91">
          <cell r="F91" t="str">
            <v>040814-122</v>
          </cell>
          <cell r="G91" t="str">
            <v>Tetap</v>
          </cell>
          <cell r="H91" t="str">
            <v>Pelaksana</v>
          </cell>
          <cell r="I91" t="str">
            <v>Prod. Stamping</v>
          </cell>
          <cell r="J91">
            <v>41855</v>
          </cell>
          <cell r="K91" t="b">
            <v>1</v>
          </cell>
          <cell r="L91">
            <v>41855</v>
          </cell>
          <cell r="M91">
            <v>6</v>
          </cell>
          <cell r="N91">
            <v>9</v>
          </cell>
          <cell r="O91">
            <v>20</v>
          </cell>
          <cell r="Q91">
            <v>5343082</v>
          </cell>
          <cell r="R91">
            <v>4924046</v>
          </cell>
          <cell r="S91">
            <v>5343083</v>
          </cell>
          <cell r="T91">
            <v>0</v>
          </cell>
          <cell r="U91">
            <v>0</v>
          </cell>
          <cell r="V91">
            <v>0</v>
          </cell>
          <cell r="W91">
            <v>5343083</v>
          </cell>
          <cell r="X91">
            <v>5</v>
          </cell>
          <cell r="Z91">
            <v>16</v>
          </cell>
          <cell r="AB91">
            <v>21</v>
          </cell>
          <cell r="AC91">
            <v>1272162.6190476192</v>
          </cell>
          <cell r="AD91">
            <v>4070920.3809523811</v>
          </cell>
          <cell r="AE91">
            <v>5343083</v>
          </cell>
          <cell r="AF91">
            <v>0</v>
          </cell>
          <cell r="AG91">
            <v>5343083</v>
          </cell>
          <cell r="AH91" t="b">
            <v>1</v>
          </cell>
          <cell r="AK91">
            <v>5343083</v>
          </cell>
          <cell r="AL91" t="str">
            <v>K2</v>
          </cell>
          <cell r="AM91">
            <v>5343083</v>
          </cell>
          <cell r="AN91">
            <v>0</v>
          </cell>
          <cell r="AQ91">
            <v>0</v>
          </cell>
          <cell r="AR91">
            <v>38000</v>
          </cell>
          <cell r="AS91">
            <v>31700</v>
          </cell>
          <cell r="AV91">
            <v>53430.83</v>
          </cell>
          <cell r="AW91">
            <v>106861.66</v>
          </cell>
          <cell r="AX91">
            <v>53430.83</v>
          </cell>
          <cell r="AY91">
            <v>283423</v>
          </cell>
          <cell r="AZ91">
            <v>5059660</v>
          </cell>
          <cell r="BA91">
            <v>0</v>
          </cell>
          <cell r="BB91">
            <v>283423</v>
          </cell>
          <cell r="BC91">
            <v>5059660</v>
          </cell>
        </row>
        <row r="92">
          <cell r="F92" t="str">
            <v>080819-018</v>
          </cell>
          <cell r="G92" t="str">
            <v>Recall Kontrak 2</v>
          </cell>
          <cell r="H92" t="str">
            <v>Pelaksana</v>
          </cell>
          <cell r="I92" t="str">
            <v>Prod. Stamping</v>
          </cell>
          <cell r="J92" t="str">
            <v>08 Agustus 2019</v>
          </cell>
          <cell r="K92" t="b">
            <v>0</v>
          </cell>
          <cell r="L92">
            <v>43685</v>
          </cell>
          <cell r="M92">
            <v>1</v>
          </cell>
          <cell r="N92">
            <v>9</v>
          </cell>
          <cell r="O92">
            <v>16</v>
          </cell>
          <cell r="Q92">
            <v>5343082</v>
          </cell>
          <cell r="R92">
            <v>4924046</v>
          </cell>
          <cell r="S92">
            <v>5343083</v>
          </cell>
          <cell r="T92">
            <v>0</v>
          </cell>
          <cell r="U92">
            <v>0</v>
          </cell>
          <cell r="V92">
            <v>0</v>
          </cell>
          <cell r="W92">
            <v>5343083</v>
          </cell>
          <cell r="X92">
            <v>5</v>
          </cell>
          <cell r="Z92">
            <v>16</v>
          </cell>
          <cell r="AB92">
            <v>21</v>
          </cell>
          <cell r="AC92">
            <v>1272162.6190476192</v>
          </cell>
          <cell r="AD92">
            <v>4070920.3809523811</v>
          </cell>
          <cell r="AE92">
            <v>5343083</v>
          </cell>
          <cell r="AF92">
            <v>0</v>
          </cell>
          <cell r="AG92">
            <v>5343083</v>
          </cell>
          <cell r="AH92" t="b">
            <v>1</v>
          </cell>
          <cell r="AK92">
            <v>5343083</v>
          </cell>
          <cell r="AL92" t="str">
            <v>K1</v>
          </cell>
          <cell r="AM92">
            <v>5343083</v>
          </cell>
          <cell r="AN92">
            <v>0</v>
          </cell>
          <cell r="AQ92">
            <v>0</v>
          </cell>
          <cell r="AS92">
            <v>31700</v>
          </cell>
          <cell r="AU92">
            <v>10000</v>
          </cell>
          <cell r="AV92">
            <v>53430.83</v>
          </cell>
          <cell r="AW92">
            <v>106861.66</v>
          </cell>
          <cell r="AX92">
            <v>53430.83</v>
          </cell>
          <cell r="AY92">
            <v>255423</v>
          </cell>
          <cell r="AZ92">
            <v>5087660</v>
          </cell>
          <cell r="BA92">
            <v>0</v>
          </cell>
          <cell r="BB92">
            <v>255423</v>
          </cell>
          <cell r="BC92">
            <v>5087660</v>
          </cell>
        </row>
        <row r="93">
          <cell r="F93" t="str">
            <v>280318-014</v>
          </cell>
          <cell r="G93" t="str">
            <v>Pembaharuan</v>
          </cell>
          <cell r="H93" t="str">
            <v>Pelaksana</v>
          </cell>
          <cell r="I93" t="str">
            <v>Prod. Stamping</v>
          </cell>
          <cell r="J93">
            <v>43187</v>
          </cell>
          <cell r="K93" t="b">
            <v>1</v>
          </cell>
          <cell r="L93">
            <v>43187</v>
          </cell>
          <cell r="M93">
            <v>3</v>
          </cell>
          <cell r="N93">
            <v>1</v>
          </cell>
          <cell r="O93">
            <v>26</v>
          </cell>
          <cell r="Q93">
            <v>5343082</v>
          </cell>
          <cell r="R93">
            <v>4924046</v>
          </cell>
          <cell r="S93">
            <v>5343083</v>
          </cell>
          <cell r="T93">
            <v>0</v>
          </cell>
          <cell r="U93">
            <v>0</v>
          </cell>
          <cell r="V93">
            <v>0</v>
          </cell>
          <cell r="W93">
            <v>5343083</v>
          </cell>
          <cell r="X93">
            <v>5</v>
          </cell>
          <cell r="Z93">
            <v>16</v>
          </cell>
          <cell r="AB93">
            <v>21</v>
          </cell>
          <cell r="AC93">
            <v>1272162.6190476192</v>
          </cell>
          <cell r="AD93">
            <v>4070920.3809523811</v>
          </cell>
          <cell r="AE93">
            <v>5343083</v>
          </cell>
          <cell r="AF93">
            <v>0</v>
          </cell>
          <cell r="AG93">
            <v>5343083</v>
          </cell>
          <cell r="AH93" t="b">
            <v>1</v>
          </cell>
          <cell r="AK93">
            <v>5343083</v>
          </cell>
          <cell r="AL93" t="str">
            <v>K1</v>
          </cell>
          <cell r="AM93">
            <v>5343083</v>
          </cell>
          <cell r="AN93">
            <v>0</v>
          </cell>
          <cell r="AQ93">
            <v>0</v>
          </cell>
          <cell r="AR93">
            <v>38000</v>
          </cell>
          <cell r="AS93">
            <v>31700</v>
          </cell>
          <cell r="AV93">
            <v>53430.83</v>
          </cell>
          <cell r="AW93">
            <v>106861.66</v>
          </cell>
          <cell r="AX93">
            <v>53430.83</v>
          </cell>
          <cell r="AY93">
            <v>283423</v>
          </cell>
          <cell r="AZ93">
            <v>5059660</v>
          </cell>
          <cell r="BA93">
            <v>0</v>
          </cell>
          <cell r="BB93">
            <v>283423</v>
          </cell>
          <cell r="BC93">
            <v>5059660</v>
          </cell>
        </row>
        <row r="94">
          <cell r="F94" t="str">
            <v>011018-001</v>
          </cell>
          <cell r="G94" t="str">
            <v>Kontrak 2</v>
          </cell>
          <cell r="H94" t="str">
            <v>Pelaksana</v>
          </cell>
          <cell r="I94" t="str">
            <v>Prod. Stamping</v>
          </cell>
          <cell r="J94">
            <v>43374</v>
          </cell>
          <cell r="K94" t="b">
            <v>1</v>
          </cell>
          <cell r="L94">
            <v>43374</v>
          </cell>
          <cell r="M94">
            <v>2</v>
          </cell>
          <cell r="N94">
            <v>7</v>
          </cell>
          <cell r="O94">
            <v>23</v>
          </cell>
          <cell r="Q94">
            <v>5343082</v>
          </cell>
          <cell r="R94">
            <v>4924046</v>
          </cell>
          <cell r="S94">
            <v>5343083</v>
          </cell>
          <cell r="T94">
            <v>0</v>
          </cell>
          <cell r="U94">
            <v>0</v>
          </cell>
          <cell r="V94">
            <v>0</v>
          </cell>
          <cell r="W94">
            <v>5343083</v>
          </cell>
          <cell r="X94">
            <v>5</v>
          </cell>
          <cell r="Z94">
            <v>16</v>
          </cell>
          <cell r="AB94">
            <v>21</v>
          </cell>
          <cell r="AC94">
            <v>1272162.6190476192</v>
          </cell>
          <cell r="AD94">
            <v>4070920.3809523811</v>
          </cell>
          <cell r="AE94">
            <v>5343083</v>
          </cell>
          <cell r="AF94">
            <v>0</v>
          </cell>
          <cell r="AG94">
            <v>5343083</v>
          </cell>
          <cell r="AH94" t="b">
            <v>1</v>
          </cell>
          <cell r="AK94">
            <v>5343083</v>
          </cell>
          <cell r="AL94" t="str">
            <v>K2</v>
          </cell>
          <cell r="AM94">
            <v>5343083</v>
          </cell>
          <cell r="AN94">
            <v>0</v>
          </cell>
          <cell r="AQ94">
            <v>0</v>
          </cell>
          <cell r="AS94">
            <v>31700</v>
          </cell>
          <cell r="AU94">
            <v>10000</v>
          </cell>
          <cell r="AV94">
            <v>53430.83</v>
          </cell>
          <cell r="AW94">
            <v>106861.66</v>
          </cell>
          <cell r="AX94">
            <v>53430.83</v>
          </cell>
          <cell r="AY94">
            <v>255423</v>
          </cell>
          <cell r="AZ94">
            <v>5087660</v>
          </cell>
          <cell r="BA94">
            <v>0</v>
          </cell>
          <cell r="BB94">
            <v>255423</v>
          </cell>
          <cell r="BC94">
            <v>5087660</v>
          </cell>
        </row>
        <row r="95">
          <cell r="F95" t="str">
            <v>020718-002</v>
          </cell>
          <cell r="G95" t="str">
            <v>Kontrak 2</v>
          </cell>
          <cell r="H95" t="str">
            <v>Pelaksana</v>
          </cell>
          <cell r="I95" t="str">
            <v>Prod. Stamping</v>
          </cell>
          <cell r="J95">
            <v>43283</v>
          </cell>
          <cell r="K95" t="b">
            <v>1</v>
          </cell>
          <cell r="L95">
            <v>43283</v>
          </cell>
          <cell r="M95">
            <v>2</v>
          </cell>
          <cell r="N95">
            <v>10</v>
          </cell>
          <cell r="O95">
            <v>22</v>
          </cell>
          <cell r="Q95">
            <v>5343082</v>
          </cell>
          <cell r="R95">
            <v>4924046</v>
          </cell>
          <cell r="S95">
            <v>5343083</v>
          </cell>
          <cell r="T95">
            <v>0</v>
          </cell>
          <cell r="U95">
            <v>0</v>
          </cell>
          <cell r="V95">
            <v>0</v>
          </cell>
          <cell r="W95">
            <v>5343083</v>
          </cell>
          <cell r="X95">
            <v>5</v>
          </cell>
          <cell r="Z95">
            <v>16</v>
          </cell>
          <cell r="AB95">
            <v>21</v>
          </cell>
          <cell r="AC95">
            <v>1272162.6190476192</v>
          </cell>
          <cell r="AD95">
            <v>4070920.3809523811</v>
          </cell>
          <cell r="AE95">
            <v>5343083</v>
          </cell>
          <cell r="AF95">
            <v>0</v>
          </cell>
          <cell r="AG95">
            <v>5343083</v>
          </cell>
          <cell r="AH95" t="b">
            <v>1</v>
          </cell>
          <cell r="AK95">
            <v>5343083</v>
          </cell>
          <cell r="AL95" t="str">
            <v>TK</v>
          </cell>
          <cell r="AM95">
            <v>5343083</v>
          </cell>
          <cell r="AN95">
            <v>34354.584590750004</v>
          </cell>
          <cell r="AQ95">
            <v>0</v>
          </cell>
          <cell r="AS95">
            <v>31700</v>
          </cell>
          <cell r="AU95">
            <v>10000</v>
          </cell>
          <cell r="AV95">
            <v>53430.83</v>
          </cell>
          <cell r="AW95">
            <v>106861.66</v>
          </cell>
          <cell r="AX95">
            <v>53430.83</v>
          </cell>
          <cell r="AY95">
            <v>289778</v>
          </cell>
          <cell r="AZ95">
            <v>5053305</v>
          </cell>
          <cell r="BA95">
            <v>34354.584590750004</v>
          </cell>
          <cell r="BB95">
            <v>255423</v>
          </cell>
          <cell r="BC95">
            <v>5087660</v>
          </cell>
        </row>
        <row r="96">
          <cell r="F96" t="str">
            <v>201218-001</v>
          </cell>
          <cell r="G96" t="str">
            <v>Recall Kontrak 2</v>
          </cell>
          <cell r="H96" t="str">
            <v>Pelaksana</v>
          </cell>
          <cell r="I96" t="str">
            <v>Prod. Stamping</v>
          </cell>
          <cell r="J96">
            <v>43454</v>
          </cell>
          <cell r="K96" t="b">
            <v>1</v>
          </cell>
          <cell r="L96">
            <v>43454</v>
          </cell>
          <cell r="M96">
            <v>2</v>
          </cell>
          <cell r="N96">
            <v>5</v>
          </cell>
          <cell r="O96">
            <v>4</v>
          </cell>
          <cell r="Q96">
            <v>5343082</v>
          </cell>
          <cell r="R96">
            <v>4924046</v>
          </cell>
          <cell r="S96">
            <v>5343083</v>
          </cell>
          <cell r="T96">
            <v>0</v>
          </cell>
          <cell r="U96">
            <v>0</v>
          </cell>
          <cell r="V96">
            <v>0</v>
          </cell>
          <cell r="W96">
            <v>5343083</v>
          </cell>
          <cell r="X96">
            <v>5</v>
          </cell>
          <cell r="Z96">
            <v>16</v>
          </cell>
          <cell r="AB96">
            <v>21</v>
          </cell>
          <cell r="AC96">
            <v>1272162.6190476192</v>
          </cell>
          <cell r="AD96">
            <v>4070920.3809523811</v>
          </cell>
          <cell r="AE96">
            <v>5343083</v>
          </cell>
          <cell r="AF96">
            <v>0</v>
          </cell>
          <cell r="AG96">
            <v>5343083</v>
          </cell>
          <cell r="AH96" t="b">
            <v>1</v>
          </cell>
          <cell r="AK96">
            <v>5343083</v>
          </cell>
          <cell r="AL96" t="str">
            <v>K1</v>
          </cell>
          <cell r="AM96">
            <v>5343083</v>
          </cell>
          <cell r="AN96">
            <v>0</v>
          </cell>
          <cell r="AQ96">
            <v>0</v>
          </cell>
          <cell r="AR96">
            <v>38000</v>
          </cell>
          <cell r="AS96">
            <v>31700</v>
          </cell>
          <cell r="AV96">
            <v>53430.83</v>
          </cell>
          <cell r="AW96">
            <v>106861.66</v>
          </cell>
          <cell r="AX96">
            <v>53430.83</v>
          </cell>
          <cell r="AY96">
            <v>283423</v>
          </cell>
          <cell r="AZ96">
            <v>5059660</v>
          </cell>
          <cell r="BA96">
            <v>0</v>
          </cell>
          <cell r="BB96">
            <v>283423</v>
          </cell>
          <cell r="BC96">
            <v>5059660</v>
          </cell>
        </row>
        <row r="97">
          <cell r="F97" t="str">
            <v>081018-001</v>
          </cell>
          <cell r="G97" t="str">
            <v>Kontrak 2</v>
          </cell>
          <cell r="H97" t="str">
            <v>Pelaksana</v>
          </cell>
          <cell r="I97" t="str">
            <v>Prod. Stamping</v>
          </cell>
          <cell r="J97">
            <v>43381</v>
          </cell>
          <cell r="K97" t="b">
            <v>1</v>
          </cell>
          <cell r="L97">
            <v>43381</v>
          </cell>
          <cell r="M97">
            <v>2</v>
          </cell>
          <cell r="N97">
            <v>7</v>
          </cell>
          <cell r="O97">
            <v>16</v>
          </cell>
          <cell r="Q97">
            <v>5343082</v>
          </cell>
          <cell r="R97">
            <v>4924046</v>
          </cell>
          <cell r="S97">
            <v>5343083</v>
          </cell>
          <cell r="T97">
            <v>0</v>
          </cell>
          <cell r="U97">
            <v>0</v>
          </cell>
          <cell r="V97">
            <v>0</v>
          </cell>
          <cell r="W97">
            <v>5343083</v>
          </cell>
          <cell r="X97">
            <v>5</v>
          </cell>
          <cell r="Z97">
            <v>16</v>
          </cell>
          <cell r="AB97">
            <v>21</v>
          </cell>
          <cell r="AC97">
            <v>1272162.6190476192</v>
          </cell>
          <cell r="AD97">
            <v>4070920.3809523811</v>
          </cell>
          <cell r="AE97">
            <v>5343083</v>
          </cell>
          <cell r="AF97">
            <v>0</v>
          </cell>
          <cell r="AG97">
            <v>5343083</v>
          </cell>
          <cell r="AH97" t="b">
            <v>1</v>
          </cell>
          <cell r="AK97">
            <v>5343083</v>
          </cell>
          <cell r="AL97" t="str">
            <v>K1</v>
          </cell>
          <cell r="AM97">
            <v>5343083</v>
          </cell>
          <cell r="AN97">
            <v>0</v>
          </cell>
          <cell r="AQ97">
            <v>0</v>
          </cell>
          <cell r="AR97">
            <v>38000</v>
          </cell>
          <cell r="AS97">
            <v>31700</v>
          </cell>
          <cell r="AU97">
            <v>10000</v>
          </cell>
          <cell r="AV97">
            <v>53430.83</v>
          </cell>
          <cell r="AW97">
            <v>106861.66</v>
          </cell>
          <cell r="AX97">
            <v>53430.83</v>
          </cell>
          <cell r="AY97">
            <v>293423</v>
          </cell>
          <cell r="AZ97">
            <v>5049660</v>
          </cell>
          <cell r="BA97">
            <v>0</v>
          </cell>
          <cell r="BB97">
            <v>293423</v>
          </cell>
          <cell r="BC97">
            <v>5049660</v>
          </cell>
        </row>
        <row r="98">
          <cell r="F98" t="str">
            <v>280318-017</v>
          </cell>
          <cell r="G98" t="str">
            <v>Pembaharuan</v>
          </cell>
          <cell r="H98" t="str">
            <v>Pelaksana</v>
          </cell>
          <cell r="I98" t="str">
            <v>Prod. Stamping</v>
          </cell>
          <cell r="J98">
            <v>43187</v>
          </cell>
          <cell r="K98" t="b">
            <v>1</v>
          </cell>
          <cell r="L98">
            <v>43187</v>
          </cell>
          <cell r="M98">
            <v>3</v>
          </cell>
          <cell r="N98">
            <v>1</v>
          </cell>
          <cell r="O98">
            <v>26</v>
          </cell>
          <cell r="Q98">
            <v>5343082</v>
          </cell>
          <cell r="R98">
            <v>4924046</v>
          </cell>
          <cell r="S98">
            <v>5343083</v>
          </cell>
          <cell r="T98">
            <v>0</v>
          </cell>
          <cell r="U98">
            <v>0</v>
          </cell>
          <cell r="V98">
            <v>0</v>
          </cell>
          <cell r="W98">
            <v>5343083</v>
          </cell>
          <cell r="X98">
            <v>5</v>
          </cell>
          <cell r="Z98">
            <v>16</v>
          </cell>
          <cell r="AB98">
            <v>21</v>
          </cell>
          <cell r="AC98">
            <v>1272162.6190476192</v>
          </cell>
          <cell r="AD98">
            <v>4070920.3809523811</v>
          </cell>
          <cell r="AE98">
            <v>5343083</v>
          </cell>
          <cell r="AF98">
            <v>0</v>
          </cell>
          <cell r="AG98">
            <v>5343083</v>
          </cell>
          <cell r="AH98" t="b">
            <v>1</v>
          </cell>
          <cell r="AK98">
            <v>5343083</v>
          </cell>
          <cell r="AL98" t="str">
            <v>K2</v>
          </cell>
          <cell r="AM98">
            <v>5343083</v>
          </cell>
          <cell r="AN98">
            <v>0</v>
          </cell>
          <cell r="AQ98">
            <v>0</v>
          </cell>
          <cell r="AR98">
            <v>38000</v>
          </cell>
          <cell r="AS98">
            <v>31700</v>
          </cell>
          <cell r="AU98">
            <v>10000</v>
          </cell>
          <cell r="AV98">
            <v>53430.83</v>
          </cell>
          <cell r="AW98">
            <v>106861.66</v>
          </cell>
          <cell r="AX98">
            <v>53430.83</v>
          </cell>
          <cell r="AY98">
            <v>293423</v>
          </cell>
          <cell r="AZ98">
            <v>5049660</v>
          </cell>
          <cell r="BA98">
            <v>0</v>
          </cell>
          <cell r="BB98">
            <v>293423</v>
          </cell>
          <cell r="BC98">
            <v>5049660</v>
          </cell>
        </row>
        <row r="99">
          <cell r="F99" t="str">
            <v>280318-022</v>
          </cell>
          <cell r="G99" t="str">
            <v>Pembaharuan</v>
          </cell>
          <cell r="H99" t="str">
            <v>Pelaksana</v>
          </cell>
          <cell r="I99" t="str">
            <v>Prod. Stamping</v>
          </cell>
          <cell r="J99">
            <v>43187</v>
          </cell>
          <cell r="K99" t="b">
            <v>1</v>
          </cell>
          <cell r="L99">
            <v>43187</v>
          </cell>
          <cell r="M99">
            <v>3</v>
          </cell>
          <cell r="N99">
            <v>1</v>
          </cell>
          <cell r="O99">
            <v>26</v>
          </cell>
          <cell r="Q99">
            <v>5343082</v>
          </cell>
          <cell r="R99">
            <v>4924046</v>
          </cell>
          <cell r="S99">
            <v>5343083</v>
          </cell>
          <cell r="T99">
            <v>0</v>
          </cell>
          <cell r="U99">
            <v>0</v>
          </cell>
          <cell r="V99">
            <v>0</v>
          </cell>
          <cell r="W99">
            <v>5343083</v>
          </cell>
          <cell r="X99">
            <v>5</v>
          </cell>
          <cell r="Z99">
            <v>16</v>
          </cell>
          <cell r="AB99">
            <v>21</v>
          </cell>
          <cell r="AC99">
            <v>1272162.6190476192</v>
          </cell>
          <cell r="AD99">
            <v>4070920.3809523811</v>
          </cell>
          <cell r="AE99">
            <v>5343083</v>
          </cell>
          <cell r="AF99">
            <v>0</v>
          </cell>
          <cell r="AG99">
            <v>5343083</v>
          </cell>
          <cell r="AH99" t="b">
            <v>1</v>
          </cell>
          <cell r="AK99">
            <v>5343083</v>
          </cell>
          <cell r="AL99" t="str">
            <v>K3</v>
          </cell>
          <cell r="AM99">
            <v>5343083</v>
          </cell>
          <cell r="AN99">
            <v>0</v>
          </cell>
          <cell r="AQ99">
            <v>0</v>
          </cell>
          <cell r="AR99">
            <v>38000</v>
          </cell>
          <cell r="AS99">
            <v>31700</v>
          </cell>
          <cell r="AV99">
            <v>53430.83</v>
          </cell>
          <cell r="AW99">
            <v>106861.66</v>
          </cell>
          <cell r="AX99">
            <v>53430.83</v>
          </cell>
          <cell r="AY99">
            <v>283423</v>
          </cell>
          <cell r="AZ99">
            <v>5059660</v>
          </cell>
          <cell r="BA99">
            <v>0</v>
          </cell>
          <cell r="BB99">
            <v>283423</v>
          </cell>
          <cell r="BC99">
            <v>5059660</v>
          </cell>
        </row>
        <row r="100">
          <cell r="F100" t="str">
            <v>180418-008</v>
          </cell>
          <cell r="G100" t="str">
            <v>Kontrak 2</v>
          </cell>
          <cell r="H100" t="str">
            <v>Pelaksana</v>
          </cell>
          <cell r="I100" t="str">
            <v>Prod. Stamping</v>
          </cell>
          <cell r="J100">
            <v>43208</v>
          </cell>
          <cell r="K100" t="b">
            <v>1</v>
          </cell>
          <cell r="L100">
            <v>43208</v>
          </cell>
          <cell r="M100">
            <v>3</v>
          </cell>
          <cell r="N100">
            <v>1</v>
          </cell>
          <cell r="O100">
            <v>6</v>
          </cell>
          <cell r="Q100">
            <v>5343082</v>
          </cell>
          <cell r="R100">
            <v>4924046</v>
          </cell>
          <cell r="S100">
            <v>5343083</v>
          </cell>
          <cell r="T100">
            <v>0</v>
          </cell>
          <cell r="U100">
            <v>0</v>
          </cell>
          <cell r="V100">
            <v>0</v>
          </cell>
          <cell r="W100">
            <v>5343083</v>
          </cell>
          <cell r="X100">
            <v>5</v>
          </cell>
          <cell r="Z100">
            <v>16</v>
          </cell>
          <cell r="AB100">
            <v>21</v>
          </cell>
          <cell r="AC100">
            <v>1272162.6190476192</v>
          </cell>
          <cell r="AD100">
            <v>4070920.3809523811</v>
          </cell>
          <cell r="AE100">
            <v>5343083</v>
          </cell>
          <cell r="AF100">
            <v>0</v>
          </cell>
          <cell r="AG100">
            <v>5343083</v>
          </cell>
          <cell r="AH100" t="b">
            <v>1</v>
          </cell>
          <cell r="AK100">
            <v>5343083</v>
          </cell>
          <cell r="AL100" t="str">
            <v>TK1</v>
          </cell>
          <cell r="AM100">
            <v>5343083</v>
          </cell>
          <cell r="AN100">
            <v>15604.584590750002</v>
          </cell>
          <cell r="AQ100">
            <v>0</v>
          </cell>
          <cell r="AR100">
            <v>38000</v>
          </cell>
          <cell r="AS100">
            <v>31700</v>
          </cell>
          <cell r="AV100">
            <v>53430.83</v>
          </cell>
          <cell r="AW100">
            <v>106861.66</v>
          </cell>
          <cell r="AX100">
            <v>53430.83</v>
          </cell>
          <cell r="AY100">
            <v>299028</v>
          </cell>
          <cell r="AZ100">
            <v>5044055</v>
          </cell>
          <cell r="BA100">
            <v>15604.584590750002</v>
          </cell>
          <cell r="BB100">
            <v>283423</v>
          </cell>
          <cell r="BC100">
            <v>5059660</v>
          </cell>
        </row>
        <row r="101">
          <cell r="F101" t="str">
            <v>310718-014</v>
          </cell>
          <cell r="G101" t="str">
            <v>Kontrak 2</v>
          </cell>
          <cell r="H101" t="str">
            <v>Pelaksana</v>
          </cell>
          <cell r="I101" t="str">
            <v>Prod. Stamping</v>
          </cell>
          <cell r="J101">
            <v>43312</v>
          </cell>
          <cell r="K101" t="b">
            <v>1</v>
          </cell>
          <cell r="L101">
            <v>43312</v>
          </cell>
          <cell r="M101">
            <v>2</v>
          </cell>
          <cell r="N101">
            <v>9</v>
          </cell>
          <cell r="O101">
            <v>23</v>
          </cell>
          <cell r="Q101">
            <v>5343082</v>
          </cell>
          <cell r="R101">
            <v>4924046</v>
          </cell>
          <cell r="S101">
            <v>5343083</v>
          </cell>
          <cell r="T101">
            <v>0</v>
          </cell>
          <cell r="U101">
            <v>0</v>
          </cell>
          <cell r="V101">
            <v>0</v>
          </cell>
          <cell r="W101">
            <v>5343083</v>
          </cell>
          <cell r="X101">
            <v>5</v>
          </cell>
          <cell r="Z101">
            <v>16</v>
          </cell>
          <cell r="AB101">
            <v>21</v>
          </cell>
          <cell r="AC101">
            <v>1272162.6190476192</v>
          </cell>
          <cell r="AD101">
            <v>4070920.3809523811</v>
          </cell>
          <cell r="AE101">
            <v>5343083</v>
          </cell>
          <cell r="AF101">
            <v>0</v>
          </cell>
          <cell r="AG101">
            <v>5343083</v>
          </cell>
          <cell r="AH101" t="b">
            <v>1</v>
          </cell>
          <cell r="AK101">
            <v>5343083</v>
          </cell>
          <cell r="AL101" t="str">
            <v>K0</v>
          </cell>
          <cell r="AM101">
            <v>1272163</v>
          </cell>
          <cell r="AN101">
            <v>0</v>
          </cell>
          <cell r="AP101">
            <v>16</v>
          </cell>
          <cell r="AQ101">
            <v>4070920</v>
          </cell>
          <cell r="AR101">
            <v>38000</v>
          </cell>
          <cell r="AS101">
            <v>0</v>
          </cell>
          <cell r="AU101">
            <v>10000</v>
          </cell>
          <cell r="AV101">
            <v>53430.83</v>
          </cell>
          <cell r="AW101">
            <v>106861.66</v>
          </cell>
          <cell r="AX101">
            <v>53430.83</v>
          </cell>
          <cell r="AY101">
            <v>4332643</v>
          </cell>
          <cell r="AZ101">
            <v>1010440</v>
          </cell>
          <cell r="BA101">
            <v>0</v>
          </cell>
          <cell r="BB101">
            <v>4332643</v>
          </cell>
          <cell r="BC101">
            <v>1010440</v>
          </cell>
        </row>
        <row r="102">
          <cell r="F102" t="str">
            <v>021219-002</v>
          </cell>
          <cell r="G102" t="str">
            <v>Pembaharuan</v>
          </cell>
          <cell r="H102" t="str">
            <v>Pelaksana</v>
          </cell>
          <cell r="I102" t="str">
            <v>Prod. Stamping</v>
          </cell>
          <cell r="J102">
            <v>43801</v>
          </cell>
          <cell r="K102" t="b">
            <v>1</v>
          </cell>
          <cell r="L102">
            <v>43801</v>
          </cell>
          <cell r="M102">
            <v>1</v>
          </cell>
          <cell r="N102">
            <v>5</v>
          </cell>
          <cell r="O102">
            <v>22</v>
          </cell>
          <cell r="Q102">
            <v>5343082</v>
          </cell>
          <cell r="R102">
            <v>4924046</v>
          </cell>
          <cell r="S102">
            <v>5343083</v>
          </cell>
          <cell r="T102">
            <v>0</v>
          </cell>
          <cell r="U102">
            <v>0</v>
          </cell>
          <cell r="V102">
            <v>0</v>
          </cell>
          <cell r="W102">
            <v>5343083</v>
          </cell>
          <cell r="X102">
            <v>5</v>
          </cell>
          <cell r="Z102">
            <v>16</v>
          </cell>
          <cell r="AB102">
            <v>21</v>
          </cell>
          <cell r="AC102">
            <v>1272162.6190476192</v>
          </cell>
          <cell r="AD102">
            <v>4070920.3809523811</v>
          </cell>
          <cell r="AE102">
            <v>5343083</v>
          </cell>
          <cell r="AF102">
            <v>0</v>
          </cell>
          <cell r="AG102">
            <v>5343083</v>
          </cell>
          <cell r="AH102" t="b">
            <v>1</v>
          </cell>
          <cell r="AK102">
            <v>5343083</v>
          </cell>
          <cell r="AL102" t="str">
            <v>TK</v>
          </cell>
          <cell r="AM102">
            <v>5343083</v>
          </cell>
          <cell r="AN102">
            <v>34354.584590750004</v>
          </cell>
          <cell r="AQ102">
            <v>0</v>
          </cell>
          <cell r="AR102">
            <v>38000</v>
          </cell>
          <cell r="AS102">
            <v>31700</v>
          </cell>
          <cell r="AV102">
            <v>53430.83</v>
          </cell>
          <cell r="AW102">
            <v>106861.66</v>
          </cell>
          <cell r="AX102">
            <v>53430.83</v>
          </cell>
          <cell r="AY102">
            <v>317778</v>
          </cell>
          <cell r="AZ102">
            <v>5025305</v>
          </cell>
          <cell r="BA102">
            <v>34354.584590750004</v>
          </cell>
          <cell r="BB102">
            <v>283423</v>
          </cell>
          <cell r="BC102">
            <v>5059660</v>
          </cell>
        </row>
        <row r="103">
          <cell r="F103" t="str">
            <v>260121-003</v>
          </cell>
          <cell r="G103" t="str">
            <v>Pembaharuan</v>
          </cell>
          <cell r="H103" t="str">
            <v>Pelaksana</v>
          </cell>
          <cell r="I103" t="str">
            <v>Prod. Stamping</v>
          </cell>
          <cell r="J103" t="str">
            <v>26 Januari 2021</v>
          </cell>
          <cell r="K103" t="b">
            <v>0</v>
          </cell>
          <cell r="L103">
            <v>44222</v>
          </cell>
          <cell r="M103">
            <v>0</v>
          </cell>
          <cell r="N103">
            <v>3</v>
          </cell>
          <cell r="O103">
            <v>28</v>
          </cell>
          <cell r="Q103">
            <v>5343082</v>
          </cell>
          <cell r="R103">
            <v>4924046</v>
          </cell>
          <cell r="S103">
            <v>5343083</v>
          </cell>
          <cell r="T103">
            <v>0</v>
          </cell>
          <cell r="U103">
            <v>0</v>
          </cell>
          <cell r="V103">
            <v>0</v>
          </cell>
          <cell r="W103">
            <v>5343083</v>
          </cell>
          <cell r="X103">
            <v>5</v>
          </cell>
          <cell r="Z103">
            <v>16</v>
          </cell>
          <cell r="AB103">
            <v>21</v>
          </cell>
          <cell r="AC103">
            <v>1272162.6190476192</v>
          </cell>
          <cell r="AD103">
            <v>4070920.3809523811</v>
          </cell>
          <cell r="AE103">
            <v>5343083</v>
          </cell>
          <cell r="AF103">
            <v>0</v>
          </cell>
          <cell r="AG103">
            <v>5343083</v>
          </cell>
          <cell r="AH103" t="b">
            <v>1</v>
          </cell>
          <cell r="AK103">
            <v>5343083</v>
          </cell>
          <cell r="AL103" t="str">
            <v>K0</v>
          </cell>
          <cell r="AM103">
            <v>5343083</v>
          </cell>
          <cell r="AN103">
            <v>15604.584590750002</v>
          </cell>
          <cell r="AQ103">
            <v>0</v>
          </cell>
          <cell r="AR103">
            <v>38000</v>
          </cell>
          <cell r="AS103">
            <v>31700</v>
          </cell>
          <cell r="AV103">
            <v>53430.83</v>
          </cell>
          <cell r="AW103">
            <v>106861.66</v>
          </cell>
          <cell r="AX103">
            <v>53430.83</v>
          </cell>
          <cell r="AY103">
            <v>299028</v>
          </cell>
          <cell r="AZ103">
            <v>5044055</v>
          </cell>
          <cell r="BA103">
            <v>15604.584590750002</v>
          </cell>
          <cell r="BB103">
            <v>283423</v>
          </cell>
          <cell r="BC103">
            <v>5059660</v>
          </cell>
        </row>
        <row r="104">
          <cell r="F104" t="str">
            <v>200120-002</v>
          </cell>
          <cell r="G104" t="str">
            <v>Pembaharuan</v>
          </cell>
          <cell r="H104" t="str">
            <v>Pelaksana</v>
          </cell>
          <cell r="I104" t="str">
            <v>Prod. Stamping</v>
          </cell>
          <cell r="J104">
            <v>43850</v>
          </cell>
          <cell r="K104" t="b">
            <v>1</v>
          </cell>
          <cell r="L104">
            <v>43850</v>
          </cell>
          <cell r="M104">
            <v>1</v>
          </cell>
          <cell r="N104">
            <v>4</v>
          </cell>
          <cell r="O104">
            <v>4</v>
          </cell>
          <cell r="Q104">
            <v>5343082</v>
          </cell>
          <cell r="R104">
            <v>4924046</v>
          </cell>
          <cell r="S104">
            <v>5343083</v>
          </cell>
          <cell r="T104">
            <v>0</v>
          </cell>
          <cell r="U104">
            <v>0</v>
          </cell>
          <cell r="V104">
            <v>0</v>
          </cell>
          <cell r="W104">
            <v>5343083</v>
          </cell>
          <cell r="X104">
            <v>5</v>
          </cell>
          <cell r="Z104">
            <v>16</v>
          </cell>
          <cell r="AB104">
            <v>21</v>
          </cell>
          <cell r="AC104">
            <v>1272162.6190476192</v>
          </cell>
          <cell r="AD104">
            <v>4070920.3809523811</v>
          </cell>
          <cell r="AE104">
            <v>5343083</v>
          </cell>
          <cell r="AF104">
            <v>0</v>
          </cell>
          <cell r="AG104">
            <v>5343083</v>
          </cell>
          <cell r="AH104" t="b">
            <v>1</v>
          </cell>
          <cell r="AK104">
            <v>5343083</v>
          </cell>
          <cell r="AL104" t="str">
            <v>K1</v>
          </cell>
          <cell r="AM104">
            <v>5343083</v>
          </cell>
          <cell r="AN104">
            <v>0</v>
          </cell>
          <cell r="AQ104">
            <v>0</v>
          </cell>
          <cell r="AR104">
            <v>38000</v>
          </cell>
          <cell r="AS104">
            <v>31700</v>
          </cell>
          <cell r="AV104">
            <v>53430.83</v>
          </cell>
          <cell r="AW104">
            <v>106861.66</v>
          </cell>
          <cell r="AX104">
            <v>53430.83</v>
          </cell>
          <cell r="AY104">
            <v>283423</v>
          </cell>
          <cell r="AZ104">
            <v>5059660</v>
          </cell>
          <cell r="BA104">
            <v>0</v>
          </cell>
          <cell r="BB104">
            <v>283423</v>
          </cell>
          <cell r="BC104">
            <v>5059660</v>
          </cell>
        </row>
        <row r="105">
          <cell r="F105" t="str">
            <v>290618-006</v>
          </cell>
          <cell r="G105" t="str">
            <v>Kontrak 2</v>
          </cell>
          <cell r="H105" t="str">
            <v>Pelaksana</v>
          </cell>
          <cell r="I105" t="str">
            <v>Prod. Stamping</v>
          </cell>
          <cell r="J105">
            <v>43280</v>
          </cell>
          <cell r="K105" t="b">
            <v>1</v>
          </cell>
          <cell r="L105">
            <v>43280</v>
          </cell>
          <cell r="M105">
            <v>2</v>
          </cell>
          <cell r="N105">
            <v>10</v>
          </cell>
          <cell r="O105">
            <v>25</v>
          </cell>
          <cell r="Q105">
            <v>5343082</v>
          </cell>
          <cell r="R105">
            <v>4924046</v>
          </cell>
          <cell r="S105">
            <v>5343083</v>
          </cell>
          <cell r="T105">
            <v>0</v>
          </cell>
          <cell r="U105">
            <v>0</v>
          </cell>
          <cell r="V105">
            <v>0</v>
          </cell>
          <cell r="W105">
            <v>5343083</v>
          </cell>
          <cell r="X105">
            <v>5</v>
          </cell>
          <cell r="Z105">
            <v>16</v>
          </cell>
          <cell r="AB105">
            <v>21</v>
          </cell>
          <cell r="AC105">
            <v>1272162.6190476192</v>
          </cell>
          <cell r="AD105">
            <v>4070920.3809523811</v>
          </cell>
          <cell r="AE105">
            <v>5343083</v>
          </cell>
          <cell r="AF105">
            <v>0</v>
          </cell>
          <cell r="AG105">
            <v>5343083</v>
          </cell>
          <cell r="AH105" t="b">
            <v>1</v>
          </cell>
          <cell r="AK105">
            <v>5343083</v>
          </cell>
          <cell r="AL105" t="str">
            <v>K1</v>
          </cell>
          <cell r="AM105">
            <v>5343083</v>
          </cell>
          <cell r="AN105">
            <v>0</v>
          </cell>
          <cell r="AQ105">
            <v>0</v>
          </cell>
          <cell r="AR105">
            <v>38000</v>
          </cell>
          <cell r="AS105">
            <v>31700</v>
          </cell>
          <cell r="AU105">
            <v>10000</v>
          </cell>
          <cell r="AV105">
            <v>53430.83</v>
          </cell>
          <cell r="AW105">
            <v>106861.66</v>
          </cell>
          <cell r="AX105">
            <v>53430.83</v>
          </cell>
          <cell r="AY105">
            <v>293423</v>
          </cell>
          <cell r="AZ105">
            <v>5049660</v>
          </cell>
          <cell r="BA105">
            <v>0</v>
          </cell>
          <cell r="BB105">
            <v>293423</v>
          </cell>
          <cell r="BC105">
            <v>5049660</v>
          </cell>
        </row>
        <row r="106">
          <cell r="F106" t="str">
            <v>290618-001</v>
          </cell>
          <cell r="G106" t="str">
            <v>Kontrak 2</v>
          </cell>
          <cell r="H106" t="str">
            <v>Pelaksana</v>
          </cell>
          <cell r="I106" t="str">
            <v>Prod. Stamping</v>
          </cell>
          <cell r="J106">
            <v>43280</v>
          </cell>
          <cell r="K106" t="b">
            <v>1</v>
          </cell>
          <cell r="L106">
            <v>43280</v>
          </cell>
          <cell r="M106">
            <v>2</v>
          </cell>
          <cell r="N106">
            <v>10</v>
          </cell>
          <cell r="O106">
            <v>25</v>
          </cell>
          <cell r="Q106">
            <v>5343082</v>
          </cell>
          <cell r="R106">
            <v>4924046</v>
          </cell>
          <cell r="S106">
            <v>5343083</v>
          </cell>
          <cell r="T106">
            <v>0</v>
          </cell>
          <cell r="U106">
            <v>0</v>
          </cell>
          <cell r="V106">
            <v>0</v>
          </cell>
          <cell r="W106">
            <v>5343083</v>
          </cell>
          <cell r="X106">
            <v>5</v>
          </cell>
          <cell r="Z106">
            <v>16</v>
          </cell>
          <cell r="AB106">
            <v>21</v>
          </cell>
          <cell r="AC106">
            <v>1272162.6190476192</v>
          </cell>
          <cell r="AD106">
            <v>4070920.3809523811</v>
          </cell>
          <cell r="AE106">
            <v>5343083</v>
          </cell>
          <cell r="AF106">
            <v>0</v>
          </cell>
          <cell r="AG106">
            <v>5343083</v>
          </cell>
          <cell r="AH106" t="b">
            <v>1</v>
          </cell>
          <cell r="AK106">
            <v>5343083</v>
          </cell>
          <cell r="AL106" t="str">
            <v>K0</v>
          </cell>
          <cell r="AM106">
            <v>5343083</v>
          </cell>
          <cell r="AN106">
            <v>15604.584590750002</v>
          </cell>
          <cell r="AQ106">
            <v>0</v>
          </cell>
          <cell r="AR106">
            <v>38000</v>
          </cell>
          <cell r="AS106">
            <v>31700</v>
          </cell>
          <cell r="AU106">
            <v>10000</v>
          </cell>
          <cell r="AV106">
            <v>53430.83</v>
          </cell>
          <cell r="AW106">
            <v>106861.66</v>
          </cell>
          <cell r="AX106">
            <v>53430.83</v>
          </cell>
          <cell r="AY106">
            <v>309028</v>
          </cell>
          <cell r="AZ106">
            <v>5034055</v>
          </cell>
          <cell r="BA106">
            <v>15604.584590750002</v>
          </cell>
          <cell r="BB106">
            <v>293423</v>
          </cell>
          <cell r="BC106">
            <v>5049660</v>
          </cell>
        </row>
        <row r="107">
          <cell r="F107" t="str">
            <v>020718-016</v>
          </cell>
          <cell r="G107" t="str">
            <v>Kontrak 2</v>
          </cell>
          <cell r="H107" t="str">
            <v>Pelaksana</v>
          </cell>
          <cell r="I107" t="str">
            <v>Prod. Stamping</v>
          </cell>
          <cell r="J107">
            <v>43283</v>
          </cell>
          <cell r="K107" t="b">
            <v>1</v>
          </cell>
          <cell r="L107">
            <v>43283</v>
          </cell>
          <cell r="M107">
            <v>2</v>
          </cell>
          <cell r="N107">
            <v>10</v>
          </cell>
          <cell r="O107">
            <v>22</v>
          </cell>
          <cell r="Q107">
            <v>5343082</v>
          </cell>
          <cell r="R107">
            <v>4924046</v>
          </cell>
          <cell r="S107">
            <v>5343083</v>
          </cell>
          <cell r="T107">
            <v>0</v>
          </cell>
          <cell r="U107">
            <v>0</v>
          </cell>
          <cell r="V107">
            <v>0</v>
          </cell>
          <cell r="W107">
            <v>5343083</v>
          </cell>
          <cell r="X107">
            <v>5</v>
          </cell>
          <cell r="Z107">
            <v>16</v>
          </cell>
          <cell r="AB107">
            <v>21</v>
          </cell>
          <cell r="AC107">
            <v>1272162.6190476192</v>
          </cell>
          <cell r="AD107">
            <v>4070920.3809523811</v>
          </cell>
          <cell r="AE107">
            <v>5343083</v>
          </cell>
          <cell r="AF107">
            <v>0</v>
          </cell>
          <cell r="AG107">
            <v>5343083</v>
          </cell>
          <cell r="AH107" t="b">
            <v>1</v>
          </cell>
          <cell r="AK107">
            <v>5343083</v>
          </cell>
          <cell r="AL107" t="str">
            <v>TK</v>
          </cell>
          <cell r="AM107">
            <v>5343083</v>
          </cell>
          <cell r="AN107">
            <v>34354.584590750004</v>
          </cell>
          <cell r="AQ107">
            <v>0</v>
          </cell>
          <cell r="AS107">
            <v>31700</v>
          </cell>
          <cell r="AU107">
            <v>10000</v>
          </cell>
          <cell r="AV107">
            <v>53430.83</v>
          </cell>
          <cell r="AW107">
            <v>106861.66</v>
          </cell>
          <cell r="AX107">
            <v>53430.83</v>
          </cell>
          <cell r="AY107">
            <v>289778</v>
          </cell>
          <cell r="AZ107">
            <v>5053305</v>
          </cell>
          <cell r="BA107">
            <v>34354.584590750004</v>
          </cell>
          <cell r="BB107">
            <v>255423</v>
          </cell>
          <cell r="BC107">
            <v>5087660</v>
          </cell>
        </row>
        <row r="108">
          <cell r="F108" t="str">
            <v>051118-010</v>
          </cell>
          <cell r="G108" t="str">
            <v>Kontrak 2</v>
          </cell>
          <cell r="H108" t="str">
            <v>Pelaksana</v>
          </cell>
          <cell r="I108" t="str">
            <v>Prod. Stamping</v>
          </cell>
          <cell r="J108">
            <v>43409</v>
          </cell>
          <cell r="K108" t="b">
            <v>1</v>
          </cell>
          <cell r="L108">
            <v>43409</v>
          </cell>
          <cell r="M108">
            <v>2</v>
          </cell>
          <cell r="N108">
            <v>6</v>
          </cell>
          <cell r="O108">
            <v>19</v>
          </cell>
          <cell r="Q108">
            <v>5343082</v>
          </cell>
          <cell r="R108">
            <v>4924046</v>
          </cell>
          <cell r="S108">
            <v>5343083</v>
          </cell>
          <cell r="T108">
            <v>0</v>
          </cell>
          <cell r="U108">
            <v>0</v>
          </cell>
          <cell r="V108">
            <v>0</v>
          </cell>
          <cell r="W108">
            <v>5343083</v>
          </cell>
          <cell r="X108">
            <v>5</v>
          </cell>
          <cell r="Z108">
            <v>16</v>
          </cell>
          <cell r="AB108">
            <v>21</v>
          </cell>
          <cell r="AC108">
            <v>1272162.6190476192</v>
          </cell>
          <cell r="AD108">
            <v>4070920.3809523811</v>
          </cell>
          <cell r="AE108">
            <v>5343083</v>
          </cell>
          <cell r="AF108">
            <v>0</v>
          </cell>
          <cell r="AG108">
            <v>5343083</v>
          </cell>
          <cell r="AH108" t="b">
            <v>1</v>
          </cell>
          <cell r="AK108">
            <v>5343083</v>
          </cell>
          <cell r="AL108" t="str">
            <v>TK</v>
          </cell>
          <cell r="AM108">
            <v>5343083</v>
          </cell>
          <cell r="AN108">
            <v>34354.584590750004</v>
          </cell>
          <cell r="AQ108">
            <v>0</v>
          </cell>
          <cell r="AR108">
            <v>38000</v>
          </cell>
          <cell r="AS108">
            <v>31700</v>
          </cell>
          <cell r="AU108">
            <v>10000</v>
          </cell>
          <cell r="AV108">
            <v>53430.83</v>
          </cell>
          <cell r="AW108">
            <v>106861.66</v>
          </cell>
          <cell r="AX108">
            <v>53430.83</v>
          </cell>
          <cell r="AY108">
            <v>327778</v>
          </cell>
          <cell r="AZ108">
            <v>5015305</v>
          </cell>
          <cell r="BA108">
            <v>34354.584590750004</v>
          </cell>
          <cell r="BB108">
            <v>293423</v>
          </cell>
          <cell r="BC108">
            <v>5049660</v>
          </cell>
        </row>
        <row r="109">
          <cell r="F109" t="str">
            <v>020718-011</v>
          </cell>
          <cell r="G109" t="str">
            <v>Kontrak 2</v>
          </cell>
          <cell r="H109" t="str">
            <v>Pelaksana</v>
          </cell>
          <cell r="I109" t="str">
            <v>Prod. Stamping</v>
          </cell>
          <cell r="J109">
            <v>43283</v>
          </cell>
          <cell r="K109" t="b">
            <v>1</v>
          </cell>
          <cell r="L109">
            <v>43283</v>
          </cell>
          <cell r="M109">
            <v>2</v>
          </cell>
          <cell r="N109">
            <v>10</v>
          </cell>
          <cell r="O109">
            <v>22</v>
          </cell>
          <cell r="Q109">
            <v>5343082</v>
          </cell>
          <cell r="R109">
            <v>4924046</v>
          </cell>
          <cell r="S109">
            <v>5343083</v>
          </cell>
          <cell r="T109">
            <v>0</v>
          </cell>
          <cell r="U109">
            <v>0</v>
          </cell>
          <cell r="V109">
            <v>0</v>
          </cell>
          <cell r="W109">
            <v>5343083</v>
          </cell>
          <cell r="X109">
            <v>5</v>
          </cell>
          <cell r="Z109">
            <v>16</v>
          </cell>
          <cell r="AB109">
            <v>21</v>
          </cell>
          <cell r="AC109">
            <v>1272162.6190476192</v>
          </cell>
          <cell r="AD109">
            <v>4070920.3809523811</v>
          </cell>
          <cell r="AE109">
            <v>5343083</v>
          </cell>
          <cell r="AF109">
            <v>0</v>
          </cell>
          <cell r="AG109">
            <v>5343083</v>
          </cell>
          <cell r="AH109" t="b">
            <v>1</v>
          </cell>
          <cell r="AK109">
            <v>5343083</v>
          </cell>
          <cell r="AL109" t="str">
            <v>K0</v>
          </cell>
          <cell r="AM109">
            <v>5343083</v>
          </cell>
          <cell r="AN109">
            <v>15604.584590750002</v>
          </cell>
          <cell r="AQ109">
            <v>0</v>
          </cell>
          <cell r="AS109">
            <v>31700</v>
          </cell>
          <cell r="AU109">
            <v>10000</v>
          </cell>
          <cell r="AV109">
            <v>53430.83</v>
          </cell>
          <cell r="AW109">
            <v>106861.66</v>
          </cell>
          <cell r="AX109">
            <v>53430.83</v>
          </cell>
          <cell r="AY109">
            <v>271028</v>
          </cell>
          <cell r="AZ109">
            <v>5072055</v>
          </cell>
          <cell r="BA109">
            <v>15604.584590750002</v>
          </cell>
          <cell r="BB109">
            <v>255423</v>
          </cell>
          <cell r="BC109">
            <v>5087660</v>
          </cell>
        </row>
        <row r="110">
          <cell r="F110" t="str">
            <v>200818-012</v>
          </cell>
          <cell r="G110" t="str">
            <v>Kontrak 2</v>
          </cell>
          <cell r="H110" t="str">
            <v>Pelaksana</v>
          </cell>
          <cell r="I110" t="str">
            <v>Prod. Stamping</v>
          </cell>
          <cell r="J110">
            <v>43333</v>
          </cell>
          <cell r="K110" t="b">
            <v>1</v>
          </cell>
          <cell r="L110">
            <v>43333</v>
          </cell>
          <cell r="M110">
            <v>2</v>
          </cell>
          <cell r="N110">
            <v>9</v>
          </cell>
          <cell r="O110">
            <v>3</v>
          </cell>
          <cell r="Q110">
            <v>5343082</v>
          </cell>
          <cell r="R110">
            <v>4924046</v>
          </cell>
          <cell r="S110">
            <v>5343083</v>
          </cell>
          <cell r="T110">
            <v>0</v>
          </cell>
          <cell r="U110">
            <v>0</v>
          </cell>
          <cell r="V110">
            <v>0</v>
          </cell>
          <cell r="W110">
            <v>5343083</v>
          </cell>
          <cell r="X110">
            <v>5</v>
          </cell>
          <cell r="Z110">
            <v>16</v>
          </cell>
          <cell r="AB110">
            <v>21</v>
          </cell>
          <cell r="AC110">
            <v>1272162.6190476192</v>
          </cell>
          <cell r="AD110">
            <v>4070920.3809523811</v>
          </cell>
          <cell r="AE110">
            <v>5343083</v>
          </cell>
          <cell r="AF110">
            <v>0</v>
          </cell>
          <cell r="AG110">
            <v>5343083</v>
          </cell>
          <cell r="AH110" t="b">
            <v>1</v>
          </cell>
          <cell r="AK110">
            <v>5343083</v>
          </cell>
          <cell r="AL110" t="str">
            <v>K1</v>
          </cell>
          <cell r="AM110">
            <v>5343083</v>
          </cell>
          <cell r="AN110">
            <v>0</v>
          </cell>
          <cell r="AQ110">
            <v>0</v>
          </cell>
          <cell r="AR110">
            <v>38000</v>
          </cell>
          <cell r="AS110">
            <v>31700</v>
          </cell>
          <cell r="AU110">
            <v>10000</v>
          </cell>
          <cell r="AV110">
            <v>53430.83</v>
          </cell>
          <cell r="AW110">
            <v>106861.66</v>
          </cell>
          <cell r="AX110">
            <v>53430.83</v>
          </cell>
          <cell r="AY110">
            <v>293423</v>
          </cell>
          <cell r="AZ110">
            <v>5049660</v>
          </cell>
          <cell r="BA110">
            <v>0</v>
          </cell>
          <cell r="BB110">
            <v>293423</v>
          </cell>
          <cell r="BC110">
            <v>5049660</v>
          </cell>
        </row>
        <row r="111">
          <cell r="F111" t="str">
            <v>280318-004</v>
          </cell>
          <cell r="G111" t="str">
            <v>Pembaharuan</v>
          </cell>
          <cell r="H111" t="str">
            <v>Pelaksana</v>
          </cell>
          <cell r="I111" t="str">
            <v>Prod. Stamping</v>
          </cell>
          <cell r="J111">
            <v>43187</v>
          </cell>
          <cell r="K111" t="b">
            <v>1</v>
          </cell>
          <cell r="L111">
            <v>43187</v>
          </cell>
          <cell r="M111">
            <v>3</v>
          </cell>
          <cell r="N111">
            <v>1</v>
          </cell>
          <cell r="O111">
            <v>26</v>
          </cell>
          <cell r="Q111">
            <v>5343082</v>
          </cell>
          <cell r="R111">
            <v>4924046</v>
          </cell>
          <cell r="S111">
            <v>5343083</v>
          </cell>
          <cell r="T111">
            <v>0</v>
          </cell>
          <cell r="U111">
            <v>0</v>
          </cell>
          <cell r="V111">
            <v>0</v>
          </cell>
          <cell r="W111">
            <v>5343083</v>
          </cell>
          <cell r="X111">
            <v>5</v>
          </cell>
          <cell r="Z111">
            <v>16</v>
          </cell>
          <cell r="AB111">
            <v>21</v>
          </cell>
          <cell r="AC111">
            <v>1272162.6190476192</v>
          </cell>
          <cell r="AD111">
            <v>4070920.3809523811</v>
          </cell>
          <cell r="AE111">
            <v>5343083</v>
          </cell>
          <cell r="AF111">
            <v>0</v>
          </cell>
          <cell r="AG111">
            <v>5343083</v>
          </cell>
          <cell r="AH111" t="b">
            <v>1</v>
          </cell>
          <cell r="AK111">
            <v>5343083</v>
          </cell>
          <cell r="AL111" t="str">
            <v>TK</v>
          </cell>
          <cell r="AM111">
            <v>5343083</v>
          </cell>
          <cell r="AN111">
            <v>34354.584590750004</v>
          </cell>
          <cell r="AQ111">
            <v>0</v>
          </cell>
          <cell r="AR111">
            <v>38000</v>
          </cell>
          <cell r="AS111">
            <v>31700</v>
          </cell>
          <cell r="AV111">
            <v>53430.83</v>
          </cell>
          <cell r="AW111">
            <v>106861.66</v>
          </cell>
          <cell r="AX111">
            <v>53430.83</v>
          </cell>
          <cell r="AY111">
            <v>317778</v>
          </cell>
          <cell r="AZ111">
            <v>5025305</v>
          </cell>
          <cell r="BA111">
            <v>34354.584590750004</v>
          </cell>
          <cell r="BB111">
            <v>283423</v>
          </cell>
          <cell r="BC111">
            <v>5059660</v>
          </cell>
        </row>
        <row r="112">
          <cell r="F112" t="str">
            <v>010719-004</v>
          </cell>
          <cell r="G112" t="str">
            <v>Kontrak 2</v>
          </cell>
          <cell r="H112" t="str">
            <v>Pelaksana</v>
          </cell>
          <cell r="I112" t="str">
            <v>Prod. Stamping</v>
          </cell>
          <cell r="J112" t="str">
            <v>01 Juli 2019</v>
          </cell>
          <cell r="K112" t="b">
            <v>0</v>
          </cell>
          <cell r="L112">
            <v>43647</v>
          </cell>
          <cell r="M112">
            <v>1</v>
          </cell>
          <cell r="N112">
            <v>10</v>
          </cell>
          <cell r="O112">
            <v>23</v>
          </cell>
          <cell r="Q112">
            <v>5343082</v>
          </cell>
          <cell r="R112">
            <v>4924046</v>
          </cell>
          <cell r="S112">
            <v>5343083</v>
          </cell>
          <cell r="T112">
            <v>0</v>
          </cell>
          <cell r="U112">
            <v>0</v>
          </cell>
          <cell r="V112">
            <v>0</v>
          </cell>
          <cell r="W112">
            <v>5343083</v>
          </cell>
          <cell r="X112">
            <v>5</v>
          </cell>
          <cell r="Z112">
            <v>16</v>
          </cell>
          <cell r="AB112">
            <v>21</v>
          </cell>
          <cell r="AC112">
            <v>1272162.6190476192</v>
          </cell>
          <cell r="AD112">
            <v>4070920.3809523811</v>
          </cell>
          <cell r="AE112">
            <v>5343083</v>
          </cell>
          <cell r="AF112">
            <v>0</v>
          </cell>
          <cell r="AG112">
            <v>5343083</v>
          </cell>
          <cell r="AH112" t="b">
            <v>1</v>
          </cell>
          <cell r="AK112">
            <v>5343083</v>
          </cell>
          <cell r="AL112" t="str">
            <v>K1</v>
          </cell>
          <cell r="AM112">
            <v>5343083</v>
          </cell>
          <cell r="AN112">
            <v>0</v>
          </cell>
          <cell r="AQ112">
            <v>0</v>
          </cell>
          <cell r="AR112">
            <v>38000</v>
          </cell>
          <cell r="AS112">
            <v>31700</v>
          </cell>
          <cell r="AV112">
            <v>53430.83</v>
          </cell>
          <cell r="AW112">
            <v>106861.66</v>
          </cell>
          <cell r="AX112">
            <v>53430.83</v>
          </cell>
          <cell r="AY112">
            <v>283423</v>
          </cell>
          <cell r="AZ112">
            <v>5059660</v>
          </cell>
          <cell r="BA112">
            <v>0</v>
          </cell>
          <cell r="BB112">
            <v>283423</v>
          </cell>
          <cell r="BC112">
            <v>5059660</v>
          </cell>
        </row>
        <row r="113">
          <cell r="F113" t="str">
            <v>010719-006</v>
          </cell>
          <cell r="G113" t="str">
            <v>Kontrak 2</v>
          </cell>
          <cell r="H113" t="str">
            <v>Pelaksana</v>
          </cell>
          <cell r="I113" t="str">
            <v>Prod. Stamping</v>
          </cell>
          <cell r="J113" t="str">
            <v>01 Juli 2019</v>
          </cell>
          <cell r="K113" t="b">
            <v>0</v>
          </cell>
          <cell r="L113">
            <v>43647</v>
          </cell>
          <cell r="M113">
            <v>1</v>
          </cell>
          <cell r="N113">
            <v>10</v>
          </cell>
          <cell r="O113">
            <v>23</v>
          </cell>
          <cell r="Q113">
            <v>5343082</v>
          </cell>
          <cell r="R113">
            <v>4924046</v>
          </cell>
          <cell r="S113">
            <v>5343083</v>
          </cell>
          <cell r="T113">
            <v>0</v>
          </cell>
          <cell r="U113">
            <v>0</v>
          </cell>
          <cell r="V113">
            <v>0</v>
          </cell>
          <cell r="W113">
            <v>5343083</v>
          </cell>
          <cell r="X113">
            <v>5</v>
          </cell>
          <cell r="Z113">
            <v>16</v>
          </cell>
          <cell r="AB113">
            <v>21</v>
          </cell>
          <cell r="AC113">
            <v>1272162.6190476192</v>
          </cell>
          <cell r="AD113">
            <v>4070920.3809523811</v>
          </cell>
          <cell r="AE113">
            <v>5343083</v>
          </cell>
          <cell r="AF113">
            <v>0</v>
          </cell>
          <cell r="AG113">
            <v>5343083</v>
          </cell>
          <cell r="AH113" t="b">
            <v>1</v>
          </cell>
          <cell r="AK113">
            <v>5343083</v>
          </cell>
          <cell r="AL113" t="str">
            <v>K2</v>
          </cell>
          <cell r="AM113">
            <v>5343083</v>
          </cell>
          <cell r="AN113">
            <v>0</v>
          </cell>
          <cell r="AQ113">
            <v>0</v>
          </cell>
          <cell r="AR113">
            <v>38000</v>
          </cell>
          <cell r="AS113">
            <v>31700</v>
          </cell>
          <cell r="AV113">
            <v>53430.83</v>
          </cell>
          <cell r="AW113">
            <v>106861.66</v>
          </cell>
          <cell r="AX113">
            <v>53430.83</v>
          </cell>
          <cell r="AY113">
            <v>283423</v>
          </cell>
          <cell r="AZ113">
            <v>5059660</v>
          </cell>
          <cell r="BA113">
            <v>0</v>
          </cell>
          <cell r="BB113">
            <v>283423</v>
          </cell>
          <cell r="BC113">
            <v>5059660</v>
          </cell>
        </row>
        <row r="114">
          <cell r="F114" t="str">
            <v>010719-009</v>
          </cell>
          <cell r="G114" t="str">
            <v>Kontrak 2</v>
          </cell>
          <cell r="H114" t="str">
            <v>Pelaksana</v>
          </cell>
          <cell r="I114" t="str">
            <v>Prod. Stamping</v>
          </cell>
          <cell r="J114" t="str">
            <v>01 Juli 2019</v>
          </cell>
          <cell r="K114" t="b">
            <v>0</v>
          </cell>
          <cell r="L114">
            <v>43647</v>
          </cell>
          <cell r="M114">
            <v>1</v>
          </cell>
          <cell r="N114">
            <v>10</v>
          </cell>
          <cell r="O114">
            <v>23</v>
          </cell>
          <cell r="Q114">
            <v>5343082</v>
          </cell>
          <cell r="R114">
            <v>4924046</v>
          </cell>
          <cell r="S114">
            <v>5343083</v>
          </cell>
          <cell r="T114">
            <v>0</v>
          </cell>
          <cell r="U114">
            <v>0</v>
          </cell>
          <cell r="V114">
            <v>0</v>
          </cell>
          <cell r="W114">
            <v>5343083</v>
          </cell>
          <cell r="X114">
            <v>5</v>
          </cell>
          <cell r="Z114">
            <v>16</v>
          </cell>
          <cell r="AB114">
            <v>21</v>
          </cell>
          <cell r="AC114">
            <v>1272162.6190476192</v>
          </cell>
          <cell r="AD114">
            <v>4070920.3809523811</v>
          </cell>
          <cell r="AE114">
            <v>5343083</v>
          </cell>
          <cell r="AF114">
            <v>0</v>
          </cell>
          <cell r="AG114">
            <v>5343083</v>
          </cell>
          <cell r="AH114" t="b">
            <v>1</v>
          </cell>
          <cell r="AK114">
            <v>5343083</v>
          </cell>
          <cell r="AL114" t="str">
            <v>TK</v>
          </cell>
          <cell r="AM114">
            <v>5343083</v>
          </cell>
          <cell r="AN114">
            <v>34354.584590750004</v>
          </cell>
          <cell r="AQ114">
            <v>0</v>
          </cell>
          <cell r="AR114">
            <v>38000</v>
          </cell>
          <cell r="AS114">
            <v>31700</v>
          </cell>
          <cell r="AV114">
            <v>53430.83</v>
          </cell>
          <cell r="AW114">
            <v>106861.66</v>
          </cell>
          <cell r="AX114">
            <v>53430.83</v>
          </cell>
          <cell r="AY114">
            <v>317778</v>
          </cell>
          <cell r="AZ114">
            <v>5025305</v>
          </cell>
          <cell r="BA114">
            <v>34354.584590750004</v>
          </cell>
          <cell r="BB114">
            <v>283423</v>
          </cell>
          <cell r="BC114">
            <v>5059660</v>
          </cell>
        </row>
        <row r="115">
          <cell r="F115" t="str">
            <v>300719-004</v>
          </cell>
          <cell r="G115" t="str">
            <v>Kontrak 2</v>
          </cell>
          <cell r="H115" t="str">
            <v>Pelaksana</v>
          </cell>
          <cell r="I115" t="str">
            <v>Prod. Stamping</v>
          </cell>
          <cell r="J115" t="str">
            <v>30 Juli 2019</v>
          </cell>
          <cell r="K115" t="b">
            <v>0</v>
          </cell>
          <cell r="L115">
            <v>43676</v>
          </cell>
          <cell r="M115">
            <v>1</v>
          </cell>
          <cell r="N115">
            <v>9</v>
          </cell>
          <cell r="O115">
            <v>24</v>
          </cell>
          <cell r="Q115">
            <v>5343082</v>
          </cell>
          <cell r="R115">
            <v>4924046</v>
          </cell>
          <cell r="S115">
            <v>5343083</v>
          </cell>
          <cell r="T115">
            <v>0</v>
          </cell>
          <cell r="U115">
            <v>0</v>
          </cell>
          <cell r="V115">
            <v>0</v>
          </cell>
          <cell r="W115">
            <v>5343083</v>
          </cell>
          <cell r="X115">
            <v>5</v>
          </cell>
          <cell r="Z115">
            <v>16</v>
          </cell>
          <cell r="AB115">
            <v>21</v>
          </cell>
          <cell r="AC115">
            <v>1272162.6190476192</v>
          </cell>
          <cell r="AD115">
            <v>4070920.3809523811</v>
          </cell>
          <cell r="AE115">
            <v>5343083</v>
          </cell>
          <cell r="AF115">
            <v>0</v>
          </cell>
          <cell r="AG115">
            <v>5343083</v>
          </cell>
          <cell r="AH115" t="b">
            <v>1</v>
          </cell>
          <cell r="AK115">
            <v>5343083</v>
          </cell>
          <cell r="AL115" t="str">
            <v>TK</v>
          </cell>
          <cell r="AM115">
            <v>5343083</v>
          </cell>
          <cell r="AN115">
            <v>34354.584590750004</v>
          </cell>
          <cell r="AQ115">
            <v>0</v>
          </cell>
          <cell r="AR115">
            <v>38000</v>
          </cell>
          <cell r="AS115">
            <v>31700</v>
          </cell>
          <cell r="AV115">
            <v>53430.83</v>
          </cell>
          <cell r="AW115">
            <v>106861.66</v>
          </cell>
          <cell r="AX115">
            <v>53430.83</v>
          </cell>
          <cell r="AY115">
            <v>317778</v>
          </cell>
          <cell r="AZ115">
            <v>5025305</v>
          </cell>
          <cell r="BA115">
            <v>34354.584590750004</v>
          </cell>
          <cell r="BB115">
            <v>283423</v>
          </cell>
          <cell r="BC115">
            <v>5059660</v>
          </cell>
        </row>
        <row r="116">
          <cell r="F116" t="str">
            <v>200819-008</v>
          </cell>
          <cell r="G116" t="str">
            <v>Kontrak 2</v>
          </cell>
          <cell r="H116" t="str">
            <v>Pelaksana</v>
          </cell>
          <cell r="I116" t="str">
            <v>Prod. Stamping</v>
          </cell>
          <cell r="J116" t="str">
            <v>20 Agustus 2019</v>
          </cell>
          <cell r="K116" t="b">
            <v>0</v>
          </cell>
          <cell r="L116">
            <v>43697</v>
          </cell>
          <cell r="M116">
            <v>1</v>
          </cell>
          <cell r="N116">
            <v>9</v>
          </cell>
          <cell r="O116">
            <v>4</v>
          </cell>
          <cell r="Q116">
            <v>5343082</v>
          </cell>
          <cell r="R116">
            <v>4924046</v>
          </cell>
          <cell r="S116">
            <v>5343083</v>
          </cell>
          <cell r="T116">
            <v>0</v>
          </cell>
          <cell r="U116">
            <v>0</v>
          </cell>
          <cell r="V116">
            <v>0</v>
          </cell>
          <cell r="W116">
            <v>5343083</v>
          </cell>
          <cell r="X116">
            <v>5</v>
          </cell>
          <cell r="Z116">
            <v>16</v>
          </cell>
          <cell r="AB116">
            <v>21</v>
          </cell>
          <cell r="AC116">
            <v>1272162.6190476192</v>
          </cell>
          <cell r="AD116">
            <v>4070920.3809523811</v>
          </cell>
          <cell r="AE116">
            <v>5343083</v>
          </cell>
          <cell r="AF116">
            <v>0</v>
          </cell>
          <cell r="AG116">
            <v>5343083</v>
          </cell>
          <cell r="AH116" t="b">
            <v>1</v>
          </cell>
          <cell r="AK116">
            <v>5343083</v>
          </cell>
          <cell r="AL116" t="str">
            <v>TK</v>
          </cell>
          <cell r="AM116">
            <v>5343083</v>
          </cell>
          <cell r="AN116">
            <v>34354.584590750004</v>
          </cell>
          <cell r="AQ116">
            <v>0</v>
          </cell>
          <cell r="AR116">
            <v>38000</v>
          </cell>
          <cell r="AS116">
            <v>31700</v>
          </cell>
          <cell r="AV116">
            <v>53430.83</v>
          </cell>
          <cell r="AW116">
            <v>106861.66</v>
          </cell>
          <cell r="AX116">
            <v>53430.83</v>
          </cell>
          <cell r="AY116">
            <v>317778</v>
          </cell>
          <cell r="AZ116">
            <v>5025305</v>
          </cell>
          <cell r="BA116">
            <v>34354.584590750004</v>
          </cell>
          <cell r="BB116">
            <v>283423</v>
          </cell>
          <cell r="BC116">
            <v>5059660</v>
          </cell>
        </row>
        <row r="117">
          <cell r="F117" t="str">
            <v>230819-009</v>
          </cell>
          <cell r="G117" t="str">
            <v>Kontrak 2</v>
          </cell>
          <cell r="H117" t="str">
            <v>Pelaksana</v>
          </cell>
          <cell r="I117" t="str">
            <v>Prod. Stamping</v>
          </cell>
          <cell r="J117" t="str">
            <v>23 Agustus 2019</v>
          </cell>
          <cell r="K117" t="b">
            <v>0</v>
          </cell>
          <cell r="L117">
            <v>43700</v>
          </cell>
          <cell r="M117">
            <v>1</v>
          </cell>
          <cell r="N117">
            <v>9</v>
          </cell>
          <cell r="O117">
            <v>1</v>
          </cell>
          <cell r="Q117">
            <v>5343082</v>
          </cell>
          <cell r="R117">
            <v>4924046</v>
          </cell>
          <cell r="S117">
            <v>5343083</v>
          </cell>
          <cell r="T117">
            <v>0</v>
          </cell>
          <cell r="U117">
            <v>0</v>
          </cell>
          <cell r="V117">
            <v>0</v>
          </cell>
          <cell r="W117">
            <v>5343083</v>
          </cell>
          <cell r="X117">
            <v>5</v>
          </cell>
          <cell r="Z117">
            <v>16</v>
          </cell>
          <cell r="AB117">
            <v>21</v>
          </cell>
          <cell r="AC117">
            <v>1272162.6190476192</v>
          </cell>
          <cell r="AD117">
            <v>4070920.3809523811</v>
          </cell>
          <cell r="AE117">
            <v>5343083</v>
          </cell>
          <cell r="AF117">
            <v>0</v>
          </cell>
          <cell r="AG117">
            <v>5343083</v>
          </cell>
          <cell r="AH117" t="b">
            <v>1</v>
          </cell>
          <cell r="AK117">
            <v>5343083</v>
          </cell>
          <cell r="AL117" t="str">
            <v>TK</v>
          </cell>
          <cell r="AM117">
            <v>5343083</v>
          </cell>
          <cell r="AN117">
            <v>34354.584590750004</v>
          </cell>
          <cell r="AQ117">
            <v>0</v>
          </cell>
          <cell r="AS117">
            <v>31700</v>
          </cell>
          <cell r="AV117">
            <v>53430.83</v>
          </cell>
          <cell r="AW117">
            <v>106861.66</v>
          </cell>
          <cell r="AX117">
            <v>53430.83</v>
          </cell>
          <cell r="AY117">
            <v>279778</v>
          </cell>
          <cell r="AZ117">
            <v>5063305</v>
          </cell>
          <cell r="BA117">
            <v>34354.584590750004</v>
          </cell>
          <cell r="BB117">
            <v>245423</v>
          </cell>
          <cell r="BC117">
            <v>5097660</v>
          </cell>
        </row>
        <row r="118">
          <cell r="F118" t="str">
            <v>230819-015</v>
          </cell>
          <cell r="G118" t="str">
            <v>Kontrak 1</v>
          </cell>
          <cell r="H118" t="str">
            <v>Pelaksana</v>
          </cell>
          <cell r="I118" t="str">
            <v>Prod. Stamping</v>
          </cell>
          <cell r="J118" t="str">
            <v>23 Agustus 2019</v>
          </cell>
          <cell r="K118" t="b">
            <v>0</v>
          </cell>
          <cell r="L118">
            <v>43700</v>
          </cell>
          <cell r="M118">
            <v>1</v>
          </cell>
          <cell r="N118">
            <v>9</v>
          </cell>
          <cell r="O118">
            <v>1</v>
          </cell>
          <cell r="Q118">
            <v>5343082</v>
          </cell>
          <cell r="R118">
            <v>4924046</v>
          </cell>
          <cell r="S118">
            <v>5343083</v>
          </cell>
          <cell r="T118">
            <v>0</v>
          </cell>
          <cell r="U118">
            <v>0</v>
          </cell>
          <cell r="V118">
            <v>0</v>
          </cell>
          <cell r="W118">
            <v>5343083</v>
          </cell>
          <cell r="X118">
            <v>5</v>
          </cell>
          <cell r="Z118">
            <v>16</v>
          </cell>
          <cell r="AB118">
            <v>21</v>
          </cell>
          <cell r="AC118">
            <v>1272162.6190476192</v>
          </cell>
          <cell r="AD118">
            <v>4070920.3809523811</v>
          </cell>
          <cell r="AE118">
            <v>5343083</v>
          </cell>
          <cell r="AF118">
            <v>0</v>
          </cell>
          <cell r="AG118">
            <v>5343083</v>
          </cell>
          <cell r="AH118" t="b">
            <v>1</v>
          </cell>
          <cell r="AK118">
            <v>5343083</v>
          </cell>
          <cell r="AL118" t="str">
            <v>K2</v>
          </cell>
          <cell r="AM118">
            <v>5343083</v>
          </cell>
          <cell r="AN118">
            <v>0</v>
          </cell>
          <cell r="AQ118">
            <v>0</v>
          </cell>
          <cell r="AS118">
            <v>31700</v>
          </cell>
          <cell r="AV118">
            <v>53430.83</v>
          </cell>
          <cell r="AW118">
            <v>106861.66</v>
          </cell>
          <cell r="AX118">
            <v>53430.83</v>
          </cell>
          <cell r="AY118">
            <v>245423</v>
          </cell>
          <cell r="AZ118">
            <v>5097660</v>
          </cell>
          <cell r="BA118">
            <v>0</v>
          </cell>
          <cell r="BB118">
            <v>245423</v>
          </cell>
          <cell r="BC118">
            <v>5097660</v>
          </cell>
        </row>
        <row r="119">
          <cell r="F119" t="str">
            <v>090919-002</v>
          </cell>
          <cell r="G119" t="str">
            <v>Recall Kontrak 2</v>
          </cell>
          <cell r="H119" t="str">
            <v>Pelaksana</v>
          </cell>
          <cell r="I119" t="str">
            <v>Prod. Stamping</v>
          </cell>
          <cell r="J119" t="str">
            <v>09 September 2019</v>
          </cell>
          <cell r="K119" t="b">
            <v>0</v>
          </cell>
          <cell r="L119">
            <v>43717</v>
          </cell>
          <cell r="M119">
            <v>1</v>
          </cell>
          <cell r="N119">
            <v>8</v>
          </cell>
          <cell r="O119">
            <v>15</v>
          </cell>
          <cell r="Q119">
            <v>5343082</v>
          </cell>
          <cell r="R119">
            <v>4924046</v>
          </cell>
          <cell r="S119">
            <v>5343083</v>
          </cell>
          <cell r="T119">
            <v>0</v>
          </cell>
          <cell r="U119">
            <v>0</v>
          </cell>
          <cell r="V119">
            <v>0</v>
          </cell>
          <cell r="W119">
            <v>5343083</v>
          </cell>
          <cell r="X119">
            <v>5</v>
          </cell>
          <cell r="Z119">
            <v>16</v>
          </cell>
          <cell r="AB119">
            <v>21</v>
          </cell>
          <cell r="AC119">
            <v>1272162.6190476192</v>
          </cell>
          <cell r="AD119">
            <v>4070920.3809523811</v>
          </cell>
          <cell r="AE119">
            <v>5343083</v>
          </cell>
          <cell r="AF119">
            <v>0</v>
          </cell>
          <cell r="AG119">
            <v>5343083</v>
          </cell>
          <cell r="AH119" t="b">
            <v>1</v>
          </cell>
          <cell r="AK119">
            <v>5343083</v>
          </cell>
          <cell r="AL119" t="str">
            <v>K0</v>
          </cell>
          <cell r="AM119">
            <v>5343083</v>
          </cell>
          <cell r="AN119">
            <v>15604.584590750002</v>
          </cell>
          <cell r="AQ119">
            <v>0</v>
          </cell>
          <cell r="AR119">
            <v>38000</v>
          </cell>
          <cell r="AS119">
            <v>31700</v>
          </cell>
          <cell r="AV119">
            <v>53430.83</v>
          </cell>
          <cell r="AW119">
            <v>106861.66</v>
          </cell>
          <cell r="AX119">
            <v>53430.83</v>
          </cell>
          <cell r="AY119">
            <v>299028</v>
          </cell>
          <cell r="AZ119">
            <v>5044055</v>
          </cell>
          <cell r="BA119">
            <v>15604.584590750002</v>
          </cell>
          <cell r="BB119">
            <v>283423</v>
          </cell>
          <cell r="BC119">
            <v>5059660</v>
          </cell>
        </row>
        <row r="120">
          <cell r="F120" t="str">
            <v>200918-004</v>
          </cell>
          <cell r="G120" t="str">
            <v>Recall Kontrak 2</v>
          </cell>
          <cell r="H120" t="str">
            <v>Pelaksana</v>
          </cell>
          <cell r="I120" t="str">
            <v>Prod. Stamping</v>
          </cell>
          <cell r="J120">
            <v>43363</v>
          </cell>
          <cell r="K120" t="b">
            <v>1</v>
          </cell>
          <cell r="L120">
            <v>43363</v>
          </cell>
          <cell r="M120">
            <v>2</v>
          </cell>
          <cell r="N120">
            <v>8</v>
          </cell>
          <cell r="O120">
            <v>4</v>
          </cell>
          <cell r="Q120">
            <v>5343082</v>
          </cell>
          <cell r="R120">
            <v>4924046</v>
          </cell>
          <cell r="S120">
            <v>5343083</v>
          </cell>
          <cell r="T120">
            <v>0</v>
          </cell>
          <cell r="U120">
            <v>0</v>
          </cell>
          <cell r="V120">
            <v>0</v>
          </cell>
          <cell r="W120">
            <v>5343083</v>
          </cell>
          <cell r="X120">
            <v>5</v>
          </cell>
          <cell r="Z120">
            <v>16</v>
          </cell>
          <cell r="AB120">
            <v>21</v>
          </cell>
          <cell r="AC120">
            <v>1272162.6190476192</v>
          </cell>
          <cell r="AD120">
            <v>4070920.3809523811</v>
          </cell>
          <cell r="AE120">
            <v>5343083</v>
          </cell>
          <cell r="AF120">
            <v>0</v>
          </cell>
          <cell r="AG120">
            <v>5343083</v>
          </cell>
          <cell r="AH120" t="b">
            <v>1</v>
          </cell>
          <cell r="AK120">
            <v>5343083</v>
          </cell>
          <cell r="AL120" t="str">
            <v>K2</v>
          </cell>
          <cell r="AM120">
            <v>5343083</v>
          </cell>
          <cell r="AN120">
            <v>0</v>
          </cell>
          <cell r="AQ120">
            <v>0</v>
          </cell>
          <cell r="AS120">
            <v>31700</v>
          </cell>
          <cell r="AU120">
            <v>10000</v>
          </cell>
          <cell r="AV120">
            <v>53430.83</v>
          </cell>
          <cell r="AW120">
            <v>106861.66</v>
          </cell>
          <cell r="AX120">
            <v>53430.83</v>
          </cell>
          <cell r="AY120">
            <v>255423</v>
          </cell>
          <cell r="AZ120">
            <v>5087660</v>
          </cell>
          <cell r="BA120">
            <v>0</v>
          </cell>
          <cell r="BB120">
            <v>255423</v>
          </cell>
          <cell r="BC120">
            <v>5087660</v>
          </cell>
        </row>
        <row r="121">
          <cell r="F121" t="str">
            <v>050421-005</v>
          </cell>
          <cell r="G121" t="str">
            <v>Pembaharuan</v>
          </cell>
          <cell r="H121" t="str">
            <v>Pelaksana</v>
          </cell>
          <cell r="I121" t="str">
            <v>Prod. Stamping</v>
          </cell>
          <cell r="J121" t="e">
            <v>#N/A</v>
          </cell>
          <cell r="K121" t="e">
            <v>#N/A</v>
          </cell>
          <cell r="L121">
            <v>44291</v>
          </cell>
          <cell r="M121">
            <v>0</v>
          </cell>
          <cell r="N121">
            <v>1</v>
          </cell>
          <cell r="O121">
            <v>19</v>
          </cell>
          <cell r="Q121">
            <v>5343082</v>
          </cell>
          <cell r="R121">
            <v>4924046</v>
          </cell>
          <cell r="S121">
            <v>5343083</v>
          </cell>
          <cell r="T121">
            <v>0</v>
          </cell>
          <cell r="U121">
            <v>0</v>
          </cell>
          <cell r="V121">
            <v>0</v>
          </cell>
          <cell r="W121">
            <v>5343083</v>
          </cell>
          <cell r="X121">
            <v>5</v>
          </cell>
          <cell r="Z121">
            <v>16</v>
          </cell>
          <cell r="AB121">
            <v>21</v>
          </cell>
          <cell r="AC121">
            <v>1272162.6190476192</v>
          </cell>
          <cell r="AD121">
            <v>4070920.3809523811</v>
          </cell>
          <cell r="AE121">
            <v>5343083</v>
          </cell>
          <cell r="AF121">
            <v>0</v>
          </cell>
          <cell r="AG121">
            <v>5343083</v>
          </cell>
          <cell r="AH121" t="b">
            <v>1</v>
          </cell>
          <cell r="AK121">
            <v>5343083</v>
          </cell>
          <cell r="AL121" t="str">
            <v>K0</v>
          </cell>
          <cell r="AM121">
            <v>5343083</v>
          </cell>
          <cell r="AN121">
            <v>15604.584590750002</v>
          </cell>
          <cell r="AQ121">
            <v>0</v>
          </cell>
          <cell r="AR121">
            <v>38000</v>
          </cell>
          <cell r="AS121">
            <v>31700</v>
          </cell>
          <cell r="AU121">
            <v>10000</v>
          </cell>
          <cell r="AV121">
            <v>53430.83</v>
          </cell>
          <cell r="AW121">
            <v>106861.66</v>
          </cell>
          <cell r="AX121">
            <v>53430.83</v>
          </cell>
          <cell r="AY121">
            <v>309028</v>
          </cell>
          <cell r="AZ121">
            <v>5034055</v>
          </cell>
          <cell r="BA121">
            <v>15604.584590750002</v>
          </cell>
          <cell r="BB121">
            <v>293423</v>
          </cell>
          <cell r="BC121">
            <v>5049660</v>
          </cell>
        </row>
        <row r="122">
          <cell r="F122" t="str">
            <v>290618-012</v>
          </cell>
          <cell r="G122" t="str">
            <v>Kontrak 2</v>
          </cell>
          <cell r="H122" t="str">
            <v>Pelaksana</v>
          </cell>
          <cell r="I122" t="str">
            <v>Prod. Stamping</v>
          </cell>
          <cell r="J122">
            <v>43280</v>
          </cell>
          <cell r="K122" t="b">
            <v>1</v>
          </cell>
          <cell r="L122">
            <v>43280</v>
          </cell>
          <cell r="M122">
            <v>2</v>
          </cell>
          <cell r="N122">
            <v>10</v>
          </cell>
          <cell r="O122">
            <v>25</v>
          </cell>
          <cell r="Q122">
            <v>5343082</v>
          </cell>
          <cell r="R122">
            <v>4924046</v>
          </cell>
          <cell r="S122">
            <v>5343083</v>
          </cell>
          <cell r="T122">
            <v>0</v>
          </cell>
          <cell r="U122">
            <v>0</v>
          </cell>
          <cell r="V122">
            <v>0</v>
          </cell>
          <cell r="W122">
            <v>5343083</v>
          </cell>
          <cell r="X122">
            <v>5</v>
          </cell>
          <cell r="Z122">
            <v>16</v>
          </cell>
          <cell r="AB122">
            <v>21</v>
          </cell>
          <cell r="AC122">
            <v>1272162.6190476192</v>
          </cell>
          <cell r="AD122">
            <v>4070920.3809523811</v>
          </cell>
          <cell r="AE122">
            <v>5343083</v>
          </cell>
          <cell r="AF122">
            <v>0</v>
          </cell>
          <cell r="AG122">
            <v>5343083</v>
          </cell>
          <cell r="AH122" t="b">
            <v>1</v>
          </cell>
          <cell r="AK122">
            <v>5343083</v>
          </cell>
          <cell r="AL122" t="str">
            <v>TK</v>
          </cell>
          <cell r="AM122">
            <v>5343083</v>
          </cell>
          <cell r="AN122">
            <v>34354.584590750004</v>
          </cell>
          <cell r="AQ122">
            <v>0</v>
          </cell>
          <cell r="AR122">
            <v>38000</v>
          </cell>
          <cell r="AS122">
            <v>31700</v>
          </cell>
          <cell r="AU122">
            <v>10000</v>
          </cell>
          <cell r="AV122">
            <v>53430.83</v>
          </cell>
          <cell r="AW122">
            <v>106861.66</v>
          </cell>
          <cell r="AX122">
            <v>53430.83</v>
          </cell>
          <cell r="AY122">
            <v>327778</v>
          </cell>
          <cell r="AZ122">
            <v>5015305</v>
          </cell>
          <cell r="BA122">
            <v>34354.584590750004</v>
          </cell>
          <cell r="BB122">
            <v>293423</v>
          </cell>
          <cell r="BC122">
            <v>5049660</v>
          </cell>
        </row>
        <row r="123">
          <cell r="F123" t="str">
            <v>050421-002</v>
          </cell>
          <cell r="G123" t="str">
            <v>Pembaharuan</v>
          </cell>
          <cell r="H123" t="str">
            <v>Pelaksana</v>
          </cell>
          <cell r="I123" t="str">
            <v>Prod. Stamping</v>
          </cell>
          <cell r="J123" t="e">
            <v>#N/A</v>
          </cell>
          <cell r="K123" t="e">
            <v>#N/A</v>
          </cell>
          <cell r="L123">
            <v>44291</v>
          </cell>
          <cell r="M123">
            <v>0</v>
          </cell>
          <cell r="N123">
            <v>1</v>
          </cell>
          <cell r="O123">
            <v>19</v>
          </cell>
          <cell r="Q123">
            <v>5343082</v>
          </cell>
          <cell r="R123">
            <v>4924046</v>
          </cell>
          <cell r="S123">
            <v>5343083</v>
          </cell>
          <cell r="T123">
            <v>0</v>
          </cell>
          <cell r="U123">
            <v>0</v>
          </cell>
          <cell r="V123">
            <v>0</v>
          </cell>
          <cell r="W123">
            <v>5343083</v>
          </cell>
          <cell r="X123">
            <v>5</v>
          </cell>
          <cell r="Z123">
            <v>16</v>
          </cell>
          <cell r="AB123">
            <v>21</v>
          </cell>
          <cell r="AC123">
            <v>1272162.6190476192</v>
          </cell>
          <cell r="AD123">
            <v>4070920.3809523811</v>
          </cell>
          <cell r="AE123">
            <v>5343083</v>
          </cell>
          <cell r="AF123">
            <v>0</v>
          </cell>
          <cell r="AG123">
            <v>5343083</v>
          </cell>
          <cell r="AH123" t="b">
            <v>1</v>
          </cell>
          <cell r="AK123">
            <v>5343083</v>
          </cell>
          <cell r="AL123" t="str">
            <v>TK</v>
          </cell>
          <cell r="AM123">
            <v>5343083</v>
          </cell>
          <cell r="AN123">
            <v>34354.584590750004</v>
          </cell>
          <cell r="AQ123">
            <v>0</v>
          </cell>
          <cell r="AR123">
            <v>38000</v>
          </cell>
          <cell r="AS123">
            <v>31700</v>
          </cell>
          <cell r="AU123">
            <v>10000</v>
          </cell>
          <cell r="AV123">
            <v>53430.83</v>
          </cell>
          <cell r="AW123">
            <v>106861.66</v>
          </cell>
          <cell r="AX123">
            <v>53430.83</v>
          </cell>
          <cell r="AY123">
            <v>327778</v>
          </cell>
          <cell r="AZ123">
            <v>5015305</v>
          </cell>
          <cell r="BA123">
            <v>34354.584590750004</v>
          </cell>
          <cell r="BB123">
            <v>293423</v>
          </cell>
          <cell r="BC123">
            <v>5049660</v>
          </cell>
        </row>
        <row r="124">
          <cell r="F124" t="str">
            <v>040918-003</v>
          </cell>
          <cell r="G124" t="str">
            <v>Recall Kontrak 2</v>
          </cell>
          <cell r="H124" t="str">
            <v>Pelaksana</v>
          </cell>
          <cell r="I124" t="str">
            <v>Prod. Stamping</v>
          </cell>
          <cell r="J124">
            <v>43347</v>
          </cell>
          <cell r="K124" t="b">
            <v>1</v>
          </cell>
          <cell r="L124">
            <v>43347</v>
          </cell>
          <cell r="M124">
            <v>2</v>
          </cell>
          <cell r="N124">
            <v>8</v>
          </cell>
          <cell r="O124">
            <v>20</v>
          </cell>
          <cell r="Q124">
            <v>5343082</v>
          </cell>
          <cell r="R124">
            <v>4924046</v>
          </cell>
          <cell r="S124">
            <v>5343083</v>
          </cell>
          <cell r="T124">
            <v>0</v>
          </cell>
          <cell r="U124">
            <v>0</v>
          </cell>
          <cell r="V124">
            <v>0</v>
          </cell>
          <cell r="W124">
            <v>5343083</v>
          </cell>
          <cell r="X124">
            <v>5</v>
          </cell>
          <cell r="Z124">
            <v>16</v>
          </cell>
          <cell r="AB124">
            <v>21</v>
          </cell>
          <cell r="AC124">
            <v>1272162.6190476192</v>
          </cell>
          <cell r="AD124">
            <v>4070920.3809523811</v>
          </cell>
          <cell r="AE124">
            <v>5343083</v>
          </cell>
          <cell r="AF124">
            <v>0</v>
          </cell>
          <cell r="AG124">
            <v>5343083</v>
          </cell>
          <cell r="AH124" t="b">
            <v>1</v>
          </cell>
          <cell r="AK124">
            <v>5343083</v>
          </cell>
          <cell r="AL124" t="str">
            <v>K2</v>
          </cell>
          <cell r="AM124">
            <v>5343083</v>
          </cell>
          <cell r="AN124">
            <v>0</v>
          </cell>
          <cell r="AQ124">
            <v>0</v>
          </cell>
          <cell r="AS124">
            <v>31700</v>
          </cell>
          <cell r="AV124">
            <v>53430.83</v>
          </cell>
          <cell r="AW124">
            <v>106861.66</v>
          </cell>
          <cell r="AX124">
            <v>53430.83</v>
          </cell>
          <cell r="AY124">
            <v>245423</v>
          </cell>
          <cell r="AZ124">
            <v>5097660</v>
          </cell>
          <cell r="BA124">
            <v>0</v>
          </cell>
          <cell r="BB124">
            <v>245423</v>
          </cell>
          <cell r="BC124">
            <v>5097660</v>
          </cell>
        </row>
        <row r="125">
          <cell r="F125" t="str">
            <v>051118-011</v>
          </cell>
          <cell r="G125" t="str">
            <v>Kontrak 2</v>
          </cell>
          <cell r="H125" t="str">
            <v>Pelaksana</v>
          </cell>
          <cell r="I125" t="str">
            <v>Prod. Stamping</v>
          </cell>
          <cell r="J125">
            <v>43409</v>
          </cell>
          <cell r="K125" t="b">
            <v>1</v>
          </cell>
          <cell r="L125">
            <v>43409</v>
          </cell>
          <cell r="M125">
            <v>2</v>
          </cell>
          <cell r="N125">
            <v>6</v>
          </cell>
          <cell r="O125">
            <v>19</v>
          </cell>
          <cell r="Q125">
            <v>5343082</v>
          </cell>
          <cell r="R125">
            <v>4924046</v>
          </cell>
          <cell r="S125">
            <v>5343083</v>
          </cell>
          <cell r="T125">
            <v>0</v>
          </cell>
          <cell r="U125">
            <v>0</v>
          </cell>
          <cell r="V125">
            <v>0</v>
          </cell>
          <cell r="W125">
            <v>5343083</v>
          </cell>
          <cell r="X125">
            <v>5</v>
          </cell>
          <cell r="Z125">
            <v>16</v>
          </cell>
          <cell r="AB125">
            <v>21</v>
          </cell>
          <cell r="AC125">
            <v>1272162.6190476192</v>
          </cell>
          <cell r="AD125">
            <v>4070920.3809523811</v>
          </cell>
          <cell r="AE125">
            <v>5343083</v>
          </cell>
          <cell r="AF125">
            <v>0</v>
          </cell>
          <cell r="AG125">
            <v>5343083</v>
          </cell>
          <cell r="AH125" t="b">
            <v>1</v>
          </cell>
          <cell r="AK125">
            <v>5343083</v>
          </cell>
          <cell r="AL125" t="str">
            <v>K0</v>
          </cell>
          <cell r="AM125">
            <v>5343083</v>
          </cell>
          <cell r="AN125">
            <v>15604.584590750002</v>
          </cell>
          <cell r="AQ125">
            <v>0</v>
          </cell>
          <cell r="AR125">
            <v>38000</v>
          </cell>
          <cell r="AS125">
            <v>31700</v>
          </cell>
          <cell r="AU125">
            <v>10000</v>
          </cell>
          <cell r="AV125">
            <v>53430.83</v>
          </cell>
          <cell r="AW125">
            <v>106861.66</v>
          </cell>
          <cell r="AX125">
            <v>53430.83</v>
          </cell>
          <cell r="AY125">
            <v>309028</v>
          </cell>
          <cell r="AZ125">
            <v>5034055</v>
          </cell>
          <cell r="BA125">
            <v>15604.584590750002</v>
          </cell>
          <cell r="BB125">
            <v>293423</v>
          </cell>
          <cell r="BC125">
            <v>5049660</v>
          </cell>
        </row>
        <row r="126">
          <cell r="F126" t="str">
            <v>020718-005</v>
          </cell>
          <cell r="G126" t="str">
            <v>Kontrak 2</v>
          </cell>
          <cell r="H126" t="str">
            <v>Pelaksana</v>
          </cell>
          <cell r="I126" t="str">
            <v>Prod. Stamping</v>
          </cell>
          <cell r="J126">
            <v>43283</v>
          </cell>
          <cell r="K126" t="b">
            <v>1</v>
          </cell>
          <cell r="L126">
            <v>43283</v>
          </cell>
          <cell r="M126">
            <v>2</v>
          </cell>
          <cell r="N126">
            <v>10</v>
          </cell>
          <cell r="O126">
            <v>22</v>
          </cell>
          <cell r="Q126">
            <v>5343082</v>
          </cell>
          <cell r="R126">
            <v>4924046</v>
          </cell>
          <cell r="S126">
            <v>5343083</v>
          </cell>
          <cell r="T126">
            <v>0</v>
          </cell>
          <cell r="U126">
            <v>0</v>
          </cell>
          <cell r="V126">
            <v>0</v>
          </cell>
          <cell r="W126">
            <v>5343083</v>
          </cell>
          <cell r="X126">
            <v>5</v>
          </cell>
          <cell r="Z126">
            <v>16</v>
          </cell>
          <cell r="AB126">
            <v>21</v>
          </cell>
          <cell r="AC126">
            <v>1272162.6190476192</v>
          </cell>
          <cell r="AD126">
            <v>4070920.3809523811</v>
          </cell>
          <cell r="AE126">
            <v>5343083</v>
          </cell>
          <cell r="AF126">
            <v>0</v>
          </cell>
          <cell r="AG126">
            <v>5343083</v>
          </cell>
          <cell r="AH126" t="b">
            <v>1</v>
          </cell>
          <cell r="AK126">
            <v>5343083</v>
          </cell>
          <cell r="AL126" t="str">
            <v>TK</v>
          </cell>
          <cell r="AM126">
            <v>5343083</v>
          </cell>
          <cell r="AN126">
            <v>34354.584590750004</v>
          </cell>
          <cell r="AQ126">
            <v>0</v>
          </cell>
          <cell r="AS126">
            <v>31700</v>
          </cell>
          <cell r="AU126">
            <v>10000</v>
          </cell>
          <cell r="AV126">
            <v>53430.83</v>
          </cell>
          <cell r="AW126">
            <v>106861.66</v>
          </cell>
          <cell r="AX126">
            <v>53430.83</v>
          </cell>
          <cell r="AY126">
            <v>289778</v>
          </cell>
          <cell r="AZ126">
            <v>5053305</v>
          </cell>
          <cell r="BA126">
            <v>34354.584590750004</v>
          </cell>
          <cell r="BB126">
            <v>255423</v>
          </cell>
          <cell r="BC126">
            <v>5087660</v>
          </cell>
        </row>
        <row r="127">
          <cell r="F127" t="str">
            <v>051118-004</v>
          </cell>
          <cell r="G127" t="str">
            <v>Kontrak 2</v>
          </cell>
          <cell r="H127" t="str">
            <v>Pelaksana</v>
          </cell>
          <cell r="I127" t="str">
            <v>Prod. Stamping</v>
          </cell>
          <cell r="J127">
            <v>43409</v>
          </cell>
          <cell r="K127" t="b">
            <v>1</v>
          </cell>
          <cell r="L127">
            <v>43409</v>
          </cell>
          <cell r="M127">
            <v>2</v>
          </cell>
          <cell r="N127">
            <v>6</v>
          </cell>
          <cell r="O127">
            <v>19</v>
          </cell>
          <cell r="Q127">
            <v>5343082</v>
          </cell>
          <cell r="R127">
            <v>4924046</v>
          </cell>
          <cell r="S127">
            <v>5343083</v>
          </cell>
          <cell r="T127">
            <v>0</v>
          </cell>
          <cell r="U127">
            <v>0</v>
          </cell>
          <cell r="V127">
            <v>0</v>
          </cell>
          <cell r="W127">
            <v>5343083</v>
          </cell>
          <cell r="X127">
            <v>5</v>
          </cell>
          <cell r="Z127">
            <v>16</v>
          </cell>
          <cell r="AB127">
            <v>21</v>
          </cell>
          <cell r="AC127">
            <v>1272162.6190476192</v>
          </cell>
          <cell r="AD127">
            <v>4070920.3809523811</v>
          </cell>
          <cell r="AE127">
            <v>5343083</v>
          </cell>
          <cell r="AF127">
            <v>0</v>
          </cell>
          <cell r="AG127">
            <v>5343083</v>
          </cell>
          <cell r="AH127" t="b">
            <v>1</v>
          </cell>
          <cell r="AK127">
            <v>5343083</v>
          </cell>
          <cell r="AL127" t="str">
            <v>TK</v>
          </cell>
          <cell r="AM127">
            <v>5343083</v>
          </cell>
          <cell r="AN127">
            <v>34354.584590750004</v>
          </cell>
          <cell r="AQ127">
            <v>0</v>
          </cell>
          <cell r="AR127">
            <v>38000</v>
          </cell>
          <cell r="AS127">
            <v>31700</v>
          </cell>
          <cell r="AU127">
            <v>10000</v>
          </cell>
          <cell r="AV127">
            <v>53430.83</v>
          </cell>
          <cell r="AW127">
            <v>106861.66</v>
          </cell>
          <cell r="AX127">
            <v>53430.83</v>
          </cell>
          <cell r="AY127">
            <v>327778</v>
          </cell>
          <cell r="AZ127">
            <v>5015305</v>
          </cell>
          <cell r="BA127">
            <v>34354.584590750004</v>
          </cell>
          <cell r="BB127">
            <v>293423</v>
          </cell>
          <cell r="BC127">
            <v>5049660</v>
          </cell>
        </row>
        <row r="128">
          <cell r="F128" t="str">
            <v>290618-013</v>
          </cell>
          <cell r="G128" t="str">
            <v>Kontrak 2</v>
          </cell>
          <cell r="H128" t="str">
            <v>Pelaksana</v>
          </cell>
          <cell r="I128" t="str">
            <v>Prod. Stamping</v>
          </cell>
          <cell r="J128">
            <v>43280</v>
          </cell>
          <cell r="K128" t="b">
            <v>1</v>
          </cell>
          <cell r="L128">
            <v>43280</v>
          </cell>
          <cell r="M128">
            <v>2</v>
          </cell>
          <cell r="N128">
            <v>10</v>
          </cell>
          <cell r="O128">
            <v>25</v>
          </cell>
          <cell r="Q128">
            <v>5343082</v>
          </cell>
          <cell r="R128">
            <v>4924046</v>
          </cell>
          <cell r="S128">
            <v>5343083</v>
          </cell>
          <cell r="T128">
            <v>0</v>
          </cell>
          <cell r="U128">
            <v>0</v>
          </cell>
          <cell r="V128">
            <v>0</v>
          </cell>
          <cell r="W128">
            <v>5343083</v>
          </cell>
          <cell r="X128">
            <v>5</v>
          </cell>
          <cell r="Z128">
            <v>16</v>
          </cell>
          <cell r="AB128">
            <v>21</v>
          </cell>
          <cell r="AC128">
            <v>1272162.6190476192</v>
          </cell>
          <cell r="AD128">
            <v>4070920.3809523811</v>
          </cell>
          <cell r="AE128">
            <v>5343083</v>
          </cell>
          <cell r="AF128">
            <v>0</v>
          </cell>
          <cell r="AG128">
            <v>5343083</v>
          </cell>
          <cell r="AH128" t="b">
            <v>1</v>
          </cell>
          <cell r="AK128">
            <v>5343083</v>
          </cell>
          <cell r="AL128" t="str">
            <v>TK</v>
          </cell>
          <cell r="AM128">
            <v>5343083</v>
          </cell>
          <cell r="AN128">
            <v>34354.584590750004</v>
          </cell>
          <cell r="AQ128">
            <v>0</v>
          </cell>
          <cell r="AR128">
            <v>38000</v>
          </cell>
          <cell r="AS128">
            <v>31700</v>
          </cell>
          <cell r="AV128">
            <v>53430.83</v>
          </cell>
          <cell r="AW128">
            <v>106861.66</v>
          </cell>
          <cell r="AX128">
            <v>53430.83</v>
          </cell>
          <cell r="AY128">
            <v>317778</v>
          </cell>
          <cell r="AZ128">
            <v>5025305</v>
          </cell>
          <cell r="BA128">
            <v>34354.584590750004</v>
          </cell>
          <cell r="BB128">
            <v>283423</v>
          </cell>
          <cell r="BC128">
            <v>5059660</v>
          </cell>
        </row>
        <row r="129">
          <cell r="F129" t="str">
            <v>290618-018</v>
          </cell>
          <cell r="G129" t="str">
            <v>Kontrak 2</v>
          </cell>
          <cell r="H129" t="str">
            <v>Pelaksana</v>
          </cell>
          <cell r="I129" t="str">
            <v>Prod. Stamping</v>
          </cell>
          <cell r="J129">
            <v>43280</v>
          </cell>
          <cell r="K129" t="b">
            <v>1</v>
          </cell>
          <cell r="L129">
            <v>43280</v>
          </cell>
          <cell r="M129">
            <v>2</v>
          </cell>
          <cell r="N129">
            <v>10</v>
          </cell>
          <cell r="O129">
            <v>25</v>
          </cell>
          <cell r="Q129">
            <v>5343082</v>
          </cell>
          <cell r="R129">
            <v>4924046</v>
          </cell>
          <cell r="S129">
            <v>5343083</v>
          </cell>
          <cell r="T129">
            <v>0</v>
          </cell>
          <cell r="U129">
            <v>0</v>
          </cell>
          <cell r="V129">
            <v>0</v>
          </cell>
          <cell r="W129">
            <v>5343083</v>
          </cell>
          <cell r="X129">
            <v>5</v>
          </cell>
          <cell r="Z129">
            <v>16</v>
          </cell>
          <cell r="AB129">
            <v>21</v>
          </cell>
          <cell r="AC129">
            <v>1272162.6190476192</v>
          </cell>
          <cell r="AD129">
            <v>4070920.3809523811</v>
          </cell>
          <cell r="AE129">
            <v>5343083</v>
          </cell>
          <cell r="AF129">
            <v>0</v>
          </cell>
          <cell r="AG129">
            <v>5343083</v>
          </cell>
          <cell r="AH129" t="b">
            <v>1</v>
          </cell>
          <cell r="AK129">
            <v>5343083</v>
          </cell>
          <cell r="AL129" t="str">
            <v>TK</v>
          </cell>
          <cell r="AM129">
            <v>5343083</v>
          </cell>
          <cell r="AN129">
            <v>34354.584590750004</v>
          </cell>
          <cell r="AQ129">
            <v>0</v>
          </cell>
          <cell r="AR129">
            <v>38000</v>
          </cell>
          <cell r="AS129">
            <v>31700</v>
          </cell>
          <cell r="AU129">
            <v>10000</v>
          </cell>
          <cell r="AV129">
            <v>53430.83</v>
          </cell>
          <cell r="AW129">
            <v>106861.66</v>
          </cell>
          <cell r="AX129">
            <v>53430.83</v>
          </cell>
          <cell r="AY129">
            <v>327778</v>
          </cell>
          <cell r="AZ129">
            <v>5015305</v>
          </cell>
          <cell r="BA129">
            <v>34354.584590750004</v>
          </cell>
          <cell r="BB129">
            <v>293423</v>
          </cell>
          <cell r="BC129">
            <v>5049660</v>
          </cell>
        </row>
        <row r="130">
          <cell r="F130" t="str">
            <v>051118-003</v>
          </cell>
          <cell r="G130" t="str">
            <v>Kontrak 2</v>
          </cell>
          <cell r="H130" t="str">
            <v>Pelaksana</v>
          </cell>
          <cell r="I130" t="str">
            <v>Prod. Stamping</v>
          </cell>
          <cell r="J130">
            <v>43409</v>
          </cell>
          <cell r="K130" t="b">
            <v>1</v>
          </cell>
          <cell r="L130">
            <v>43409</v>
          </cell>
          <cell r="M130">
            <v>2</v>
          </cell>
          <cell r="N130">
            <v>6</v>
          </cell>
          <cell r="O130">
            <v>19</v>
          </cell>
          <cell r="Q130">
            <v>5343082</v>
          </cell>
          <cell r="R130">
            <v>4924046</v>
          </cell>
          <cell r="S130">
            <v>5343083</v>
          </cell>
          <cell r="T130">
            <v>0</v>
          </cell>
          <cell r="U130">
            <v>0</v>
          </cell>
          <cell r="V130">
            <v>0</v>
          </cell>
          <cell r="W130">
            <v>5343083</v>
          </cell>
          <cell r="X130">
            <v>5</v>
          </cell>
          <cell r="Z130">
            <v>16</v>
          </cell>
          <cell r="AB130">
            <v>21</v>
          </cell>
          <cell r="AC130">
            <v>1272162.6190476192</v>
          </cell>
          <cell r="AD130">
            <v>4070920.3809523811</v>
          </cell>
          <cell r="AE130">
            <v>5343083</v>
          </cell>
          <cell r="AF130">
            <v>0</v>
          </cell>
          <cell r="AG130">
            <v>5343083</v>
          </cell>
          <cell r="AH130" t="b">
            <v>1</v>
          </cell>
          <cell r="AK130">
            <v>5343083</v>
          </cell>
          <cell r="AL130" t="str">
            <v>TK</v>
          </cell>
          <cell r="AM130">
            <v>5343083</v>
          </cell>
          <cell r="AN130">
            <v>34354.584590750004</v>
          </cell>
          <cell r="AQ130">
            <v>0</v>
          </cell>
          <cell r="AR130">
            <v>38000</v>
          </cell>
          <cell r="AS130">
            <v>31700</v>
          </cell>
          <cell r="AU130">
            <v>10000</v>
          </cell>
          <cell r="AV130">
            <v>53430.83</v>
          </cell>
          <cell r="AW130">
            <v>106861.66</v>
          </cell>
          <cell r="AX130">
            <v>53430.83</v>
          </cell>
          <cell r="AY130">
            <v>327778</v>
          </cell>
          <cell r="AZ130">
            <v>5015305</v>
          </cell>
          <cell r="BA130">
            <v>34354.584590750004</v>
          </cell>
          <cell r="BB130">
            <v>293423</v>
          </cell>
          <cell r="BC130">
            <v>5049660</v>
          </cell>
        </row>
        <row r="131">
          <cell r="F131" t="str">
            <v>290618-009</v>
          </cell>
          <cell r="G131" t="str">
            <v>Kontrak 2</v>
          </cell>
          <cell r="H131" t="str">
            <v>Pelaksana</v>
          </cell>
          <cell r="I131" t="str">
            <v>Prod. Stamping</v>
          </cell>
          <cell r="J131">
            <v>43280</v>
          </cell>
          <cell r="K131" t="b">
            <v>1</v>
          </cell>
          <cell r="L131">
            <v>43280</v>
          </cell>
          <cell r="M131">
            <v>2</v>
          </cell>
          <cell r="N131">
            <v>10</v>
          </cell>
          <cell r="O131">
            <v>25</v>
          </cell>
          <cell r="Q131">
            <v>5343082</v>
          </cell>
          <cell r="R131">
            <v>4924046</v>
          </cell>
          <cell r="S131">
            <v>5343083</v>
          </cell>
          <cell r="T131">
            <v>0</v>
          </cell>
          <cell r="U131">
            <v>0</v>
          </cell>
          <cell r="V131">
            <v>0</v>
          </cell>
          <cell r="W131">
            <v>5343083</v>
          </cell>
          <cell r="X131">
            <v>5</v>
          </cell>
          <cell r="Z131">
            <v>16</v>
          </cell>
          <cell r="AB131">
            <v>21</v>
          </cell>
          <cell r="AC131">
            <v>1272162.6190476192</v>
          </cell>
          <cell r="AD131">
            <v>4070920.3809523811</v>
          </cell>
          <cell r="AE131">
            <v>5343083</v>
          </cell>
          <cell r="AF131">
            <v>0</v>
          </cell>
          <cell r="AG131">
            <v>5343083</v>
          </cell>
          <cell r="AH131" t="b">
            <v>1</v>
          </cell>
          <cell r="AK131">
            <v>5343083</v>
          </cell>
          <cell r="AL131" t="str">
            <v>K0</v>
          </cell>
          <cell r="AM131">
            <v>5343083</v>
          </cell>
          <cell r="AN131">
            <v>15604.584590750002</v>
          </cell>
          <cell r="AQ131">
            <v>0</v>
          </cell>
          <cell r="AR131">
            <v>38000</v>
          </cell>
          <cell r="AS131">
            <v>31700</v>
          </cell>
          <cell r="AU131">
            <v>10000</v>
          </cell>
          <cell r="AV131">
            <v>53430.83</v>
          </cell>
          <cell r="AW131">
            <v>106861.66</v>
          </cell>
          <cell r="AX131">
            <v>53430.83</v>
          </cell>
          <cell r="AY131">
            <v>309028</v>
          </cell>
          <cell r="AZ131">
            <v>5034055</v>
          </cell>
          <cell r="BA131">
            <v>15604.584590750002</v>
          </cell>
          <cell r="BB131">
            <v>293423</v>
          </cell>
          <cell r="BC131">
            <v>5049660</v>
          </cell>
        </row>
        <row r="132">
          <cell r="F132" t="str">
            <v>020718-020</v>
          </cell>
          <cell r="G132" t="str">
            <v>Kontrak 2</v>
          </cell>
          <cell r="H132" t="str">
            <v>Pelaksana</v>
          </cell>
          <cell r="I132" t="str">
            <v>Prod. Stamping</v>
          </cell>
          <cell r="J132">
            <v>43283</v>
          </cell>
          <cell r="K132" t="b">
            <v>1</v>
          </cell>
          <cell r="L132">
            <v>43283</v>
          </cell>
          <cell r="M132">
            <v>2</v>
          </cell>
          <cell r="N132">
            <v>10</v>
          </cell>
          <cell r="O132">
            <v>22</v>
          </cell>
          <cell r="Q132">
            <v>5343082</v>
          </cell>
          <cell r="R132">
            <v>4924046</v>
          </cell>
          <cell r="S132">
            <v>5343083</v>
          </cell>
          <cell r="T132">
            <v>0</v>
          </cell>
          <cell r="U132">
            <v>0</v>
          </cell>
          <cell r="V132">
            <v>0</v>
          </cell>
          <cell r="W132">
            <v>5343083</v>
          </cell>
          <cell r="X132">
            <v>5</v>
          </cell>
          <cell r="Z132">
            <v>16</v>
          </cell>
          <cell r="AB132">
            <v>21</v>
          </cell>
          <cell r="AC132">
            <v>1272162.6190476192</v>
          </cell>
          <cell r="AD132">
            <v>4070920.3809523811</v>
          </cell>
          <cell r="AE132">
            <v>5343083</v>
          </cell>
          <cell r="AF132">
            <v>0</v>
          </cell>
          <cell r="AG132">
            <v>5343083</v>
          </cell>
          <cell r="AH132" t="b">
            <v>1</v>
          </cell>
          <cell r="AK132">
            <v>5343083</v>
          </cell>
          <cell r="AL132" t="str">
            <v>K1</v>
          </cell>
          <cell r="AM132">
            <v>5343083</v>
          </cell>
          <cell r="AN132">
            <v>0</v>
          </cell>
          <cell r="AQ132">
            <v>0</v>
          </cell>
          <cell r="AS132">
            <v>31700</v>
          </cell>
          <cell r="AU132">
            <v>10000</v>
          </cell>
          <cell r="AV132">
            <v>53430.83</v>
          </cell>
          <cell r="AW132">
            <v>106861.66</v>
          </cell>
          <cell r="AX132">
            <v>53430.83</v>
          </cell>
          <cell r="AY132">
            <v>255423</v>
          </cell>
          <cell r="AZ132">
            <v>5087660</v>
          </cell>
          <cell r="BA132">
            <v>0</v>
          </cell>
          <cell r="BB132">
            <v>255423</v>
          </cell>
          <cell r="BC132">
            <v>5087660</v>
          </cell>
        </row>
        <row r="133">
          <cell r="F133" t="str">
            <v>261020-013</v>
          </cell>
          <cell r="G133" t="str">
            <v>Recall Kontrak 1</v>
          </cell>
          <cell r="H133" t="str">
            <v>Pelaksana</v>
          </cell>
          <cell r="I133" t="str">
            <v>Prod. Stamping</v>
          </cell>
          <cell r="J133" t="str">
            <v>26 Oktober 2020</v>
          </cell>
          <cell r="K133" t="b">
            <v>0</v>
          </cell>
          <cell r="L133">
            <v>44130</v>
          </cell>
          <cell r="M133">
            <v>0</v>
          </cell>
          <cell r="N133">
            <v>6</v>
          </cell>
          <cell r="O133">
            <v>28</v>
          </cell>
          <cell r="Q133">
            <v>5343082</v>
          </cell>
          <cell r="R133">
            <v>4924046</v>
          </cell>
          <cell r="S133">
            <v>5343083</v>
          </cell>
          <cell r="T133">
            <v>0</v>
          </cell>
          <cell r="U133">
            <v>0</v>
          </cell>
          <cell r="V133">
            <v>0</v>
          </cell>
          <cell r="W133">
            <v>5343083</v>
          </cell>
          <cell r="X133">
            <v>5</v>
          </cell>
          <cell r="Z133">
            <v>16</v>
          </cell>
          <cell r="AB133">
            <v>21</v>
          </cell>
          <cell r="AC133">
            <v>1272162.6190476192</v>
          </cell>
          <cell r="AD133">
            <v>4070920.3809523811</v>
          </cell>
          <cell r="AE133">
            <v>5343083</v>
          </cell>
          <cell r="AF133">
            <v>0</v>
          </cell>
          <cell r="AG133">
            <v>5343083</v>
          </cell>
          <cell r="AH133" t="b">
            <v>1</v>
          </cell>
          <cell r="AK133">
            <v>5343083</v>
          </cell>
          <cell r="AL133" t="str">
            <v>K1</v>
          </cell>
          <cell r="AM133">
            <v>5343083</v>
          </cell>
          <cell r="AN133">
            <v>0</v>
          </cell>
          <cell r="AQ133">
            <v>0</v>
          </cell>
          <cell r="AR133">
            <v>38000</v>
          </cell>
          <cell r="AS133">
            <v>31700</v>
          </cell>
          <cell r="AV133">
            <v>53430.83</v>
          </cell>
          <cell r="AW133">
            <v>106861.66</v>
          </cell>
          <cell r="AX133">
            <v>53430.83</v>
          </cell>
          <cell r="AY133">
            <v>283423</v>
          </cell>
          <cell r="AZ133">
            <v>5059660</v>
          </cell>
          <cell r="BA133">
            <v>0</v>
          </cell>
          <cell r="BB133">
            <v>283423</v>
          </cell>
          <cell r="BC133">
            <v>5059660</v>
          </cell>
        </row>
        <row r="134">
          <cell r="F134" t="str">
            <v>290618-019</v>
          </cell>
          <cell r="G134" t="str">
            <v>Kontrak 2</v>
          </cell>
          <cell r="H134" t="str">
            <v>Pelaksana</v>
          </cell>
          <cell r="I134" t="str">
            <v>Prod. Stamping</v>
          </cell>
          <cell r="J134">
            <v>43280</v>
          </cell>
          <cell r="K134" t="b">
            <v>1</v>
          </cell>
          <cell r="L134">
            <v>43280</v>
          </cell>
          <cell r="M134">
            <v>2</v>
          </cell>
          <cell r="N134">
            <v>10</v>
          </cell>
          <cell r="O134">
            <v>25</v>
          </cell>
          <cell r="Q134">
            <v>5343082</v>
          </cell>
          <cell r="R134">
            <v>4924046</v>
          </cell>
          <cell r="S134">
            <v>5343083</v>
          </cell>
          <cell r="T134">
            <v>0</v>
          </cell>
          <cell r="U134">
            <v>0</v>
          </cell>
          <cell r="V134">
            <v>0</v>
          </cell>
          <cell r="W134">
            <v>5343083</v>
          </cell>
          <cell r="X134">
            <v>5</v>
          </cell>
          <cell r="Z134">
            <v>16</v>
          </cell>
          <cell r="AB134">
            <v>21</v>
          </cell>
          <cell r="AC134">
            <v>1272162.6190476192</v>
          </cell>
          <cell r="AD134">
            <v>4070920.3809523811</v>
          </cell>
          <cell r="AE134">
            <v>5343083</v>
          </cell>
          <cell r="AF134">
            <v>0</v>
          </cell>
          <cell r="AG134">
            <v>5343083</v>
          </cell>
          <cell r="AH134" t="b">
            <v>1</v>
          </cell>
          <cell r="AK134">
            <v>5343083</v>
          </cell>
          <cell r="AL134" t="str">
            <v>K1</v>
          </cell>
          <cell r="AM134">
            <v>5343083</v>
          </cell>
          <cell r="AN134">
            <v>0</v>
          </cell>
          <cell r="AQ134">
            <v>0</v>
          </cell>
          <cell r="AR134">
            <v>38000</v>
          </cell>
          <cell r="AS134">
            <v>31700</v>
          </cell>
          <cell r="AU134">
            <v>10000</v>
          </cell>
          <cell r="AV134">
            <v>53430.83</v>
          </cell>
          <cell r="AW134">
            <v>106861.66</v>
          </cell>
          <cell r="AX134">
            <v>53430.83</v>
          </cell>
          <cell r="AY134">
            <v>293423</v>
          </cell>
          <cell r="AZ134">
            <v>5049660</v>
          </cell>
          <cell r="BA134">
            <v>0</v>
          </cell>
          <cell r="BB134">
            <v>293423</v>
          </cell>
          <cell r="BC134">
            <v>5049660</v>
          </cell>
        </row>
        <row r="135">
          <cell r="F135" t="str">
            <v>180121-003</v>
          </cell>
          <cell r="G135" t="str">
            <v>Pembaharuan</v>
          </cell>
          <cell r="H135" t="str">
            <v>Pelaksana</v>
          </cell>
          <cell r="I135" t="str">
            <v>Prod. Stamping</v>
          </cell>
          <cell r="J135" t="str">
            <v>18 Januari 2021</v>
          </cell>
          <cell r="K135" t="b">
            <v>0</v>
          </cell>
          <cell r="L135">
            <v>44214</v>
          </cell>
          <cell r="M135">
            <v>0</v>
          </cell>
          <cell r="N135">
            <v>4</v>
          </cell>
          <cell r="O135">
            <v>6</v>
          </cell>
          <cell r="Q135">
            <v>5343082</v>
          </cell>
          <cell r="R135">
            <v>4924046</v>
          </cell>
          <cell r="S135">
            <v>5343083</v>
          </cell>
          <cell r="T135">
            <v>0</v>
          </cell>
          <cell r="U135">
            <v>0</v>
          </cell>
          <cell r="V135">
            <v>0</v>
          </cell>
          <cell r="W135">
            <v>5343083</v>
          </cell>
          <cell r="X135">
            <v>5</v>
          </cell>
          <cell r="Z135">
            <v>16</v>
          </cell>
          <cell r="AB135">
            <v>21</v>
          </cell>
          <cell r="AC135">
            <v>1272162.6190476192</v>
          </cell>
          <cell r="AD135">
            <v>4070920.3809523811</v>
          </cell>
          <cell r="AE135">
            <v>5343083</v>
          </cell>
          <cell r="AF135">
            <v>0</v>
          </cell>
          <cell r="AG135">
            <v>5343083</v>
          </cell>
          <cell r="AH135" t="b">
            <v>1</v>
          </cell>
          <cell r="AK135">
            <v>5343083</v>
          </cell>
          <cell r="AL135" t="str">
            <v>K1</v>
          </cell>
          <cell r="AM135">
            <v>5343083</v>
          </cell>
          <cell r="AN135">
            <v>0</v>
          </cell>
          <cell r="AQ135">
            <v>0</v>
          </cell>
          <cell r="AR135">
            <v>38000</v>
          </cell>
          <cell r="AS135">
            <v>31700</v>
          </cell>
          <cell r="AU135">
            <v>10000</v>
          </cell>
          <cell r="AV135">
            <v>53430.83</v>
          </cell>
          <cell r="AW135">
            <v>106861.66</v>
          </cell>
          <cell r="AX135">
            <v>53430.83</v>
          </cell>
          <cell r="AY135">
            <v>293423</v>
          </cell>
          <cell r="AZ135">
            <v>5049660</v>
          </cell>
          <cell r="BA135">
            <v>0</v>
          </cell>
          <cell r="BB135">
            <v>293423</v>
          </cell>
          <cell r="BC135">
            <v>5049660</v>
          </cell>
        </row>
        <row r="136">
          <cell r="F136" t="str">
            <v>140318-001</v>
          </cell>
          <cell r="G136" t="str">
            <v>Pembaharuan</v>
          </cell>
          <cell r="H136" t="str">
            <v>Pelaksana</v>
          </cell>
          <cell r="I136" t="str">
            <v>Prod. Stamping</v>
          </cell>
          <cell r="J136">
            <v>43173</v>
          </cell>
          <cell r="K136" t="b">
            <v>1</v>
          </cell>
          <cell r="L136">
            <v>43173</v>
          </cell>
          <cell r="M136">
            <v>3</v>
          </cell>
          <cell r="N136">
            <v>2</v>
          </cell>
          <cell r="O136">
            <v>10</v>
          </cell>
          <cell r="Q136">
            <v>5343082</v>
          </cell>
          <cell r="R136">
            <v>4924046</v>
          </cell>
          <cell r="S136">
            <v>5343083</v>
          </cell>
          <cell r="T136">
            <v>0</v>
          </cell>
          <cell r="U136">
            <v>0</v>
          </cell>
          <cell r="V136">
            <v>0</v>
          </cell>
          <cell r="W136">
            <v>5343083</v>
          </cell>
          <cell r="X136">
            <v>5</v>
          </cell>
          <cell r="Z136">
            <v>16</v>
          </cell>
          <cell r="AB136">
            <v>21</v>
          </cell>
          <cell r="AC136">
            <v>1272162.6190476192</v>
          </cell>
          <cell r="AD136">
            <v>4070920.3809523811</v>
          </cell>
          <cell r="AE136">
            <v>5343083</v>
          </cell>
          <cell r="AF136">
            <v>0</v>
          </cell>
          <cell r="AG136">
            <v>5343083</v>
          </cell>
          <cell r="AH136" t="b">
            <v>1</v>
          </cell>
          <cell r="AK136">
            <v>5343083</v>
          </cell>
          <cell r="AL136" t="str">
            <v>K2</v>
          </cell>
          <cell r="AM136">
            <v>5343083</v>
          </cell>
          <cell r="AN136">
            <v>0</v>
          </cell>
          <cell r="AQ136">
            <v>0</v>
          </cell>
          <cell r="AR136">
            <v>38000</v>
          </cell>
          <cell r="AS136">
            <v>31700</v>
          </cell>
          <cell r="AU136">
            <v>10000</v>
          </cell>
          <cell r="AV136">
            <v>53430.83</v>
          </cell>
          <cell r="AW136">
            <v>106861.66</v>
          </cell>
          <cell r="AX136">
            <v>53430.83</v>
          </cell>
          <cell r="AY136">
            <v>293423</v>
          </cell>
          <cell r="AZ136">
            <v>5049660</v>
          </cell>
          <cell r="BA136">
            <v>0</v>
          </cell>
          <cell r="BB136">
            <v>293423</v>
          </cell>
          <cell r="BC136">
            <v>5049660</v>
          </cell>
        </row>
        <row r="137">
          <cell r="F137" t="str">
            <v>140318-007</v>
          </cell>
          <cell r="G137" t="str">
            <v>Pembaharuan</v>
          </cell>
          <cell r="H137" t="str">
            <v>Pelaksana</v>
          </cell>
          <cell r="I137" t="str">
            <v>Prod. Stamping</v>
          </cell>
          <cell r="J137" t="str">
            <v>14 Maret 2018</v>
          </cell>
          <cell r="K137" t="b">
            <v>0</v>
          </cell>
          <cell r="L137">
            <v>43173</v>
          </cell>
          <cell r="M137">
            <v>3</v>
          </cell>
          <cell r="N137">
            <v>2</v>
          </cell>
          <cell r="O137">
            <v>10</v>
          </cell>
          <cell r="Q137">
            <v>5343082</v>
          </cell>
          <cell r="R137">
            <v>4924046</v>
          </cell>
          <cell r="S137">
            <v>5343083</v>
          </cell>
          <cell r="T137">
            <v>0</v>
          </cell>
          <cell r="U137">
            <v>0</v>
          </cell>
          <cell r="V137">
            <v>0</v>
          </cell>
          <cell r="W137">
            <v>5343083</v>
          </cell>
          <cell r="X137">
            <v>5</v>
          </cell>
          <cell r="Z137">
            <v>16</v>
          </cell>
          <cell r="AB137">
            <v>21</v>
          </cell>
          <cell r="AC137">
            <v>1272162.6190476192</v>
          </cell>
          <cell r="AD137">
            <v>4070920.3809523811</v>
          </cell>
          <cell r="AE137">
            <v>5343083</v>
          </cell>
          <cell r="AF137">
            <v>0</v>
          </cell>
          <cell r="AG137">
            <v>5343083</v>
          </cell>
          <cell r="AH137" t="b">
            <v>1</v>
          </cell>
          <cell r="AK137">
            <v>5343083</v>
          </cell>
          <cell r="AL137" t="str">
            <v>TK</v>
          </cell>
          <cell r="AM137">
            <v>5343083</v>
          </cell>
          <cell r="AN137">
            <v>34354.584590750004</v>
          </cell>
          <cell r="AQ137">
            <v>0</v>
          </cell>
          <cell r="AR137">
            <v>38000</v>
          </cell>
          <cell r="AS137">
            <v>31700</v>
          </cell>
          <cell r="AU137">
            <v>10000</v>
          </cell>
          <cell r="AV137">
            <v>53430.83</v>
          </cell>
          <cell r="AW137">
            <v>106861.66</v>
          </cell>
          <cell r="AX137">
            <v>53430.83</v>
          </cell>
          <cell r="AY137">
            <v>327778</v>
          </cell>
          <cell r="AZ137">
            <v>5015305</v>
          </cell>
          <cell r="BA137">
            <v>34354.584590750004</v>
          </cell>
          <cell r="BB137">
            <v>293423</v>
          </cell>
          <cell r="BC137">
            <v>5049660</v>
          </cell>
        </row>
        <row r="138">
          <cell r="F138" t="str">
            <v>150221-004</v>
          </cell>
          <cell r="G138" t="str">
            <v>Pembaharuan</v>
          </cell>
          <cell r="H138" t="str">
            <v>Pelaksana</v>
          </cell>
          <cell r="I138" t="str">
            <v>Prod. Stamping</v>
          </cell>
          <cell r="J138" t="str">
            <v>15 Februari 2021</v>
          </cell>
          <cell r="K138" t="b">
            <v>0</v>
          </cell>
          <cell r="L138">
            <v>44242</v>
          </cell>
          <cell r="M138">
            <v>0</v>
          </cell>
          <cell r="N138">
            <v>3</v>
          </cell>
          <cell r="O138">
            <v>9</v>
          </cell>
          <cell r="Q138">
            <v>5343082</v>
          </cell>
          <cell r="R138">
            <v>4924046</v>
          </cell>
          <cell r="S138">
            <v>5343083</v>
          </cell>
          <cell r="T138">
            <v>0</v>
          </cell>
          <cell r="U138">
            <v>0</v>
          </cell>
          <cell r="V138">
            <v>0</v>
          </cell>
          <cell r="W138">
            <v>5343083</v>
          </cell>
          <cell r="X138">
            <v>5</v>
          </cell>
          <cell r="Z138">
            <v>16</v>
          </cell>
          <cell r="AB138">
            <v>21</v>
          </cell>
          <cell r="AC138">
            <v>1272162.6190476192</v>
          </cell>
          <cell r="AD138">
            <v>4070920.3809523811</v>
          </cell>
          <cell r="AE138">
            <v>5343083</v>
          </cell>
          <cell r="AF138">
            <v>0</v>
          </cell>
          <cell r="AG138">
            <v>5343083</v>
          </cell>
          <cell r="AH138" t="b">
            <v>1</v>
          </cell>
          <cell r="AK138">
            <v>5343083</v>
          </cell>
          <cell r="AL138" t="str">
            <v>TK</v>
          </cell>
          <cell r="AM138">
            <v>5343083</v>
          </cell>
          <cell r="AN138">
            <v>34354.584590750004</v>
          </cell>
          <cell r="AQ138">
            <v>0</v>
          </cell>
          <cell r="AR138">
            <v>38000</v>
          </cell>
          <cell r="AS138">
            <v>31700</v>
          </cell>
          <cell r="AV138">
            <v>53430.83</v>
          </cell>
          <cell r="AW138">
            <v>106861.66</v>
          </cell>
          <cell r="AX138">
            <v>53430.83</v>
          </cell>
          <cell r="AY138">
            <v>317778</v>
          </cell>
          <cell r="AZ138">
            <v>5025305</v>
          </cell>
          <cell r="BA138">
            <v>34354.584590750004</v>
          </cell>
          <cell r="BB138">
            <v>283423</v>
          </cell>
          <cell r="BC138">
            <v>5059660</v>
          </cell>
        </row>
        <row r="139">
          <cell r="F139" t="str">
            <v>290618-011</v>
          </cell>
          <cell r="G139" t="str">
            <v>Kontrak 2</v>
          </cell>
          <cell r="H139" t="str">
            <v>Pelaksana</v>
          </cell>
          <cell r="I139" t="str">
            <v>Prod. Stamping</v>
          </cell>
          <cell r="J139">
            <v>43280</v>
          </cell>
          <cell r="K139" t="b">
            <v>1</v>
          </cell>
          <cell r="L139">
            <v>43280</v>
          </cell>
          <cell r="M139">
            <v>2</v>
          </cell>
          <cell r="N139">
            <v>10</v>
          </cell>
          <cell r="O139">
            <v>25</v>
          </cell>
          <cell r="Q139">
            <v>5343082</v>
          </cell>
          <cell r="R139">
            <v>4924046</v>
          </cell>
          <cell r="S139">
            <v>5343083</v>
          </cell>
          <cell r="T139">
            <v>0</v>
          </cell>
          <cell r="U139">
            <v>0</v>
          </cell>
          <cell r="V139">
            <v>0</v>
          </cell>
          <cell r="W139">
            <v>5343083</v>
          </cell>
          <cell r="X139">
            <v>5</v>
          </cell>
          <cell r="Z139">
            <v>16</v>
          </cell>
          <cell r="AB139">
            <v>21</v>
          </cell>
          <cell r="AC139">
            <v>1272162.6190476192</v>
          </cell>
          <cell r="AD139">
            <v>4070920.3809523811</v>
          </cell>
          <cell r="AE139">
            <v>5343083</v>
          </cell>
          <cell r="AF139">
            <v>0</v>
          </cell>
          <cell r="AG139">
            <v>5343083</v>
          </cell>
          <cell r="AH139" t="b">
            <v>1</v>
          </cell>
          <cell r="AK139">
            <v>5343083</v>
          </cell>
          <cell r="AL139" t="str">
            <v>K2</v>
          </cell>
          <cell r="AM139">
            <v>508865</v>
          </cell>
          <cell r="AN139">
            <v>0</v>
          </cell>
          <cell r="AP139">
            <v>19</v>
          </cell>
          <cell r="AQ139">
            <v>4834218</v>
          </cell>
          <cell r="AR139">
            <v>38000</v>
          </cell>
          <cell r="AU139">
            <v>10000</v>
          </cell>
          <cell r="AV139">
            <v>53430.83</v>
          </cell>
          <cell r="AW139">
            <v>106861.66</v>
          </cell>
          <cell r="AX139">
            <v>53430.83</v>
          </cell>
          <cell r="AY139">
            <v>5095941</v>
          </cell>
          <cell r="AZ139">
            <v>247142</v>
          </cell>
          <cell r="BA139">
            <v>0</v>
          </cell>
          <cell r="BB139">
            <v>5095941</v>
          </cell>
          <cell r="BC139">
            <v>247142</v>
          </cell>
        </row>
        <row r="140">
          <cell r="F140" t="str">
            <v>161120-001</v>
          </cell>
          <cell r="G140" t="str">
            <v>Pembaharuan</v>
          </cell>
          <cell r="H140" t="str">
            <v>Pelaksana</v>
          </cell>
          <cell r="I140" t="str">
            <v>Prod. Stamping</v>
          </cell>
          <cell r="J140">
            <v>44152</v>
          </cell>
          <cell r="K140" t="b">
            <v>1</v>
          </cell>
          <cell r="L140">
            <v>44152</v>
          </cell>
          <cell r="M140">
            <v>0</v>
          </cell>
          <cell r="N140">
            <v>6</v>
          </cell>
          <cell r="O140">
            <v>7</v>
          </cell>
          <cell r="Q140">
            <v>5343082</v>
          </cell>
          <cell r="R140">
            <v>4924046</v>
          </cell>
          <cell r="S140">
            <v>5343083</v>
          </cell>
          <cell r="T140">
            <v>0</v>
          </cell>
          <cell r="U140">
            <v>0</v>
          </cell>
          <cell r="V140">
            <v>0</v>
          </cell>
          <cell r="W140">
            <v>5343083</v>
          </cell>
          <cell r="X140">
            <v>5</v>
          </cell>
          <cell r="Z140">
            <v>16</v>
          </cell>
          <cell r="AB140">
            <v>21</v>
          </cell>
          <cell r="AC140">
            <v>1272162.6190476192</v>
          </cell>
          <cell r="AD140">
            <v>4070920.3809523811</v>
          </cell>
          <cell r="AE140">
            <v>5343083</v>
          </cell>
          <cell r="AF140">
            <v>0</v>
          </cell>
          <cell r="AG140">
            <v>5343083</v>
          </cell>
          <cell r="AH140" t="b">
            <v>1</v>
          </cell>
          <cell r="AK140">
            <v>5343083</v>
          </cell>
          <cell r="AL140" t="str">
            <v>TK</v>
          </cell>
          <cell r="AM140">
            <v>5343083</v>
          </cell>
          <cell r="AN140">
            <v>34354.584590750004</v>
          </cell>
          <cell r="AQ140">
            <v>0</v>
          </cell>
          <cell r="AR140">
            <v>38000</v>
          </cell>
          <cell r="AS140">
            <v>31700</v>
          </cell>
          <cell r="AU140">
            <v>10000</v>
          </cell>
          <cell r="AV140">
            <v>53430.83</v>
          </cell>
          <cell r="AW140">
            <v>106861.66</v>
          </cell>
          <cell r="AX140">
            <v>53430.83</v>
          </cell>
          <cell r="AY140">
            <v>327778</v>
          </cell>
          <cell r="AZ140">
            <v>5015305</v>
          </cell>
          <cell r="BA140">
            <v>34354.584590750004</v>
          </cell>
          <cell r="BB140">
            <v>293423</v>
          </cell>
          <cell r="BC140">
            <v>5049660</v>
          </cell>
        </row>
        <row r="141">
          <cell r="F141" t="str">
            <v>081018-003</v>
          </cell>
          <cell r="G141" t="str">
            <v>Kontrak 2</v>
          </cell>
          <cell r="H141" t="str">
            <v>Pelaksana</v>
          </cell>
          <cell r="I141" t="str">
            <v>Prod. Stamping</v>
          </cell>
          <cell r="J141">
            <v>43381</v>
          </cell>
          <cell r="K141" t="b">
            <v>1</v>
          </cell>
          <cell r="L141">
            <v>43381</v>
          </cell>
          <cell r="M141">
            <v>2</v>
          </cell>
          <cell r="N141">
            <v>7</v>
          </cell>
          <cell r="O141">
            <v>16</v>
          </cell>
          <cell r="Q141">
            <v>5343082</v>
          </cell>
          <cell r="R141">
            <v>4924046</v>
          </cell>
          <cell r="S141">
            <v>5343083</v>
          </cell>
          <cell r="T141">
            <v>0</v>
          </cell>
          <cell r="U141">
            <v>0</v>
          </cell>
          <cell r="V141">
            <v>0</v>
          </cell>
          <cell r="W141">
            <v>5343083</v>
          </cell>
          <cell r="X141">
            <v>5</v>
          </cell>
          <cell r="Z141">
            <v>16</v>
          </cell>
          <cell r="AB141">
            <v>21</v>
          </cell>
          <cell r="AC141">
            <v>1272162.6190476192</v>
          </cell>
          <cell r="AD141">
            <v>4070920.3809523811</v>
          </cell>
          <cell r="AE141">
            <v>5343083</v>
          </cell>
          <cell r="AF141">
            <v>0</v>
          </cell>
          <cell r="AG141">
            <v>5343083</v>
          </cell>
          <cell r="AH141" t="b">
            <v>1</v>
          </cell>
          <cell r="AK141">
            <v>5343083</v>
          </cell>
          <cell r="AL141" t="str">
            <v>K0</v>
          </cell>
          <cell r="AM141">
            <v>5343083</v>
          </cell>
          <cell r="AN141">
            <v>15604.584590750002</v>
          </cell>
          <cell r="AQ141">
            <v>0</v>
          </cell>
          <cell r="AR141">
            <v>38000</v>
          </cell>
          <cell r="AS141">
            <v>31700</v>
          </cell>
          <cell r="AV141">
            <v>53430.83</v>
          </cell>
          <cell r="AW141">
            <v>106861.66</v>
          </cell>
          <cell r="AX141">
            <v>53430.83</v>
          </cell>
          <cell r="AY141">
            <v>299028</v>
          </cell>
          <cell r="AZ141">
            <v>5044055</v>
          </cell>
          <cell r="BA141">
            <v>15604.584590750002</v>
          </cell>
          <cell r="BB141">
            <v>283423</v>
          </cell>
          <cell r="BC141">
            <v>5059660</v>
          </cell>
        </row>
        <row r="142">
          <cell r="F142" t="str">
            <v>020718-003</v>
          </cell>
          <cell r="G142" t="str">
            <v>Kontrak 2</v>
          </cell>
          <cell r="H142" t="str">
            <v>Pelaksana</v>
          </cell>
          <cell r="I142" t="str">
            <v>Prod. Stamping</v>
          </cell>
          <cell r="J142">
            <v>43283</v>
          </cell>
          <cell r="K142" t="b">
            <v>1</v>
          </cell>
          <cell r="L142">
            <v>43283</v>
          </cell>
          <cell r="M142">
            <v>2</v>
          </cell>
          <cell r="N142">
            <v>10</v>
          </cell>
          <cell r="O142">
            <v>22</v>
          </cell>
          <cell r="Q142">
            <v>5343082</v>
          </cell>
          <cell r="R142">
            <v>4924046</v>
          </cell>
          <cell r="S142">
            <v>5343083</v>
          </cell>
          <cell r="T142">
            <v>0</v>
          </cell>
          <cell r="U142">
            <v>0</v>
          </cell>
          <cell r="V142">
            <v>0</v>
          </cell>
          <cell r="W142">
            <v>5343083</v>
          </cell>
          <cell r="X142">
            <v>5</v>
          </cell>
          <cell r="Z142">
            <v>16</v>
          </cell>
          <cell r="AB142">
            <v>21</v>
          </cell>
          <cell r="AC142">
            <v>1272162.6190476192</v>
          </cell>
          <cell r="AD142">
            <v>4070920.3809523811</v>
          </cell>
          <cell r="AE142">
            <v>5343083</v>
          </cell>
          <cell r="AF142">
            <v>0</v>
          </cell>
          <cell r="AG142">
            <v>5343083</v>
          </cell>
          <cell r="AH142" t="b">
            <v>1</v>
          </cell>
          <cell r="AK142">
            <v>5343083</v>
          </cell>
          <cell r="AL142" t="str">
            <v>K1</v>
          </cell>
          <cell r="AM142">
            <v>5343083</v>
          </cell>
          <cell r="AN142">
            <v>0</v>
          </cell>
          <cell r="AQ142">
            <v>0</v>
          </cell>
          <cell r="AS142">
            <v>31700</v>
          </cell>
          <cell r="AU142">
            <v>10000</v>
          </cell>
          <cell r="AV142">
            <v>53430.83</v>
          </cell>
          <cell r="AW142">
            <v>106861.66</v>
          </cell>
          <cell r="AX142">
            <v>53430.83</v>
          </cell>
          <cell r="AY142">
            <v>255423</v>
          </cell>
          <cell r="AZ142">
            <v>5087660</v>
          </cell>
          <cell r="BA142">
            <v>0</v>
          </cell>
          <cell r="BB142">
            <v>255423</v>
          </cell>
          <cell r="BC142">
            <v>5087660</v>
          </cell>
        </row>
        <row r="143">
          <cell r="F143" t="str">
            <v>090320-007</v>
          </cell>
          <cell r="G143" t="str">
            <v>Pembaharuan</v>
          </cell>
          <cell r="H143" t="str">
            <v>Pelaksana</v>
          </cell>
          <cell r="I143" t="str">
            <v>Prod. Stamping</v>
          </cell>
          <cell r="J143">
            <v>43899</v>
          </cell>
          <cell r="K143" t="b">
            <v>1</v>
          </cell>
          <cell r="L143">
            <v>43899</v>
          </cell>
          <cell r="M143">
            <v>1</v>
          </cell>
          <cell r="N143">
            <v>2</v>
          </cell>
          <cell r="O143">
            <v>15</v>
          </cell>
          <cell r="Q143">
            <v>5343082</v>
          </cell>
          <cell r="R143">
            <v>4924046</v>
          </cell>
          <cell r="S143">
            <v>5343083</v>
          </cell>
          <cell r="T143">
            <v>0</v>
          </cell>
          <cell r="U143">
            <v>0</v>
          </cell>
          <cell r="V143">
            <v>0</v>
          </cell>
          <cell r="W143">
            <v>5343083</v>
          </cell>
          <cell r="X143">
            <v>5</v>
          </cell>
          <cell r="Z143">
            <v>16</v>
          </cell>
          <cell r="AB143">
            <v>21</v>
          </cell>
          <cell r="AC143">
            <v>1272162.6190476192</v>
          </cell>
          <cell r="AD143">
            <v>4070920.3809523811</v>
          </cell>
          <cell r="AE143">
            <v>5343083</v>
          </cell>
          <cell r="AF143">
            <v>0</v>
          </cell>
          <cell r="AG143">
            <v>5343083</v>
          </cell>
          <cell r="AH143" t="b">
            <v>1</v>
          </cell>
          <cell r="AK143">
            <v>5343083</v>
          </cell>
          <cell r="AL143" t="str">
            <v>TK</v>
          </cell>
          <cell r="AM143">
            <v>5343083</v>
          </cell>
          <cell r="AN143">
            <v>34354.584590750004</v>
          </cell>
          <cell r="AQ143">
            <v>0</v>
          </cell>
          <cell r="AR143">
            <v>38000</v>
          </cell>
          <cell r="AS143">
            <v>31700</v>
          </cell>
          <cell r="AV143">
            <v>53430.83</v>
          </cell>
          <cell r="AW143">
            <v>106861.66</v>
          </cell>
          <cell r="AX143">
            <v>53430.83</v>
          </cell>
          <cell r="AY143">
            <v>317778</v>
          </cell>
          <cell r="AZ143">
            <v>5025305</v>
          </cell>
          <cell r="BA143">
            <v>34354.584590750004</v>
          </cell>
          <cell r="BB143">
            <v>283423</v>
          </cell>
          <cell r="BC143">
            <v>5059660</v>
          </cell>
        </row>
        <row r="144">
          <cell r="F144" t="str">
            <v>101218-006</v>
          </cell>
          <cell r="G144" t="str">
            <v>Kontrak 2</v>
          </cell>
          <cell r="H144" t="str">
            <v>Pelaksana</v>
          </cell>
          <cell r="I144" t="str">
            <v>Prod. Stamping</v>
          </cell>
          <cell r="J144">
            <v>43444</v>
          </cell>
          <cell r="K144" t="b">
            <v>1</v>
          </cell>
          <cell r="L144">
            <v>43444</v>
          </cell>
          <cell r="M144">
            <v>2</v>
          </cell>
          <cell r="N144">
            <v>5</v>
          </cell>
          <cell r="O144">
            <v>14</v>
          </cell>
          <cell r="Q144">
            <v>5343082</v>
          </cell>
          <cell r="R144">
            <v>4924046</v>
          </cell>
          <cell r="S144">
            <v>5343083</v>
          </cell>
          <cell r="T144">
            <v>0</v>
          </cell>
          <cell r="U144">
            <v>0</v>
          </cell>
          <cell r="V144">
            <v>0</v>
          </cell>
          <cell r="W144">
            <v>5343083</v>
          </cell>
          <cell r="X144">
            <v>5</v>
          </cell>
          <cell r="Z144">
            <v>16</v>
          </cell>
          <cell r="AB144">
            <v>21</v>
          </cell>
          <cell r="AC144">
            <v>1272162.6190476192</v>
          </cell>
          <cell r="AD144">
            <v>4070920.3809523811</v>
          </cell>
          <cell r="AE144">
            <v>5343083</v>
          </cell>
          <cell r="AF144">
            <v>0</v>
          </cell>
          <cell r="AG144">
            <v>5343083</v>
          </cell>
          <cell r="AH144" t="b">
            <v>1</v>
          </cell>
          <cell r="AK144">
            <v>5343083</v>
          </cell>
          <cell r="AL144" t="str">
            <v>TK</v>
          </cell>
          <cell r="AM144">
            <v>5343083</v>
          </cell>
          <cell r="AN144">
            <v>34354.584590750004</v>
          </cell>
          <cell r="AQ144">
            <v>0</v>
          </cell>
          <cell r="AR144">
            <v>38000</v>
          </cell>
          <cell r="AS144">
            <v>31700</v>
          </cell>
          <cell r="AV144">
            <v>53430.83</v>
          </cell>
          <cell r="AW144">
            <v>106861.66</v>
          </cell>
          <cell r="AX144">
            <v>53430.83</v>
          </cell>
          <cell r="AY144">
            <v>317778</v>
          </cell>
          <cell r="AZ144">
            <v>5025305</v>
          </cell>
          <cell r="BA144">
            <v>34354.584590750004</v>
          </cell>
          <cell r="BB144">
            <v>283423</v>
          </cell>
          <cell r="BC144">
            <v>5059660</v>
          </cell>
        </row>
        <row r="145">
          <cell r="F145" t="str">
            <v>070119-003</v>
          </cell>
          <cell r="G145" t="str">
            <v>Kontrak 2</v>
          </cell>
          <cell r="H145" t="str">
            <v>Pelaksana</v>
          </cell>
          <cell r="I145" t="str">
            <v>Prod. Stamping</v>
          </cell>
          <cell r="J145">
            <v>43472</v>
          </cell>
          <cell r="K145" t="b">
            <v>1</v>
          </cell>
          <cell r="L145">
            <v>43472</v>
          </cell>
          <cell r="M145">
            <v>2</v>
          </cell>
          <cell r="N145">
            <v>4</v>
          </cell>
          <cell r="O145">
            <v>17</v>
          </cell>
          <cell r="Q145">
            <v>5343082</v>
          </cell>
          <cell r="R145">
            <v>4924046</v>
          </cell>
          <cell r="S145">
            <v>5343083</v>
          </cell>
          <cell r="T145">
            <v>0</v>
          </cell>
          <cell r="U145">
            <v>0</v>
          </cell>
          <cell r="V145">
            <v>0</v>
          </cell>
          <cell r="W145">
            <v>5343083</v>
          </cell>
          <cell r="X145">
            <v>5</v>
          </cell>
          <cell r="Z145">
            <v>16</v>
          </cell>
          <cell r="AB145">
            <v>21</v>
          </cell>
          <cell r="AC145">
            <v>1272162.6190476192</v>
          </cell>
          <cell r="AD145">
            <v>4070920.3809523811</v>
          </cell>
          <cell r="AE145">
            <v>5343083</v>
          </cell>
          <cell r="AF145">
            <v>0</v>
          </cell>
          <cell r="AG145">
            <v>5343083</v>
          </cell>
          <cell r="AH145" t="b">
            <v>1</v>
          </cell>
          <cell r="AK145">
            <v>5343083</v>
          </cell>
          <cell r="AL145" t="str">
            <v>TK</v>
          </cell>
          <cell r="AM145">
            <v>5343083</v>
          </cell>
          <cell r="AN145">
            <v>34354.584590750004</v>
          </cell>
          <cell r="AQ145">
            <v>0</v>
          </cell>
          <cell r="AR145">
            <v>38000</v>
          </cell>
          <cell r="AS145">
            <v>31700</v>
          </cell>
          <cell r="AV145">
            <v>53430.83</v>
          </cell>
          <cell r="AW145">
            <v>106861.66</v>
          </cell>
          <cell r="AX145">
            <v>53430.83</v>
          </cell>
          <cell r="AY145">
            <v>317778</v>
          </cell>
          <cell r="AZ145">
            <v>5025305</v>
          </cell>
          <cell r="BA145">
            <v>34354.584590750004</v>
          </cell>
          <cell r="BB145">
            <v>283423</v>
          </cell>
          <cell r="BC145">
            <v>5059660</v>
          </cell>
        </row>
        <row r="146">
          <cell r="F146" t="str">
            <v>160419-003</v>
          </cell>
          <cell r="G146" t="str">
            <v>Kontrak 2</v>
          </cell>
          <cell r="H146" t="str">
            <v>Pelaksana</v>
          </cell>
          <cell r="I146" t="str">
            <v>Prod. Stamping</v>
          </cell>
          <cell r="J146">
            <v>43571</v>
          </cell>
          <cell r="K146" t="b">
            <v>1</v>
          </cell>
          <cell r="L146">
            <v>43571</v>
          </cell>
          <cell r="M146">
            <v>2</v>
          </cell>
          <cell r="N146">
            <v>1</v>
          </cell>
          <cell r="O146">
            <v>8</v>
          </cell>
          <cell r="Q146">
            <v>5343082</v>
          </cell>
          <cell r="R146">
            <v>4924046</v>
          </cell>
          <cell r="S146">
            <v>5343083</v>
          </cell>
          <cell r="T146">
            <v>0</v>
          </cell>
          <cell r="U146">
            <v>0</v>
          </cell>
          <cell r="V146">
            <v>0</v>
          </cell>
          <cell r="W146">
            <v>5343083</v>
          </cell>
          <cell r="X146">
            <v>5</v>
          </cell>
          <cell r="Z146">
            <v>16</v>
          </cell>
          <cell r="AB146">
            <v>21</v>
          </cell>
          <cell r="AC146">
            <v>1272162.6190476192</v>
          </cell>
          <cell r="AD146">
            <v>4070920.3809523811</v>
          </cell>
          <cell r="AE146">
            <v>5343083</v>
          </cell>
          <cell r="AF146">
            <v>0</v>
          </cell>
          <cell r="AG146">
            <v>5343083</v>
          </cell>
          <cell r="AH146" t="b">
            <v>1</v>
          </cell>
          <cell r="AK146">
            <v>5343083</v>
          </cell>
          <cell r="AL146" t="str">
            <v>TK</v>
          </cell>
          <cell r="AM146">
            <v>5343083</v>
          </cell>
          <cell r="AN146">
            <v>34354.584590750004</v>
          </cell>
          <cell r="AQ146">
            <v>0</v>
          </cell>
          <cell r="AS146">
            <v>31700</v>
          </cell>
          <cell r="AV146">
            <v>53430.83</v>
          </cell>
          <cell r="AW146">
            <v>106861.66</v>
          </cell>
          <cell r="AX146">
            <v>53430.83</v>
          </cell>
          <cell r="AY146">
            <v>279778</v>
          </cell>
          <cell r="AZ146">
            <v>5063305</v>
          </cell>
          <cell r="BA146">
            <v>34354.584590750004</v>
          </cell>
          <cell r="BB146">
            <v>245423</v>
          </cell>
          <cell r="BC146">
            <v>5097660</v>
          </cell>
        </row>
        <row r="147">
          <cell r="F147" t="str">
            <v>200819-009</v>
          </cell>
          <cell r="G147" t="str">
            <v>Kontrak 2</v>
          </cell>
          <cell r="H147" t="str">
            <v>Pelaksana</v>
          </cell>
          <cell r="I147" t="str">
            <v>Prod. Stamping</v>
          </cell>
          <cell r="J147" t="str">
            <v>20 Agustus 2019</v>
          </cell>
          <cell r="K147" t="b">
            <v>0</v>
          </cell>
          <cell r="L147">
            <v>43697</v>
          </cell>
          <cell r="M147">
            <v>1</v>
          </cell>
          <cell r="N147">
            <v>9</v>
          </cell>
          <cell r="O147">
            <v>4</v>
          </cell>
          <cell r="Q147">
            <v>5343082</v>
          </cell>
          <cell r="R147">
            <v>4924046</v>
          </cell>
          <cell r="S147">
            <v>5343083</v>
          </cell>
          <cell r="T147">
            <v>0</v>
          </cell>
          <cell r="U147">
            <v>0</v>
          </cell>
          <cell r="V147">
            <v>0</v>
          </cell>
          <cell r="W147">
            <v>5343083</v>
          </cell>
          <cell r="X147">
            <v>5</v>
          </cell>
          <cell r="Z147">
            <v>16</v>
          </cell>
          <cell r="AB147">
            <v>21</v>
          </cell>
          <cell r="AC147">
            <v>1272162.6190476192</v>
          </cell>
          <cell r="AD147">
            <v>4070920.3809523811</v>
          </cell>
          <cell r="AE147">
            <v>5343083</v>
          </cell>
          <cell r="AF147">
            <v>0</v>
          </cell>
          <cell r="AG147">
            <v>5343083</v>
          </cell>
          <cell r="AH147" t="b">
            <v>1</v>
          </cell>
          <cell r="AK147">
            <v>5343083</v>
          </cell>
          <cell r="AL147" t="str">
            <v>K1</v>
          </cell>
          <cell r="AM147">
            <v>5343083</v>
          </cell>
          <cell r="AN147">
            <v>0</v>
          </cell>
          <cell r="AQ147">
            <v>0</v>
          </cell>
          <cell r="AR147">
            <v>38000</v>
          </cell>
          <cell r="AS147">
            <v>31700</v>
          </cell>
          <cell r="AV147">
            <v>53430.83</v>
          </cell>
          <cell r="AW147">
            <v>106861.66</v>
          </cell>
          <cell r="AX147">
            <v>53430.83</v>
          </cell>
          <cell r="AY147">
            <v>283423</v>
          </cell>
          <cell r="AZ147">
            <v>5059660</v>
          </cell>
          <cell r="BA147">
            <v>0</v>
          </cell>
          <cell r="BB147">
            <v>283423</v>
          </cell>
          <cell r="BC147">
            <v>5059660</v>
          </cell>
        </row>
        <row r="148">
          <cell r="F148" t="str">
            <v>230819-008</v>
          </cell>
          <cell r="G148" t="str">
            <v>Kontrak 2</v>
          </cell>
          <cell r="H148" t="str">
            <v>Pelaksana</v>
          </cell>
          <cell r="I148" t="str">
            <v>Prod. Stamping</v>
          </cell>
          <cell r="J148" t="str">
            <v>23 Agustus 2019</v>
          </cell>
          <cell r="K148" t="b">
            <v>0</v>
          </cell>
          <cell r="L148">
            <v>43700</v>
          </cell>
          <cell r="M148">
            <v>1</v>
          </cell>
          <cell r="N148">
            <v>9</v>
          </cell>
          <cell r="O148">
            <v>1</v>
          </cell>
          <cell r="Q148">
            <v>5343082</v>
          </cell>
          <cell r="R148">
            <v>4924046</v>
          </cell>
          <cell r="S148">
            <v>5343083</v>
          </cell>
          <cell r="T148">
            <v>0</v>
          </cell>
          <cell r="U148">
            <v>0</v>
          </cell>
          <cell r="V148">
            <v>0</v>
          </cell>
          <cell r="W148">
            <v>5343083</v>
          </cell>
          <cell r="X148">
            <v>5</v>
          </cell>
          <cell r="Z148">
            <v>16</v>
          </cell>
          <cell r="AB148">
            <v>21</v>
          </cell>
          <cell r="AC148">
            <v>1272162.6190476192</v>
          </cell>
          <cell r="AD148">
            <v>4070920.3809523811</v>
          </cell>
          <cell r="AE148">
            <v>5343083</v>
          </cell>
          <cell r="AF148">
            <v>0</v>
          </cell>
          <cell r="AG148">
            <v>5343083</v>
          </cell>
          <cell r="AH148" t="b">
            <v>1</v>
          </cell>
          <cell r="AK148">
            <v>5343083</v>
          </cell>
          <cell r="AL148" t="str">
            <v>K0</v>
          </cell>
          <cell r="AM148">
            <v>5343083</v>
          </cell>
          <cell r="AN148">
            <v>15604.584590750002</v>
          </cell>
          <cell r="AQ148">
            <v>0</v>
          </cell>
          <cell r="AS148">
            <v>31700</v>
          </cell>
          <cell r="AV148">
            <v>53430.83</v>
          </cell>
          <cell r="AW148">
            <v>106861.66</v>
          </cell>
          <cell r="AX148">
            <v>53430.83</v>
          </cell>
          <cell r="AY148">
            <v>261028</v>
          </cell>
          <cell r="AZ148">
            <v>5082055</v>
          </cell>
          <cell r="BA148">
            <v>15604.584590750002</v>
          </cell>
          <cell r="BB148">
            <v>245423</v>
          </cell>
          <cell r="BC148">
            <v>5097660</v>
          </cell>
        </row>
        <row r="149">
          <cell r="Q149">
            <v>721460910</v>
          </cell>
          <cell r="R149">
            <v>665729123</v>
          </cell>
          <cell r="S149">
            <v>721461044</v>
          </cell>
          <cell r="T149">
            <v>8650000</v>
          </cell>
          <cell r="U149">
            <v>0</v>
          </cell>
          <cell r="V149">
            <v>427446</v>
          </cell>
          <cell r="W149">
            <v>730538490</v>
          </cell>
          <cell r="X149">
            <v>675</v>
          </cell>
          <cell r="Y149">
            <v>0</v>
          </cell>
          <cell r="Z149">
            <v>2160</v>
          </cell>
          <cell r="AA149">
            <v>0</v>
          </cell>
          <cell r="AB149">
            <v>2835</v>
          </cell>
          <cell r="AC149">
            <v>173937735.71428514</v>
          </cell>
          <cell r="AD149">
            <v>556600754.28571296</v>
          </cell>
          <cell r="AE149">
            <v>730538490</v>
          </cell>
          <cell r="AF149">
            <v>0</v>
          </cell>
          <cell r="AG149">
            <v>730538490</v>
          </cell>
          <cell r="AH149">
            <v>0</v>
          </cell>
          <cell r="AJ149">
            <v>0</v>
          </cell>
          <cell r="AK149">
            <v>730538490</v>
          </cell>
          <cell r="AL149">
            <v>0</v>
          </cell>
          <cell r="AM149">
            <v>717293714</v>
          </cell>
          <cell r="AN149">
            <v>2047728.579186752</v>
          </cell>
          <cell r="AO149">
            <v>0</v>
          </cell>
          <cell r="AP149">
            <v>52</v>
          </cell>
          <cell r="AQ149">
            <v>13244776</v>
          </cell>
          <cell r="AR149">
            <v>3990000</v>
          </cell>
          <cell r="AS149">
            <v>4121000</v>
          </cell>
          <cell r="AT149">
            <v>0</v>
          </cell>
          <cell r="AU149">
            <v>690000</v>
          </cell>
          <cell r="AV149">
            <v>7305384.9000000078</v>
          </cell>
          <cell r="AW149">
            <v>14610769.800000016</v>
          </cell>
          <cell r="AX149">
            <v>7305384.9000000078</v>
          </cell>
          <cell r="AY149">
            <v>53315030</v>
          </cell>
          <cell r="AZ149">
            <v>677223460</v>
          </cell>
          <cell r="BA149">
            <v>2047728.579186752</v>
          </cell>
          <cell r="BB149">
            <v>51267273</v>
          </cell>
          <cell r="BC149">
            <v>679271217</v>
          </cell>
        </row>
        <row r="152">
          <cell r="F152" t="str">
            <v>NIK</v>
          </cell>
          <cell r="G152" t="str">
            <v>STATUS</v>
          </cell>
          <cell r="H152" t="str">
            <v>LEVEL</v>
          </cell>
          <cell r="I152" t="str">
            <v>BAGIAN</v>
          </cell>
          <cell r="J152" t="str">
            <v>DB</v>
          </cell>
          <cell r="L152" t="str">
            <v>JOIN</v>
          </cell>
          <cell r="M152" t="str">
            <v>MK</v>
          </cell>
          <cell r="Q152" t="str">
            <v>FIXED SALARY (KESEPAKATAN 2020)</v>
          </cell>
          <cell r="R152" t="str">
            <v>FIXED SALARY (NOVEMBER 2020)</v>
          </cell>
          <cell r="S152" t="str">
            <v>FIXED SALARY (UMSK 2020)</v>
          </cell>
          <cell r="T152" t="str">
            <v>JOB STRUCTURE ALLOWANCE</v>
          </cell>
          <cell r="U152" t="str">
            <v>SKILL ALLOWANCE</v>
          </cell>
          <cell r="V152" t="str">
            <v>PERFORMANCE ALLOWANCE 2020</v>
          </cell>
          <cell r="W152" t="str">
            <v>TOTAL</v>
          </cell>
          <cell r="X152" t="str">
            <v>WORKDAYS</v>
          </cell>
          <cell r="AB152" t="str">
            <v>CEK</v>
          </cell>
          <cell r="AC152" t="str">
            <v xml:space="preserve">SALARY </v>
          </cell>
          <cell r="AD152" t="str">
            <v>SALARY</v>
          </cell>
          <cell r="AE152" t="str">
            <v>TOTAL SALARY (COVID-19)</v>
          </cell>
          <cell r="AF152" t="str">
            <v>POT OFF</v>
          </cell>
          <cell r="AG152" t="str">
            <v>CEK</v>
          </cell>
          <cell r="AH152" t="str">
            <v>CEK</v>
          </cell>
          <cell r="AJ152" t="str">
            <v>BACK PAY ( RAPEL) / INCENTIVE</v>
          </cell>
          <cell r="AK152" t="str">
            <v>TOTAL</v>
          </cell>
          <cell r="AL152" t="str">
            <v>PERHITUNGAN PPh</v>
          </cell>
          <cell r="AN152" t="str">
            <v>TAX</v>
          </cell>
          <cell r="AO152" t="str">
            <v>RETURND</v>
          </cell>
          <cell r="AP152" t="str">
            <v>ABSEN</v>
          </cell>
          <cell r="AR152" t="str">
            <v>DEDUCTION</v>
          </cell>
          <cell r="AV152" t="str">
            <v>BPJS</v>
          </cell>
          <cell r="AW152" t="str">
            <v>BPJS KETENAGAKERJAAN</v>
          </cell>
          <cell r="AY152" t="str">
            <v>TOTAL</v>
          </cell>
          <cell r="AZ152" t="str">
            <v>TOTAL</v>
          </cell>
          <cell r="BA152" t="str">
            <v>INSENTIF</v>
          </cell>
          <cell r="BB152" t="str">
            <v>WITH INSENTIF PPh21</v>
          </cell>
        </row>
        <row r="153">
          <cell r="F153" t="str">
            <v>SAI</v>
          </cell>
          <cell r="G153" t="str">
            <v>KONTRAK</v>
          </cell>
          <cell r="J153" t="str">
            <v>DATEJOIN</v>
          </cell>
          <cell r="K153" t="str">
            <v>CHECK</v>
          </cell>
          <cell r="L153" t="str">
            <v>DATE</v>
          </cell>
          <cell r="M153" t="str">
            <v>YEAR</v>
          </cell>
          <cell r="N153" t="str">
            <v>MONTH</v>
          </cell>
          <cell r="O153" t="str">
            <v>DAY</v>
          </cell>
          <cell r="W153" t="str">
            <v>SALARY</v>
          </cell>
          <cell r="X153" t="str">
            <v>ON</v>
          </cell>
          <cell r="Y153" t="str">
            <v>OFF</v>
          </cell>
          <cell r="Z153" t="str">
            <v>ON</v>
          </cell>
          <cell r="AA153" t="str">
            <v>OFF</v>
          </cell>
          <cell r="AB153" t="str">
            <v>WORKINGDAYS</v>
          </cell>
          <cell r="AC153" t="str">
            <v>PERIODE 25-31 FEB</v>
          </cell>
          <cell r="AD153" t="str">
            <v xml:space="preserve"> PERIODE 1-24 MAR</v>
          </cell>
          <cell r="AK153" t="str">
            <v xml:space="preserve">RECIEVED       </v>
          </cell>
          <cell r="AL153" t="str">
            <v>STATUS</v>
          </cell>
          <cell r="AM153" t="str">
            <v xml:space="preserve">TOTAL    GROSS </v>
          </cell>
          <cell r="AN153">
            <v>21</v>
          </cell>
          <cell r="AO153" t="str">
            <v>TAX JAN 2021</v>
          </cell>
          <cell r="AP153" t="str">
            <v>DAY</v>
          </cell>
          <cell r="AQ153" t="str">
            <v>( Rp )</v>
          </cell>
          <cell r="AR153" t="str">
            <v>UNION</v>
          </cell>
          <cell r="AS153" t="str">
            <v>RAPID TEST</v>
          </cell>
          <cell r="AT153" t="str">
            <v>OTHERS</v>
          </cell>
          <cell r="AU153" t="str">
            <v>KOPERASI</v>
          </cell>
          <cell r="AV153" t="str">
            <v>KESEHATAN</v>
          </cell>
          <cell r="AW153" t="str">
            <v>JHT</v>
          </cell>
          <cell r="AX153" t="str">
            <v>PENSIUN</v>
          </cell>
          <cell r="AY153" t="str">
            <v>DEDUCTION</v>
          </cell>
          <cell r="AZ153" t="str">
            <v>PAID</v>
          </cell>
          <cell r="BA153" t="str">
            <v>PPh21</v>
          </cell>
          <cell r="BB153" t="str">
            <v>TOTAL DEDUCTION</v>
          </cell>
          <cell r="BC153" t="str">
            <v>TOTAL PAID</v>
          </cell>
        </row>
        <row r="154">
          <cell r="F154" t="str">
            <v>040814-208</v>
          </cell>
          <cell r="G154" t="str">
            <v>Tetap</v>
          </cell>
          <cell r="H154" t="str">
            <v>Sect Head</v>
          </cell>
          <cell r="I154" t="str">
            <v>Assembly</v>
          </cell>
          <cell r="J154">
            <v>41855</v>
          </cell>
          <cell r="K154" t="b">
            <v>1</v>
          </cell>
          <cell r="L154">
            <v>41855</v>
          </cell>
          <cell r="M154">
            <v>6</v>
          </cell>
          <cell r="N154">
            <v>9</v>
          </cell>
          <cell r="O154">
            <v>20</v>
          </cell>
          <cell r="Q154">
            <v>5343082</v>
          </cell>
          <cell r="R154">
            <v>5343083</v>
          </cell>
          <cell r="S154">
            <v>5343083</v>
          </cell>
          <cell r="T154">
            <v>1500000</v>
          </cell>
          <cell r="U154">
            <v>0</v>
          </cell>
          <cell r="V154">
            <v>300000</v>
          </cell>
          <cell r="W154">
            <v>7143083</v>
          </cell>
          <cell r="X154">
            <v>5</v>
          </cell>
          <cell r="Z154">
            <v>16</v>
          </cell>
          <cell r="AB154">
            <v>21</v>
          </cell>
          <cell r="AC154">
            <v>1700734.0476190476</v>
          </cell>
          <cell r="AD154">
            <v>5442348.9523809524</v>
          </cell>
          <cell r="AE154">
            <v>7143083</v>
          </cell>
          <cell r="AF154">
            <v>0</v>
          </cell>
          <cell r="AG154">
            <v>7143083</v>
          </cell>
          <cell r="AH154" t="b">
            <v>1</v>
          </cell>
          <cell r="AK154">
            <v>7143083</v>
          </cell>
          <cell r="AL154" t="str">
            <v>K2</v>
          </cell>
          <cell r="AM154">
            <v>7143083</v>
          </cell>
          <cell r="AN154">
            <v>64052.034590749943</v>
          </cell>
          <cell r="AQ154">
            <v>0</v>
          </cell>
          <cell r="AR154">
            <v>38000</v>
          </cell>
          <cell r="AS154">
            <v>31700</v>
          </cell>
          <cell r="AU154">
            <v>10000</v>
          </cell>
          <cell r="AV154">
            <v>63930.83</v>
          </cell>
          <cell r="AW154">
            <v>142861.66</v>
          </cell>
          <cell r="AX154">
            <v>71430.83</v>
          </cell>
          <cell r="AY154">
            <v>421975</v>
          </cell>
          <cell r="AZ154">
            <v>6721108</v>
          </cell>
          <cell r="BA154">
            <v>64052.034590749943</v>
          </cell>
          <cell r="BB154">
            <v>357923</v>
          </cell>
          <cell r="BC154">
            <v>6785160</v>
          </cell>
        </row>
        <row r="155">
          <cell r="F155" t="str">
            <v>070817-038</v>
          </cell>
          <cell r="G155" t="str">
            <v>Tetap</v>
          </cell>
          <cell r="H155" t="str">
            <v>Sect Head</v>
          </cell>
          <cell r="I155" t="str">
            <v>Assembly</v>
          </cell>
          <cell r="J155">
            <v>42954</v>
          </cell>
          <cell r="K155" t="b">
            <v>1</v>
          </cell>
          <cell r="L155">
            <v>42954</v>
          </cell>
          <cell r="M155">
            <v>3</v>
          </cell>
          <cell r="N155">
            <v>9</v>
          </cell>
          <cell r="O155">
            <v>17</v>
          </cell>
          <cell r="Q155">
            <v>5343082</v>
          </cell>
          <cell r="R155">
            <v>5343083</v>
          </cell>
          <cell r="S155">
            <v>5343083</v>
          </cell>
          <cell r="T155">
            <v>1500000</v>
          </cell>
          <cell r="U155">
            <v>0</v>
          </cell>
          <cell r="V155">
            <v>213723</v>
          </cell>
          <cell r="W155">
            <v>7056806</v>
          </cell>
          <cell r="X155">
            <v>5</v>
          </cell>
          <cell r="Z155">
            <v>16</v>
          </cell>
          <cell r="AB155">
            <v>21</v>
          </cell>
          <cell r="AC155">
            <v>1680191.9047619049</v>
          </cell>
          <cell r="AD155">
            <v>5376614.0952380951</v>
          </cell>
          <cell r="AE155">
            <v>7056806</v>
          </cell>
          <cell r="AF155">
            <v>0</v>
          </cell>
          <cell r="AG155">
            <v>7056806</v>
          </cell>
          <cell r="AH155" t="b">
            <v>1</v>
          </cell>
          <cell r="AK155">
            <v>7056806</v>
          </cell>
          <cell r="AL155" t="str">
            <v>K3</v>
          </cell>
          <cell r="AM155">
            <v>7056806</v>
          </cell>
          <cell r="AN155">
            <v>41114.127441500066</v>
          </cell>
          <cell r="AQ155">
            <v>0</v>
          </cell>
          <cell r="AR155">
            <v>38000</v>
          </cell>
          <cell r="AS155">
            <v>31700</v>
          </cell>
          <cell r="AT155">
            <v>2359067</v>
          </cell>
          <cell r="AU155">
            <v>10000</v>
          </cell>
          <cell r="AV155">
            <v>63068.060000000005</v>
          </cell>
          <cell r="AW155">
            <v>141136.12</v>
          </cell>
          <cell r="AX155">
            <v>70568.06</v>
          </cell>
          <cell r="AY155">
            <v>2754653</v>
          </cell>
          <cell r="AZ155">
            <v>4302153</v>
          </cell>
          <cell r="BA155">
            <v>41114.127441500066</v>
          </cell>
          <cell r="BB155">
            <v>2713539</v>
          </cell>
          <cell r="BC155">
            <v>4343267</v>
          </cell>
        </row>
        <row r="156">
          <cell r="F156" t="str">
            <v>081117-001</v>
          </cell>
          <cell r="G156" t="str">
            <v>Tetap</v>
          </cell>
          <cell r="H156" t="str">
            <v>Sect Head</v>
          </cell>
          <cell r="I156" t="str">
            <v>Assembly</v>
          </cell>
          <cell r="J156">
            <v>43047</v>
          </cell>
          <cell r="K156" t="b">
            <v>1</v>
          </cell>
          <cell r="L156">
            <v>43047</v>
          </cell>
          <cell r="M156">
            <v>3</v>
          </cell>
          <cell r="N156">
            <v>6</v>
          </cell>
          <cell r="O156">
            <v>16</v>
          </cell>
          <cell r="Q156">
            <v>5343082</v>
          </cell>
          <cell r="R156">
            <v>5343083</v>
          </cell>
          <cell r="S156">
            <v>5343083</v>
          </cell>
          <cell r="T156">
            <v>1500000</v>
          </cell>
          <cell r="U156">
            <v>0</v>
          </cell>
          <cell r="V156">
            <v>213723</v>
          </cell>
          <cell r="W156">
            <v>7056806</v>
          </cell>
          <cell r="X156">
            <v>5</v>
          </cell>
          <cell r="Z156">
            <v>16</v>
          </cell>
          <cell r="AB156">
            <v>21</v>
          </cell>
          <cell r="AC156">
            <v>1680191.9047619049</v>
          </cell>
          <cell r="AD156">
            <v>5376614.0952380951</v>
          </cell>
          <cell r="AE156">
            <v>7056806</v>
          </cell>
          <cell r="AF156">
            <v>0</v>
          </cell>
          <cell r="AG156">
            <v>7056806</v>
          </cell>
          <cell r="AH156" t="b">
            <v>1</v>
          </cell>
          <cell r="AK156">
            <v>7056806</v>
          </cell>
          <cell r="AL156" t="str">
            <v>K1</v>
          </cell>
          <cell r="AM156">
            <v>7056806</v>
          </cell>
          <cell r="AN156">
            <v>78614.127441500066</v>
          </cell>
          <cell r="AQ156">
            <v>0</v>
          </cell>
          <cell r="AR156">
            <v>38000</v>
          </cell>
          <cell r="AS156">
            <v>31700</v>
          </cell>
          <cell r="AV156">
            <v>63068.060000000005</v>
          </cell>
          <cell r="AW156">
            <v>141136.12</v>
          </cell>
          <cell r="AX156">
            <v>70568.06</v>
          </cell>
          <cell r="AY156">
            <v>423086</v>
          </cell>
          <cell r="AZ156">
            <v>6633720</v>
          </cell>
          <cell r="BA156">
            <v>78614.127441500066</v>
          </cell>
          <cell r="BB156">
            <v>344472</v>
          </cell>
          <cell r="BC156">
            <v>6712334</v>
          </cell>
        </row>
        <row r="157">
          <cell r="F157" t="str">
            <v>040814-380</v>
          </cell>
          <cell r="G157" t="str">
            <v>Tetap</v>
          </cell>
          <cell r="H157" t="str">
            <v>Sect Head</v>
          </cell>
          <cell r="I157" t="str">
            <v>Assembly</v>
          </cell>
          <cell r="J157">
            <v>41855</v>
          </cell>
          <cell r="K157" t="b">
            <v>1</v>
          </cell>
          <cell r="L157">
            <v>41855</v>
          </cell>
          <cell r="M157">
            <v>6</v>
          </cell>
          <cell r="N157">
            <v>9</v>
          </cell>
          <cell r="O157">
            <v>20</v>
          </cell>
          <cell r="Q157">
            <v>5812434</v>
          </cell>
          <cell r="R157">
            <v>5812434</v>
          </cell>
          <cell r="S157">
            <v>5812434</v>
          </cell>
          <cell r="T157">
            <v>1500000</v>
          </cell>
          <cell r="U157">
            <v>0</v>
          </cell>
          <cell r="V157">
            <v>724075</v>
          </cell>
          <cell r="W157">
            <v>8036509</v>
          </cell>
          <cell r="X157">
            <v>5</v>
          </cell>
          <cell r="Z157">
            <v>16</v>
          </cell>
          <cell r="AB157">
            <v>21</v>
          </cell>
          <cell r="AC157">
            <v>1913454.5238095238</v>
          </cell>
          <cell r="AD157">
            <v>6123054.4761904757</v>
          </cell>
          <cell r="AE157">
            <v>8036509</v>
          </cell>
          <cell r="AF157">
            <v>0</v>
          </cell>
          <cell r="AG157">
            <v>8036509</v>
          </cell>
          <cell r="AH157" t="b">
            <v>1</v>
          </cell>
          <cell r="AK157">
            <v>8036509</v>
          </cell>
          <cell r="AL157" t="str">
            <v>K2</v>
          </cell>
          <cell r="AM157">
            <v>8036509</v>
          </cell>
          <cell r="AN157">
            <v>107894.15598724999</v>
          </cell>
          <cell r="AQ157">
            <v>0</v>
          </cell>
          <cell r="AR157">
            <v>38000</v>
          </cell>
          <cell r="AS157">
            <v>31700</v>
          </cell>
          <cell r="AU157">
            <v>10000</v>
          </cell>
          <cell r="AV157">
            <v>75365.09</v>
          </cell>
          <cell r="AW157">
            <v>160730.18</v>
          </cell>
          <cell r="AX157">
            <v>80365.09</v>
          </cell>
          <cell r="AY157">
            <v>504055</v>
          </cell>
          <cell r="AZ157">
            <v>7532454</v>
          </cell>
          <cell r="BA157">
            <v>107894.15598724999</v>
          </cell>
          <cell r="BB157">
            <v>396160</v>
          </cell>
          <cell r="BC157">
            <v>7640349</v>
          </cell>
        </row>
        <row r="158">
          <cell r="F158" t="str">
            <v>210618-003</v>
          </cell>
          <cell r="G158" t="str">
            <v>Tetap</v>
          </cell>
          <cell r="H158" t="str">
            <v xml:space="preserve">Leader </v>
          </cell>
          <cell r="I158" t="str">
            <v>Assembly</v>
          </cell>
          <cell r="J158">
            <v>43272</v>
          </cell>
          <cell r="K158" t="b">
            <v>1</v>
          </cell>
          <cell r="L158">
            <v>43272</v>
          </cell>
          <cell r="M158">
            <v>2</v>
          </cell>
          <cell r="N158">
            <v>11</v>
          </cell>
          <cell r="O158">
            <v>3</v>
          </cell>
          <cell r="Q158">
            <v>5343082</v>
          </cell>
          <cell r="R158">
            <v>4924046</v>
          </cell>
          <cell r="S158">
            <v>5343083</v>
          </cell>
          <cell r="T158">
            <v>500000</v>
          </cell>
          <cell r="U158">
            <v>0</v>
          </cell>
          <cell r="V158">
            <v>0</v>
          </cell>
          <cell r="W158">
            <v>5843083</v>
          </cell>
          <cell r="X158">
            <v>5</v>
          </cell>
          <cell r="Z158">
            <v>16</v>
          </cell>
          <cell r="AB158">
            <v>21</v>
          </cell>
          <cell r="AC158">
            <v>1391210.2380952381</v>
          </cell>
          <cell r="AD158">
            <v>4451872.7619047621</v>
          </cell>
          <cell r="AE158">
            <v>5843083</v>
          </cell>
          <cell r="AF158">
            <v>0</v>
          </cell>
          <cell r="AG158">
            <v>5843083</v>
          </cell>
          <cell r="AH158" t="b">
            <v>1</v>
          </cell>
          <cell r="AK158">
            <v>5843083</v>
          </cell>
          <cell r="AL158" t="str">
            <v>K1</v>
          </cell>
          <cell r="AM158">
            <v>5843083</v>
          </cell>
          <cell r="AN158">
            <v>21124.709590749942</v>
          </cell>
          <cell r="AQ158">
            <v>0</v>
          </cell>
          <cell r="AR158">
            <v>38000</v>
          </cell>
          <cell r="AS158">
            <v>31700</v>
          </cell>
          <cell r="AV158">
            <v>58430.83</v>
          </cell>
          <cell r="AW158">
            <v>116861.66</v>
          </cell>
          <cell r="AX158">
            <v>58430.83</v>
          </cell>
          <cell r="AY158">
            <v>324548</v>
          </cell>
          <cell r="AZ158">
            <v>5518535</v>
          </cell>
          <cell r="BA158">
            <v>21124.709590749942</v>
          </cell>
          <cell r="BB158">
            <v>303423</v>
          </cell>
          <cell r="BC158">
            <v>5539660</v>
          </cell>
        </row>
        <row r="159">
          <cell r="F159" t="str">
            <v>040814-269</v>
          </cell>
          <cell r="G159" t="str">
            <v>Tetap</v>
          </cell>
          <cell r="H159" t="str">
            <v xml:space="preserve">Leader </v>
          </cell>
          <cell r="I159" t="str">
            <v>Assembly</v>
          </cell>
          <cell r="J159">
            <v>41855</v>
          </cell>
          <cell r="K159" t="b">
            <v>1</v>
          </cell>
          <cell r="L159">
            <v>41855</v>
          </cell>
          <cell r="M159">
            <v>6</v>
          </cell>
          <cell r="N159">
            <v>9</v>
          </cell>
          <cell r="O159">
            <v>20</v>
          </cell>
          <cell r="Q159">
            <v>5343082</v>
          </cell>
          <cell r="R159">
            <v>4924046</v>
          </cell>
          <cell r="S159">
            <v>5343083</v>
          </cell>
          <cell r="T159">
            <v>500000</v>
          </cell>
          <cell r="U159">
            <v>0</v>
          </cell>
          <cell r="V159">
            <v>0</v>
          </cell>
          <cell r="W159">
            <v>5843083</v>
          </cell>
          <cell r="X159">
            <v>5</v>
          </cell>
          <cell r="Z159">
            <v>16</v>
          </cell>
          <cell r="AB159">
            <v>21</v>
          </cell>
          <cell r="AC159">
            <v>1391210.2380952381</v>
          </cell>
          <cell r="AD159">
            <v>4451872.7619047621</v>
          </cell>
          <cell r="AE159">
            <v>5843083</v>
          </cell>
          <cell r="AF159">
            <v>0</v>
          </cell>
          <cell r="AG159">
            <v>5843083</v>
          </cell>
          <cell r="AH159" t="b">
            <v>1</v>
          </cell>
          <cell r="AK159">
            <v>5843083</v>
          </cell>
          <cell r="AL159" t="str">
            <v>TK</v>
          </cell>
          <cell r="AM159">
            <v>5843083</v>
          </cell>
          <cell r="AN159">
            <v>58624.709590749939</v>
          </cell>
          <cell r="AQ159">
            <v>0</v>
          </cell>
          <cell r="AS159">
            <v>31700</v>
          </cell>
          <cell r="AV159">
            <v>58430.83</v>
          </cell>
          <cell r="AW159">
            <v>116861.66</v>
          </cell>
          <cell r="AX159">
            <v>58430.83</v>
          </cell>
          <cell r="AY159">
            <v>324048</v>
          </cell>
          <cell r="AZ159">
            <v>5519035</v>
          </cell>
          <cell r="BA159">
            <v>58624.709590749939</v>
          </cell>
          <cell r="BB159">
            <v>265423</v>
          </cell>
          <cell r="BC159">
            <v>5577660</v>
          </cell>
        </row>
        <row r="160">
          <cell r="F160" t="str">
            <v>190318-001</v>
          </cell>
          <cell r="G160" t="str">
            <v>Pembaharuan</v>
          </cell>
          <cell r="H160" t="str">
            <v xml:space="preserve">Leader </v>
          </cell>
          <cell r="I160" t="str">
            <v>Assembly</v>
          </cell>
          <cell r="J160">
            <v>43178</v>
          </cell>
          <cell r="K160" t="b">
            <v>1</v>
          </cell>
          <cell r="L160">
            <v>43178</v>
          </cell>
          <cell r="M160">
            <v>3</v>
          </cell>
          <cell r="N160">
            <v>2</v>
          </cell>
          <cell r="O160">
            <v>5</v>
          </cell>
          <cell r="Q160">
            <v>5343082</v>
          </cell>
          <cell r="R160">
            <v>4924046</v>
          </cell>
          <cell r="S160">
            <v>5343083</v>
          </cell>
          <cell r="T160">
            <v>500000</v>
          </cell>
          <cell r="U160">
            <v>0</v>
          </cell>
          <cell r="V160">
            <v>0</v>
          </cell>
          <cell r="W160">
            <v>5843083</v>
          </cell>
          <cell r="X160">
            <v>5</v>
          </cell>
          <cell r="Z160">
            <v>16</v>
          </cell>
          <cell r="AB160">
            <v>21</v>
          </cell>
          <cell r="AC160">
            <v>1391210.2380952381</v>
          </cell>
          <cell r="AD160">
            <v>4451872.7619047621</v>
          </cell>
          <cell r="AE160">
            <v>5843083</v>
          </cell>
          <cell r="AF160">
            <v>0</v>
          </cell>
          <cell r="AG160">
            <v>5843083</v>
          </cell>
          <cell r="AH160" t="b">
            <v>1</v>
          </cell>
          <cell r="AK160">
            <v>5843083</v>
          </cell>
          <cell r="AL160" t="str">
            <v>K1</v>
          </cell>
          <cell r="AM160">
            <v>5843083</v>
          </cell>
          <cell r="AN160">
            <v>21124.709590749942</v>
          </cell>
          <cell r="AQ160">
            <v>0</v>
          </cell>
          <cell r="AR160">
            <v>38000</v>
          </cell>
          <cell r="AS160">
            <v>31700</v>
          </cell>
          <cell r="AV160">
            <v>58430.83</v>
          </cell>
          <cell r="AW160">
            <v>116861.66</v>
          </cell>
          <cell r="AX160">
            <v>58430.83</v>
          </cell>
          <cell r="AY160">
            <v>324548</v>
          </cell>
          <cell r="AZ160">
            <v>5518535</v>
          </cell>
          <cell r="BA160">
            <v>21124.709590749942</v>
          </cell>
          <cell r="BB160">
            <v>303423</v>
          </cell>
          <cell r="BC160">
            <v>5539660</v>
          </cell>
        </row>
        <row r="161">
          <cell r="F161" t="str">
            <v>040814-261</v>
          </cell>
          <cell r="G161" t="str">
            <v>Tetap</v>
          </cell>
          <cell r="H161" t="str">
            <v xml:space="preserve">Leader </v>
          </cell>
          <cell r="I161" t="str">
            <v>Assembly</v>
          </cell>
          <cell r="J161">
            <v>41855</v>
          </cell>
          <cell r="K161" t="b">
            <v>1</v>
          </cell>
          <cell r="L161">
            <v>41855</v>
          </cell>
          <cell r="M161">
            <v>6</v>
          </cell>
          <cell r="N161">
            <v>9</v>
          </cell>
          <cell r="O161">
            <v>20</v>
          </cell>
          <cell r="Q161">
            <v>5343082</v>
          </cell>
          <cell r="R161">
            <v>4924046</v>
          </cell>
          <cell r="S161">
            <v>5343083</v>
          </cell>
          <cell r="T161">
            <v>500000</v>
          </cell>
          <cell r="U161">
            <v>0</v>
          </cell>
          <cell r="V161">
            <v>0</v>
          </cell>
          <cell r="W161">
            <v>5843083</v>
          </cell>
          <cell r="X161">
            <v>5</v>
          </cell>
          <cell r="Z161">
            <v>16</v>
          </cell>
          <cell r="AB161">
            <v>21</v>
          </cell>
          <cell r="AC161">
            <v>1391210.2380952381</v>
          </cell>
          <cell r="AD161">
            <v>4451872.7619047621</v>
          </cell>
          <cell r="AE161">
            <v>5843083</v>
          </cell>
          <cell r="AF161">
            <v>0</v>
          </cell>
          <cell r="AG161">
            <v>5843083</v>
          </cell>
          <cell r="AH161" t="b">
            <v>1</v>
          </cell>
          <cell r="AK161">
            <v>5843083</v>
          </cell>
          <cell r="AL161" t="str">
            <v>K3</v>
          </cell>
          <cell r="AM161">
            <v>5843083</v>
          </cell>
          <cell r="AN161">
            <v>0</v>
          </cell>
          <cell r="AQ161">
            <v>0</v>
          </cell>
          <cell r="AR161">
            <v>38000</v>
          </cell>
          <cell r="AS161">
            <v>31700</v>
          </cell>
          <cell r="AV161">
            <v>58430.83</v>
          </cell>
          <cell r="AW161">
            <v>116861.66</v>
          </cell>
          <cell r="AX161">
            <v>58430.83</v>
          </cell>
          <cell r="AY161">
            <v>303423</v>
          </cell>
          <cell r="AZ161">
            <v>5539660</v>
          </cell>
          <cell r="BA161">
            <v>0</v>
          </cell>
          <cell r="BB161">
            <v>303423</v>
          </cell>
          <cell r="BC161">
            <v>5539660</v>
          </cell>
        </row>
        <row r="162">
          <cell r="F162" t="str">
            <v>080819-002</v>
          </cell>
          <cell r="G162" t="str">
            <v>Recall Kontrak 2</v>
          </cell>
          <cell r="H162" t="str">
            <v xml:space="preserve">Leader </v>
          </cell>
          <cell r="I162" t="str">
            <v>Assembly</v>
          </cell>
          <cell r="J162" t="str">
            <v>08 Agustus 2019</v>
          </cell>
          <cell r="K162" t="b">
            <v>0</v>
          </cell>
          <cell r="L162">
            <v>43685</v>
          </cell>
          <cell r="M162">
            <v>1</v>
          </cell>
          <cell r="N162">
            <v>9</v>
          </cell>
          <cell r="O162">
            <v>16</v>
          </cell>
          <cell r="Q162">
            <v>5343082</v>
          </cell>
          <cell r="R162">
            <v>4924046</v>
          </cell>
          <cell r="S162">
            <v>5343083</v>
          </cell>
          <cell r="T162">
            <v>500000</v>
          </cell>
          <cell r="U162">
            <v>0</v>
          </cell>
          <cell r="V162">
            <v>0</v>
          </cell>
          <cell r="W162">
            <v>5843083</v>
          </cell>
          <cell r="X162">
            <v>5</v>
          </cell>
          <cell r="Z162">
            <v>16</v>
          </cell>
          <cell r="AB162">
            <v>21</v>
          </cell>
          <cell r="AC162">
            <v>1391210.2380952381</v>
          </cell>
          <cell r="AD162">
            <v>4451872.7619047621</v>
          </cell>
          <cell r="AE162">
            <v>5843083</v>
          </cell>
          <cell r="AF162">
            <v>0</v>
          </cell>
          <cell r="AG162">
            <v>5843083</v>
          </cell>
          <cell r="AH162" t="b">
            <v>1</v>
          </cell>
          <cell r="AK162">
            <v>5843083</v>
          </cell>
          <cell r="AL162" t="str">
            <v>K2</v>
          </cell>
          <cell r="AM162">
            <v>5843083</v>
          </cell>
          <cell r="AN162">
            <v>2374.7095907499393</v>
          </cell>
          <cell r="AQ162">
            <v>0</v>
          </cell>
          <cell r="AS162">
            <v>31700</v>
          </cell>
          <cell r="AV162">
            <v>58430.83</v>
          </cell>
          <cell r="AW162">
            <v>116861.66</v>
          </cell>
          <cell r="AX162">
            <v>58430.83</v>
          </cell>
          <cell r="AY162">
            <v>267798</v>
          </cell>
          <cell r="AZ162">
            <v>5575285</v>
          </cell>
          <cell r="BA162">
            <v>2374.7095907499393</v>
          </cell>
          <cell r="BB162">
            <v>265423</v>
          </cell>
          <cell r="BC162">
            <v>5577660</v>
          </cell>
        </row>
        <row r="163">
          <cell r="F163" t="str">
            <v>200918-005</v>
          </cell>
          <cell r="G163" t="str">
            <v>Recall Kontrak 2</v>
          </cell>
          <cell r="H163" t="str">
            <v xml:space="preserve">Leader </v>
          </cell>
          <cell r="I163" t="str">
            <v>Assembly</v>
          </cell>
          <cell r="J163">
            <v>43363</v>
          </cell>
          <cell r="K163" t="b">
            <v>1</v>
          </cell>
          <cell r="L163">
            <v>43363</v>
          </cell>
          <cell r="M163">
            <v>2</v>
          </cell>
          <cell r="N163">
            <v>8</v>
          </cell>
          <cell r="O163">
            <v>4</v>
          </cell>
          <cell r="Q163">
            <v>5343082</v>
          </cell>
          <cell r="R163">
            <v>4924046</v>
          </cell>
          <cell r="S163">
            <v>5343083</v>
          </cell>
          <cell r="T163">
            <v>500000</v>
          </cell>
          <cell r="U163">
            <v>0</v>
          </cell>
          <cell r="V163">
            <v>0</v>
          </cell>
          <cell r="W163">
            <v>5843083</v>
          </cell>
          <cell r="X163">
            <v>5</v>
          </cell>
          <cell r="Z163">
            <v>16</v>
          </cell>
          <cell r="AB163">
            <v>21</v>
          </cell>
          <cell r="AC163">
            <v>1391210.2380952381</v>
          </cell>
          <cell r="AD163">
            <v>4451872.7619047621</v>
          </cell>
          <cell r="AE163">
            <v>5843083</v>
          </cell>
          <cell r="AF163">
            <v>0</v>
          </cell>
          <cell r="AG163">
            <v>5843083</v>
          </cell>
          <cell r="AH163" t="b">
            <v>1</v>
          </cell>
          <cell r="AK163">
            <v>5843083</v>
          </cell>
          <cell r="AL163" t="str">
            <v>K2</v>
          </cell>
          <cell r="AM163">
            <v>5843083</v>
          </cell>
          <cell r="AN163">
            <v>2374.7095907499393</v>
          </cell>
          <cell r="AQ163">
            <v>0</v>
          </cell>
          <cell r="AR163">
            <v>38000</v>
          </cell>
          <cell r="AS163">
            <v>31700</v>
          </cell>
          <cell r="AV163">
            <v>58430.83</v>
          </cell>
          <cell r="AW163">
            <v>116861.66</v>
          </cell>
          <cell r="AX163">
            <v>58430.83</v>
          </cell>
          <cell r="AY163">
            <v>305798</v>
          </cell>
          <cell r="AZ163">
            <v>5537285</v>
          </cell>
          <cell r="BA163">
            <v>2374.7095907499393</v>
          </cell>
          <cell r="BB163">
            <v>303423</v>
          </cell>
          <cell r="BC163">
            <v>5539660</v>
          </cell>
        </row>
        <row r="164">
          <cell r="F164" t="str">
            <v>270820-001</v>
          </cell>
          <cell r="G164" t="str">
            <v>Recall Kontrak 1</v>
          </cell>
          <cell r="H164" t="str">
            <v xml:space="preserve">Leader </v>
          </cell>
          <cell r="I164" t="str">
            <v>Assembly</v>
          </cell>
          <cell r="J164" t="str">
            <v>24 Agustus 2020</v>
          </cell>
          <cell r="K164" t="b">
            <v>0</v>
          </cell>
          <cell r="L164">
            <v>44067</v>
          </cell>
          <cell r="M164">
            <v>0</v>
          </cell>
          <cell r="N164">
            <v>9</v>
          </cell>
          <cell r="O164">
            <v>0</v>
          </cell>
          <cell r="Q164">
            <v>5343082</v>
          </cell>
          <cell r="R164">
            <v>4924046</v>
          </cell>
          <cell r="S164">
            <v>5343083</v>
          </cell>
          <cell r="T164">
            <v>500000</v>
          </cell>
          <cell r="U164">
            <v>0</v>
          </cell>
          <cell r="V164">
            <v>0</v>
          </cell>
          <cell r="W164">
            <v>5843083</v>
          </cell>
          <cell r="X164">
            <v>5</v>
          </cell>
          <cell r="Z164">
            <v>16</v>
          </cell>
          <cell r="AB164">
            <v>21</v>
          </cell>
          <cell r="AC164">
            <v>1391210.2380952381</v>
          </cell>
          <cell r="AD164">
            <v>4451872.7619047621</v>
          </cell>
          <cell r="AE164">
            <v>5843083</v>
          </cell>
          <cell r="AF164">
            <v>0</v>
          </cell>
          <cell r="AG164">
            <v>5843083</v>
          </cell>
          <cell r="AH164" t="b">
            <v>1</v>
          </cell>
          <cell r="AK164">
            <v>5843083</v>
          </cell>
          <cell r="AL164" t="str">
            <v>K2</v>
          </cell>
          <cell r="AM164">
            <v>5843083</v>
          </cell>
          <cell r="AN164">
            <v>2374.7095907499393</v>
          </cell>
          <cell r="AQ164">
            <v>0</v>
          </cell>
          <cell r="AR164">
            <v>38000</v>
          </cell>
          <cell r="AS164">
            <v>31700</v>
          </cell>
          <cell r="AT164">
            <v>2359067</v>
          </cell>
          <cell r="AV164">
            <v>58430.83</v>
          </cell>
          <cell r="AW164">
            <v>116861.66</v>
          </cell>
          <cell r="AX164">
            <v>58430.83</v>
          </cell>
          <cell r="AY164">
            <v>2664865</v>
          </cell>
          <cell r="AZ164">
            <v>3178218</v>
          </cell>
          <cell r="BA164">
            <v>2374.7095907499393</v>
          </cell>
          <cell r="BB164">
            <v>2662490</v>
          </cell>
          <cell r="BC164">
            <v>3180593</v>
          </cell>
        </row>
        <row r="165">
          <cell r="F165" t="str">
            <v>130918-001</v>
          </cell>
          <cell r="G165" t="str">
            <v>Recall Kontrak 2</v>
          </cell>
          <cell r="H165" t="str">
            <v xml:space="preserve">Leader </v>
          </cell>
          <cell r="I165" t="str">
            <v>Assembly</v>
          </cell>
          <cell r="J165">
            <v>43356</v>
          </cell>
          <cell r="K165" t="b">
            <v>1</v>
          </cell>
          <cell r="L165">
            <v>43356</v>
          </cell>
          <cell r="M165">
            <v>2</v>
          </cell>
          <cell r="N165">
            <v>8</v>
          </cell>
          <cell r="O165">
            <v>11</v>
          </cell>
          <cell r="Q165">
            <v>5343082</v>
          </cell>
          <cell r="R165">
            <v>4924046</v>
          </cell>
          <cell r="S165">
            <v>5343083</v>
          </cell>
          <cell r="T165">
            <v>500000</v>
          </cell>
          <cell r="U165">
            <v>0</v>
          </cell>
          <cell r="V165">
            <v>0</v>
          </cell>
          <cell r="W165">
            <v>5843083</v>
          </cell>
          <cell r="X165">
            <v>5</v>
          </cell>
          <cell r="Z165">
            <v>16</v>
          </cell>
          <cell r="AB165">
            <v>21</v>
          </cell>
          <cell r="AC165">
            <v>1391210.2380952381</v>
          </cell>
          <cell r="AD165">
            <v>4451872.7619047621</v>
          </cell>
          <cell r="AE165">
            <v>5843083</v>
          </cell>
          <cell r="AF165">
            <v>0</v>
          </cell>
          <cell r="AG165">
            <v>5843083</v>
          </cell>
          <cell r="AH165" t="b">
            <v>1</v>
          </cell>
          <cell r="AK165">
            <v>5843083</v>
          </cell>
          <cell r="AL165" t="str">
            <v>K1</v>
          </cell>
          <cell r="AM165">
            <v>5843083</v>
          </cell>
          <cell r="AN165">
            <v>21124.709590749942</v>
          </cell>
          <cell r="AQ165">
            <v>0</v>
          </cell>
          <cell r="AR165">
            <v>38000</v>
          </cell>
          <cell r="AS165">
            <v>31700</v>
          </cell>
          <cell r="AV165">
            <v>58430.83</v>
          </cell>
          <cell r="AW165">
            <v>116861.66</v>
          </cell>
          <cell r="AX165">
            <v>58430.83</v>
          </cell>
          <cell r="AY165">
            <v>324548</v>
          </cell>
          <cell r="AZ165">
            <v>5518535</v>
          </cell>
          <cell r="BA165">
            <v>21124.709590749942</v>
          </cell>
          <cell r="BB165">
            <v>303423</v>
          </cell>
          <cell r="BC165">
            <v>5539660</v>
          </cell>
        </row>
        <row r="166">
          <cell r="F166" t="str">
            <v>260918-001</v>
          </cell>
          <cell r="G166" t="str">
            <v>Recall Kontrak 2</v>
          </cell>
          <cell r="H166" t="str">
            <v xml:space="preserve">Leader </v>
          </cell>
          <cell r="I166" t="str">
            <v>Assembly</v>
          </cell>
          <cell r="J166">
            <v>43369</v>
          </cell>
          <cell r="K166" t="b">
            <v>1</v>
          </cell>
          <cell r="L166">
            <v>43369</v>
          </cell>
          <cell r="M166">
            <v>2</v>
          </cell>
          <cell r="N166">
            <v>7</v>
          </cell>
          <cell r="O166">
            <v>28</v>
          </cell>
          <cell r="Q166">
            <v>5343082</v>
          </cell>
          <cell r="R166">
            <v>4924046</v>
          </cell>
          <cell r="S166">
            <v>5343083</v>
          </cell>
          <cell r="T166">
            <v>500000</v>
          </cell>
          <cell r="U166">
            <v>0</v>
          </cell>
          <cell r="V166">
            <v>0</v>
          </cell>
          <cell r="W166">
            <v>5843083</v>
          </cell>
          <cell r="X166">
            <v>5</v>
          </cell>
          <cell r="Z166">
            <v>16</v>
          </cell>
          <cell r="AB166">
            <v>21</v>
          </cell>
          <cell r="AC166">
            <v>1391210.2380952381</v>
          </cell>
          <cell r="AD166">
            <v>4451872.7619047621</v>
          </cell>
          <cell r="AE166">
            <v>5843083</v>
          </cell>
          <cell r="AF166">
            <v>0</v>
          </cell>
          <cell r="AG166">
            <v>5843083</v>
          </cell>
          <cell r="AH166" t="b">
            <v>1</v>
          </cell>
          <cell r="AK166">
            <v>5843083</v>
          </cell>
          <cell r="AL166" t="str">
            <v>K1</v>
          </cell>
          <cell r="AM166">
            <v>5843083</v>
          </cell>
          <cell r="AN166">
            <v>21124.709590749942</v>
          </cell>
          <cell r="AQ166">
            <v>0</v>
          </cell>
          <cell r="AR166">
            <v>38000</v>
          </cell>
          <cell r="AS166">
            <v>31700</v>
          </cell>
          <cell r="AV166">
            <v>58430.83</v>
          </cell>
          <cell r="AW166">
            <v>116861.66</v>
          </cell>
          <cell r="AX166">
            <v>58430.83</v>
          </cell>
          <cell r="AY166">
            <v>324548</v>
          </cell>
          <cell r="AZ166">
            <v>5518535</v>
          </cell>
          <cell r="BA166">
            <v>21124.709590749942</v>
          </cell>
          <cell r="BB166">
            <v>303423</v>
          </cell>
          <cell r="BC166">
            <v>5539660</v>
          </cell>
        </row>
        <row r="167">
          <cell r="F167" t="str">
            <v>061217-002</v>
          </cell>
          <cell r="G167" t="str">
            <v>Tetap</v>
          </cell>
          <cell r="H167" t="str">
            <v xml:space="preserve">Leader </v>
          </cell>
          <cell r="I167" t="str">
            <v>Assembly</v>
          </cell>
          <cell r="J167">
            <v>43075</v>
          </cell>
          <cell r="K167" t="b">
            <v>1</v>
          </cell>
          <cell r="L167">
            <v>43075</v>
          </cell>
          <cell r="M167">
            <v>3</v>
          </cell>
          <cell r="N167">
            <v>5</v>
          </cell>
          <cell r="O167">
            <v>18</v>
          </cell>
          <cell r="Q167">
            <v>5343082</v>
          </cell>
          <cell r="R167">
            <v>4924046</v>
          </cell>
          <cell r="S167">
            <v>5343083</v>
          </cell>
          <cell r="T167">
            <v>500000</v>
          </cell>
          <cell r="U167">
            <v>0</v>
          </cell>
          <cell r="V167">
            <v>0</v>
          </cell>
          <cell r="W167">
            <v>5843083</v>
          </cell>
          <cell r="X167">
            <v>5</v>
          </cell>
          <cell r="Z167">
            <v>16</v>
          </cell>
          <cell r="AB167">
            <v>21</v>
          </cell>
          <cell r="AC167">
            <v>1391210.2380952381</v>
          </cell>
          <cell r="AD167">
            <v>4451872.7619047621</v>
          </cell>
          <cell r="AE167">
            <v>5843083</v>
          </cell>
          <cell r="AF167">
            <v>0</v>
          </cell>
          <cell r="AG167">
            <v>5843083</v>
          </cell>
          <cell r="AH167" t="b">
            <v>1</v>
          </cell>
          <cell r="AK167">
            <v>5843083</v>
          </cell>
          <cell r="AL167" t="str">
            <v>K1</v>
          </cell>
          <cell r="AM167">
            <v>5843083</v>
          </cell>
          <cell r="AN167">
            <v>21124.709590749942</v>
          </cell>
          <cell r="AQ167">
            <v>0</v>
          </cell>
          <cell r="AR167">
            <v>38000</v>
          </cell>
          <cell r="AS167">
            <v>31700</v>
          </cell>
          <cell r="AV167">
            <v>58430.83</v>
          </cell>
          <cell r="AW167">
            <v>116861.66</v>
          </cell>
          <cell r="AX167">
            <v>58430.83</v>
          </cell>
          <cell r="AY167">
            <v>324548</v>
          </cell>
          <cell r="AZ167">
            <v>5518535</v>
          </cell>
          <cell r="BA167">
            <v>21124.709590749942</v>
          </cell>
          <cell r="BB167">
            <v>303423</v>
          </cell>
          <cell r="BC167">
            <v>5539660</v>
          </cell>
        </row>
        <row r="168">
          <cell r="F168" t="str">
            <v>251017-005</v>
          </cell>
          <cell r="G168" t="str">
            <v>Pembaharuan</v>
          </cell>
          <cell r="H168" t="str">
            <v>Pelaksana</v>
          </cell>
          <cell r="I168" t="str">
            <v>Assembly</v>
          </cell>
          <cell r="J168">
            <v>43033</v>
          </cell>
          <cell r="K168" t="b">
            <v>1</v>
          </cell>
          <cell r="L168">
            <v>43033</v>
          </cell>
          <cell r="M168">
            <v>3</v>
          </cell>
          <cell r="N168">
            <v>6</v>
          </cell>
          <cell r="O168">
            <v>29</v>
          </cell>
          <cell r="Q168">
            <v>5343082</v>
          </cell>
          <cell r="R168">
            <v>4924046</v>
          </cell>
          <cell r="S168">
            <v>5343083</v>
          </cell>
          <cell r="T168">
            <v>0</v>
          </cell>
          <cell r="U168">
            <v>0</v>
          </cell>
          <cell r="V168">
            <v>0</v>
          </cell>
          <cell r="W168">
            <v>5343083</v>
          </cell>
          <cell r="X168">
            <v>5</v>
          </cell>
          <cell r="Z168">
            <v>16</v>
          </cell>
          <cell r="AB168">
            <v>21</v>
          </cell>
          <cell r="AC168">
            <v>1272162.6190476192</v>
          </cell>
          <cell r="AD168">
            <v>4070920.3809523811</v>
          </cell>
          <cell r="AE168">
            <v>5343083</v>
          </cell>
          <cell r="AF168">
            <v>0</v>
          </cell>
          <cell r="AG168">
            <v>5343083</v>
          </cell>
          <cell r="AH168" t="b">
            <v>1</v>
          </cell>
          <cell r="AK168">
            <v>5343083</v>
          </cell>
          <cell r="AL168" t="str">
            <v>K1</v>
          </cell>
          <cell r="AM168">
            <v>5343083</v>
          </cell>
          <cell r="AN168">
            <v>0</v>
          </cell>
          <cell r="AQ168">
            <v>0</v>
          </cell>
          <cell r="AR168">
            <v>38000</v>
          </cell>
          <cell r="AS168">
            <v>31700</v>
          </cell>
          <cell r="AV168">
            <v>53430.83</v>
          </cell>
          <cell r="AW168">
            <v>106861.66</v>
          </cell>
          <cell r="AX168">
            <v>53430.83</v>
          </cell>
          <cell r="AY168">
            <v>283423</v>
          </cell>
          <cell r="AZ168">
            <v>5059660</v>
          </cell>
          <cell r="BA168">
            <v>0</v>
          </cell>
          <cell r="BB168">
            <v>283423</v>
          </cell>
          <cell r="BC168">
            <v>5059660</v>
          </cell>
        </row>
        <row r="169">
          <cell r="F169" t="str">
            <v>080920-003</v>
          </cell>
          <cell r="G169" t="str">
            <v>Pembaharuan</v>
          </cell>
          <cell r="H169" t="str">
            <v>Pelaksana</v>
          </cell>
          <cell r="I169" t="str">
            <v>Assembly</v>
          </cell>
          <cell r="J169">
            <v>44082</v>
          </cell>
          <cell r="K169" t="b">
            <v>1</v>
          </cell>
          <cell r="L169">
            <v>44082</v>
          </cell>
          <cell r="M169">
            <v>0</v>
          </cell>
          <cell r="N169">
            <v>8</v>
          </cell>
          <cell r="O169">
            <v>16</v>
          </cell>
          <cell r="Q169">
            <v>5343082</v>
          </cell>
          <cell r="R169">
            <v>4924046</v>
          </cell>
          <cell r="S169">
            <v>5343083</v>
          </cell>
          <cell r="T169">
            <v>0</v>
          </cell>
          <cell r="U169">
            <v>0</v>
          </cell>
          <cell r="V169">
            <v>0</v>
          </cell>
          <cell r="W169">
            <v>5343083</v>
          </cell>
          <cell r="X169">
            <v>5</v>
          </cell>
          <cell r="Z169">
            <v>16</v>
          </cell>
          <cell r="AB169">
            <v>21</v>
          </cell>
          <cell r="AC169">
            <v>1272162.6190476192</v>
          </cell>
          <cell r="AD169">
            <v>4070920.3809523811</v>
          </cell>
          <cell r="AE169">
            <v>5343083</v>
          </cell>
          <cell r="AF169">
            <v>0</v>
          </cell>
          <cell r="AG169">
            <v>5343083</v>
          </cell>
          <cell r="AH169" t="b">
            <v>1</v>
          </cell>
          <cell r="AK169">
            <v>5343083</v>
          </cell>
          <cell r="AL169" t="str">
            <v>TK</v>
          </cell>
          <cell r="AM169">
            <v>5343083</v>
          </cell>
          <cell r="AN169">
            <v>34354.584590750004</v>
          </cell>
          <cell r="AQ169">
            <v>0</v>
          </cell>
          <cell r="AR169">
            <v>38000</v>
          </cell>
          <cell r="AS169">
            <v>31700</v>
          </cell>
          <cell r="AU169">
            <v>10000</v>
          </cell>
          <cell r="AV169">
            <v>53430.83</v>
          </cell>
          <cell r="AW169">
            <v>106861.66</v>
          </cell>
          <cell r="AX169">
            <v>53430.83</v>
          </cell>
          <cell r="AY169">
            <v>327778</v>
          </cell>
          <cell r="AZ169">
            <v>5015305</v>
          </cell>
          <cell r="BA169">
            <v>34354.584590750004</v>
          </cell>
          <cell r="BB169">
            <v>293423</v>
          </cell>
          <cell r="BC169">
            <v>5049660</v>
          </cell>
        </row>
        <row r="170">
          <cell r="F170" t="str">
            <v>200718-010</v>
          </cell>
          <cell r="G170" t="str">
            <v>Kontrak 2</v>
          </cell>
          <cell r="H170" t="str">
            <v>Pelaksana</v>
          </cell>
          <cell r="I170" t="str">
            <v>Assembly</v>
          </cell>
          <cell r="J170">
            <v>43301</v>
          </cell>
          <cell r="K170" t="b">
            <v>1</v>
          </cell>
          <cell r="L170">
            <v>43301</v>
          </cell>
          <cell r="M170">
            <v>2</v>
          </cell>
          <cell r="N170">
            <v>10</v>
          </cell>
          <cell r="O170">
            <v>4</v>
          </cell>
          <cell r="Q170">
            <v>5343082</v>
          </cell>
          <cell r="R170">
            <v>4924046</v>
          </cell>
          <cell r="S170">
            <v>5343083</v>
          </cell>
          <cell r="T170">
            <v>0</v>
          </cell>
          <cell r="U170">
            <v>0</v>
          </cell>
          <cell r="V170">
            <v>0</v>
          </cell>
          <cell r="W170">
            <v>5343083</v>
          </cell>
          <cell r="X170">
            <v>5</v>
          </cell>
          <cell r="Z170">
            <v>16</v>
          </cell>
          <cell r="AB170">
            <v>21</v>
          </cell>
          <cell r="AC170">
            <v>1272162.6190476192</v>
          </cell>
          <cell r="AD170">
            <v>4070920.3809523811</v>
          </cell>
          <cell r="AE170">
            <v>5343083</v>
          </cell>
          <cell r="AF170">
            <v>0</v>
          </cell>
          <cell r="AG170">
            <v>5343083</v>
          </cell>
          <cell r="AH170" t="b">
            <v>1</v>
          </cell>
          <cell r="AK170">
            <v>5343083</v>
          </cell>
          <cell r="AL170" t="str">
            <v>K1</v>
          </cell>
          <cell r="AM170">
            <v>5343083</v>
          </cell>
          <cell r="AN170">
            <v>0</v>
          </cell>
          <cell r="AQ170">
            <v>0</v>
          </cell>
          <cell r="AS170">
            <v>31700</v>
          </cell>
          <cell r="AV170">
            <v>53430.83</v>
          </cell>
          <cell r="AW170">
            <v>106861.66</v>
          </cell>
          <cell r="AX170">
            <v>53430.83</v>
          </cell>
          <cell r="AY170">
            <v>245423</v>
          </cell>
          <cell r="AZ170">
            <v>5097660</v>
          </cell>
          <cell r="BA170">
            <v>0</v>
          </cell>
          <cell r="BB170">
            <v>245423</v>
          </cell>
          <cell r="BC170">
            <v>5097660</v>
          </cell>
        </row>
        <row r="171">
          <cell r="F171" t="str">
            <v>040814-221</v>
          </cell>
          <cell r="G171" t="str">
            <v>Tetap</v>
          </cell>
          <cell r="H171" t="str">
            <v>Pelaksana</v>
          </cell>
          <cell r="I171" t="str">
            <v>Assembly</v>
          </cell>
          <cell r="J171">
            <v>41855</v>
          </cell>
          <cell r="K171" t="b">
            <v>1</v>
          </cell>
          <cell r="L171">
            <v>41855</v>
          </cell>
          <cell r="M171">
            <v>6</v>
          </cell>
          <cell r="N171">
            <v>9</v>
          </cell>
          <cell r="O171">
            <v>20</v>
          </cell>
          <cell r="Q171">
            <v>5343082</v>
          </cell>
          <cell r="R171">
            <v>4924046</v>
          </cell>
          <cell r="S171">
            <v>5343083</v>
          </cell>
          <cell r="T171">
            <v>0</v>
          </cell>
          <cell r="U171">
            <v>0</v>
          </cell>
          <cell r="V171">
            <v>200000</v>
          </cell>
          <cell r="W171">
            <v>5543083</v>
          </cell>
          <cell r="X171">
            <v>5</v>
          </cell>
          <cell r="Z171">
            <v>16</v>
          </cell>
          <cell r="AB171">
            <v>21</v>
          </cell>
          <cell r="AC171">
            <v>1319781.6666666665</v>
          </cell>
          <cell r="AD171">
            <v>4223301.333333333</v>
          </cell>
          <cell r="AE171">
            <v>5543083</v>
          </cell>
          <cell r="AF171">
            <v>0</v>
          </cell>
          <cell r="AG171">
            <v>5543083</v>
          </cell>
          <cell r="AH171" t="b">
            <v>1</v>
          </cell>
          <cell r="AK171">
            <v>5543083</v>
          </cell>
          <cell r="AL171" t="str">
            <v>TK</v>
          </cell>
          <cell r="AM171">
            <v>5543083</v>
          </cell>
          <cell r="AN171">
            <v>44062.634590749971</v>
          </cell>
          <cell r="AQ171">
            <v>0</v>
          </cell>
          <cell r="AS171">
            <v>31700</v>
          </cell>
          <cell r="AU171">
            <v>10000</v>
          </cell>
          <cell r="AV171">
            <v>55430.83</v>
          </cell>
          <cell r="AW171">
            <v>110861.66</v>
          </cell>
          <cell r="AX171">
            <v>55430.83</v>
          </cell>
          <cell r="AY171">
            <v>307486</v>
          </cell>
          <cell r="AZ171">
            <v>5235597</v>
          </cell>
          <cell r="BA171">
            <v>44062.634590749971</v>
          </cell>
          <cell r="BB171">
            <v>263423</v>
          </cell>
          <cell r="BC171">
            <v>5279660</v>
          </cell>
        </row>
        <row r="172">
          <cell r="F172" t="str">
            <v>220819-004</v>
          </cell>
          <cell r="G172" t="str">
            <v>Recall Kontrak 2</v>
          </cell>
          <cell r="H172" t="str">
            <v>Pelaksana</v>
          </cell>
          <cell r="I172" t="str">
            <v>Assembly</v>
          </cell>
          <cell r="J172" t="str">
            <v>22 Agustus 2019</v>
          </cell>
          <cell r="K172" t="b">
            <v>0</v>
          </cell>
          <cell r="L172">
            <v>43699</v>
          </cell>
          <cell r="M172">
            <v>1</v>
          </cell>
          <cell r="N172">
            <v>9</v>
          </cell>
          <cell r="O172">
            <v>2</v>
          </cell>
          <cell r="Q172">
            <v>5343082</v>
          </cell>
          <cell r="R172">
            <v>4924046</v>
          </cell>
          <cell r="S172">
            <v>5343083</v>
          </cell>
          <cell r="T172">
            <v>0</v>
          </cell>
          <cell r="U172">
            <v>0</v>
          </cell>
          <cell r="V172">
            <v>0</v>
          </cell>
          <cell r="W172">
            <v>5343083</v>
          </cell>
          <cell r="X172">
            <v>5</v>
          </cell>
          <cell r="Z172">
            <v>16</v>
          </cell>
          <cell r="AB172">
            <v>21</v>
          </cell>
          <cell r="AC172">
            <v>1272162.6190476192</v>
          </cell>
          <cell r="AD172">
            <v>4070920.3809523811</v>
          </cell>
          <cell r="AE172">
            <v>5343083</v>
          </cell>
          <cell r="AF172">
            <v>0</v>
          </cell>
          <cell r="AG172">
            <v>5343083</v>
          </cell>
          <cell r="AH172" t="b">
            <v>1</v>
          </cell>
          <cell r="AK172">
            <v>5343083</v>
          </cell>
          <cell r="AL172" t="str">
            <v>K2</v>
          </cell>
          <cell r="AM172">
            <v>5343083</v>
          </cell>
          <cell r="AN172">
            <v>0</v>
          </cell>
          <cell r="AQ172">
            <v>0</v>
          </cell>
          <cell r="AR172">
            <v>38000</v>
          </cell>
          <cell r="AS172">
            <v>31700</v>
          </cell>
          <cell r="AV172">
            <v>53430.83</v>
          </cell>
          <cell r="AW172">
            <v>106861.66</v>
          </cell>
          <cell r="AX172">
            <v>53430.83</v>
          </cell>
          <cell r="AY172">
            <v>283423</v>
          </cell>
          <cell r="AZ172">
            <v>5059660</v>
          </cell>
          <cell r="BA172">
            <v>0</v>
          </cell>
          <cell r="BB172">
            <v>283423</v>
          </cell>
          <cell r="BC172">
            <v>5059660</v>
          </cell>
        </row>
        <row r="173">
          <cell r="F173" t="str">
            <v>261018-008</v>
          </cell>
          <cell r="G173" t="str">
            <v>Recall Kontrak 2</v>
          </cell>
          <cell r="H173" t="str">
            <v>Pelaksana</v>
          </cell>
          <cell r="I173" t="str">
            <v>Assembly</v>
          </cell>
          <cell r="J173">
            <v>43399</v>
          </cell>
          <cell r="K173" t="b">
            <v>1</v>
          </cell>
          <cell r="L173">
            <v>43399</v>
          </cell>
          <cell r="M173">
            <v>2</v>
          </cell>
          <cell r="N173">
            <v>6</v>
          </cell>
          <cell r="O173">
            <v>28</v>
          </cell>
          <cell r="Q173">
            <v>5343082</v>
          </cell>
          <cell r="R173">
            <v>4924046</v>
          </cell>
          <cell r="S173">
            <v>5343083</v>
          </cell>
          <cell r="T173">
            <v>0</v>
          </cell>
          <cell r="U173">
            <v>0</v>
          </cell>
          <cell r="V173">
            <v>0</v>
          </cell>
          <cell r="W173">
            <v>5343083</v>
          </cell>
          <cell r="X173">
            <v>5</v>
          </cell>
          <cell r="Z173">
            <v>16</v>
          </cell>
          <cell r="AB173">
            <v>21</v>
          </cell>
          <cell r="AC173">
            <v>1272162.6190476192</v>
          </cell>
          <cell r="AD173">
            <v>4070920.3809523811</v>
          </cell>
          <cell r="AE173">
            <v>5343083</v>
          </cell>
          <cell r="AF173">
            <v>0</v>
          </cell>
          <cell r="AG173">
            <v>5343083</v>
          </cell>
          <cell r="AH173" t="b">
            <v>1</v>
          </cell>
          <cell r="AK173">
            <v>5343083</v>
          </cell>
          <cell r="AL173" t="str">
            <v>K2</v>
          </cell>
          <cell r="AM173">
            <v>5343083</v>
          </cell>
          <cell r="AN173">
            <v>0</v>
          </cell>
          <cell r="AQ173">
            <v>0</v>
          </cell>
          <cell r="AR173">
            <v>38000</v>
          </cell>
          <cell r="AS173">
            <v>31700</v>
          </cell>
          <cell r="AV173">
            <v>53430.83</v>
          </cell>
          <cell r="AW173">
            <v>106861.66</v>
          </cell>
          <cell r="AX173">
            <v>53430.83</v>
          </cell>
          <cell r="AY173">
            <v>283423</v>
          </cell>
          <cell r="AZ173">
            <v>5059660</v>
          </cell>
          <cell r="BA173">
            <v>0</v>
          </cell>
          <cell r="BB173">
            <v>283423</v>
          </cell>
          <cell r="BC173">
            <v>5059660</v>
          </cell>
        </row>
        <row r="174">
          <cell r="F174" t="str">
            <v>260918-002</v>
          </cell>
          <cell r="G174" t="str">
            <v>Kontrak 2</v>
          </cell>
          <cell r="H174" t="str">
            <v>Pelaksana</v>
          </cell>
          <cell r="I174" t="str">
            <v>Assembly</v>
          </cell>
          <cell r="J174">
            <v>43369</v>
          </cell>
          <cell r="K174" t="b">
            <v>1</v>
          </cell>
          <cell r="L174">
            <v>43369</v>
          </cell>
          <cell r="M174">
            <v>2</v>
          </cell>
          <cell r="N174">
            <v>7</v>
          </cell>
          <cell r="O174">
            <v>28</v>
          </cell>
          <cell r="Q174">
            <v>5343082</v>
          </cell>
          <cell r="R174">
            <v>4924046</v>
          </cell>
          <cell r="S174">
            <v>5343083</v>
          </cell>
          <cell r="T174">
            <v>0</v>
          </cell>
          <cell r="U174">
            <v>0</v>
          </cell>
          <cell r="V174">
            <v>0</v>
          </cell>
          <cell r="W174">
            <v>5343083</v>
          </cell>
          <cell r="X174">
            <v>5</v>
          </cell>
          <cell r="Z174">
            <v>16</v>
          </cell>
          <cell r="AB174">
            <v>21</v>
          </cell>
          <cell r="AC174">
            <v>1272162.6190476192</v>
          </cell>
          <cell r="AD174">
            <v>4070920.3809523811</v>
          </cell>
          <cell r="AE174">
            <v>5343083</v>
          </cell>
          <cell r="AF174">
            <v>0</v>
          </cell>
          <cell r="AG174">
            <v>5343083</v>
          </cell>
          <cell r="AH174" t="b">
            <v>1</v>
          </cell>
          <cell r="AK174">
            <v>5343083</v>
          </cell>
          <cell r="AL174" t="str">
            <v>K0</v>
          </cell>
          <cell r="AM174">
            <v>5343083</v>
          </cell>
          <cell r="AN174">
            <v>15604.584590750002</v>
          </cell>
          <cell r="AQ174">
            <v>0</v>
          </cell>
          <cell r="AR174">
            <v>38000</v>
          </cell>
          <cell r="AS174">
            <v>31700</v>
          </cell>
          <cell r="AV174">
            <v>53430.83</v>
          </cell>
          <cell r="AW174">
            <v>106861.66</v>
          </cell>
          <cell r="AX174">
            <v>53430.83</v>
          </cell>
          <cell r="AY174">
            <v>299028</v>
          </cell>
          <cell r="AZ174">
            <v>5044055</v>
          </cell>
          <cell r="BA174">
            <v>15604.584590750002</v>
          </cell>
          <cell r="BB174">
            <v>283423</v>
          </cell>
          <cell r="BC174">
            <v>5059660</v>
          </cell>
        </row>
        <row r="175">
          <cell r="F175" t="str">
            <v>011018-006</v>
          </cell>
          <cell r="G175" t="str">
            <v>Kontrak 2</v>
          </cell>
          <cell r="H175" t="str">
            <v>Pelaksana</v>
          </cell>
          <cell r="I175" t="str">
            <v>Assembly</v>
          </cell>
          <cell r="J175">
            <v>43374</v>
          </cell>
          <cell r="K175" t="b">
            <v>1</v>
          </cell>
          <cell r="L175">
            <v>43374</v>
          </cell>
          <cell r="M175">
            <v>2</v>
          </cell>
          <cell r="N175">
            <v>7</v>
          </cell>
          <cell r="O175">
            <v>23</v>
          </cell>
          <cell r="Q175">
            <v>5343082</v>
          </cell>
          <cell r="R175">
            <v>4924046</v>
          </cell>
          <cell r="S175">
            <v>5343083</v>
          </cell>
          <cell r="T175">
            <v>0</v>
          </cell>
          <cell r="U175">
            <v>0</v>
          </cell>
          <cell r="V175">
            <v>0</v>
          </cell>
          <cell r="W175">
            <v>5343083</v>
          </cell>
          <cell r="X175">
            <v>5</v>
          </cell>
          <cell r="Z175">
            <v>16</v>
          </cell>
          <cell r="AB175">
            <v>21</v>
          </cell>
          <cell r="AC175">
            <v>1272162.6190476192</v>
          </cell>
          <cell r="AD175">
            <v>4070920.3809523811</v>
          </cell>
          <cell r="AE175">
            <v>5343083</v>
          </cell>
          <cell r="AF175">
            <v>0</v>
          </cell>
          <cell r="AG175">
            <v>5343083</v>
          </cell>
          <cell r="AH175" t="b">
            <v>1</v>
          </cell>
          <cell r="AK175">
            <v>5343083</v>
          </cell>
          <cell r="AL175" t="str">
            <v>K1</v>
          </cell>
          <cell r="AM175">
            <v>5343083</v>
          </cell>
          <cell r="AN175">
            <v>0</v>
          </cell>
          <cell r="AQ175">
            <v>0</v>
          </cell>
          <cell r="AR175">
            <v>38000</v>
          </cell>
          <cell r="AS175">
            <v>31700</v>
          </cell>
          <cell r="AV175">
            <v>53430.83</v>
          </cell>
          <cell r="AW175">
            <v>106861.66</v>
          </cell>
          <cell r="AX175">
            <v>53430.83</v>
          </cell>
          <cell r="AY175">
            <v>283423</v>
          </cell>
          <cell r="AZ175">
            <v>5059660</v>
          </cell>
          <cell r="BA175">
            <v>0</v>
          </cell>
          <cell r="BB175">
            <v>283423</v>
          </cell>
          <cell r="BC175">
            <v>5059660</v>
          </cell>
        </row>
        <row r="176">
          <cell r="F176" t="str">
            <v>140318-005</v>
          </cell>
          <cell r="G176" t="str">
            <v>Pembaharuan</v>
          </cell>
          <cell r="H176" t="str">
            <v>Pelaksana</v>
          </cell>
          <cell r="I176" t="str">
            <v>Assembly</v>
          </cell>
          <cell r="J176">
            <v>43173</v>
          </cell>
          <cell r="K176" t="b">
            <v>1</v>
          </cell>
          <cell r="L176">
            <v>43173</v>
          </cell>
          <cell r="M176">
            <v>3</v>
          </cell>
          <cell r="N176">
            <v>2</v>
          </cell>
          <cell r="O176">
            <v>10</v>
          </cell>
          <cell r="Q176">
            <v>5343082</v>
          </cell>
          <cell r="R176">
            <v>4924046</v>
          </cell>
          <cell r="S176">
            <v>5343083</v>
          </cell>
          <cell r="T176">
            <v>0</v>
          </cell>
          <cell r="U176">
            <v>0</v>
          </cell>
          <cell r="V176">
            <v>0</v>
          </cell>
          <cell r="W176">
            <v>5343083</v>
          </cell>
          <cell r="X176">
            <v>5</v>
          </cell>
          <cell r="Z176">
            <v>16</v>
          </cell>
          <cell r="AB176">
            <v>21</v>
          </cell>
          <cell r="AC176">
            <v>1272162.6190476192</v>
          </cell>
          <cell r="AD176">
            <v>4070920.3809523811</v>
          </cell>
          <cell r="AE176">
            <v>5343083</v>
          </cell>
          <cell r="AF176">
            <v>0</v>
          </cell>
          <cell r="AG176">
            <v>5343083</v>
          </cell>
          <cell r="AH176" t="b">
            <v>1</v>
          </cell>
          <cell r="AK176">
            <v>5343083</v>
          </cell>
          <cell r="AL176" t="str">
            <v>TK2</v>
          </cell>
          <cell r="AM176">
            <v>5343083</v>
          </cell>
          <cell r="AN176">
            <v>0</v>
          </cell>
          <cell r="AQ176">
            <v>0</v>
          </cell>
          <cell r="AR176">
            <v>38000</v>
          </cell>
          <cell r="AS176">
            <v>31700</v>
          </cell>
          <cell r="AV176">
            <v>53430.83</v>
          </cell>
          <cell r="AW176">
            <v>106861.66</v>
          </cell>
          <cell r="AX176">
            <v>53430.83</v>
          </cell>
          <cell r="AY176">
            <v>283423</v>
          </cell>
          <cell r="AZ176">
            <v>5059660</v>
          </cell>
          <cell r="BA176">
            <v>0</v>
          </cell>
          <cell r="BB176">
            <v>283423</v>
          </cell>
          <cell r="BC176">
            <v>5059660</v>
          </cell>
        </row>
        <row r="177">
          <cell r="F177" t="str">
            <v>261120-002</v>
          </cell>
          <cell r="G177" t="str">
            <v>Recall Kontrak 1</v>
          </cell>
          <cell r="H177" t="str">
            <v>Pelaksana</v>
          </cell>
          <cell r="I177" t="str">
            <v>Assembly</v>
          </cell>
          <cell r="J177">
            <v>44161</v>
          </cell>
          <cell r="K177" t="b">
            <v>1</v>
          </cell>
          <cell r="L177">
            <v>44161</v>
          </cell>
          <cell r="M177">
            <v>0</v>
          </cell>
          <cell r="N177">
            <v>5</v>
          </cell>
          <cell r="O177">
            <v>28</v>
          </cell>
          <cell r="Q177">
            <v>5343082</v>
          </cell>
          <cell r="R177">
            <v>4924046</v>
          </cell>
          <cell r="S177">
            <v>5343083</v>
          </cell>
          <cell r="T177">
            <v>0</v>
          </cell>
          <cell r="U177">
            <v>0</v>
          </cell>
          <cell r="V177">
            <v>0</v>
          </cell>
          <cell r="W177">
            <v>5343083</v>
          </cell>
          <cell r="X177">
            <v>5</v>
          </cell>
          <cell r="Z177">
            <v>16</v>
          </cell>
          <cell r="AB177">
            <v>21</v>
          </cell>
          <cell r="AC177">
            <v>1272162.6190476192</v>
          </cell>
          <cell r="AD177">
            <v>4070920.3809523811</v>
          </cell>
          <cell r="AE177">
            <v>5343083</v>
          </cell>
          <cell r="AF177">
            <v>0</v>
          </cell>
          <cell r="AG177">
            <v>5343083</v>
          </cell>
          <cell r="AH177" t="b">
            <v>1</v>
          </cell>
          <cell r="AK177">
            <v>5343083</v>
          </cell>
          <cell r="AL177" t="str">
            <v>K0</v>
          </cell>
          <cell r="AM177">
            <v>5343083</v>
          </cell>
          <cell r="AN177">
            <v>15604.584590750002</v>
          </cell>
          <cell r="AQ177">
            <v>0</v>
          </cell>
          <cell r="AR177">
            <v>38000</v>
          </cell>
          <cell r="AS177">
            <v>31700</v>
          </cell>
          <cell r="AV177">
            <v>53430.83</v>
          </cell>
          <cell r="AW177">
            <v>106861.66</v>
          </cell>
          <cell r="AX177">
            <v>53430.83</v>
          </cell>
          <cell r="AY177">
            <v>299028</v>
          </cell>
          <cell r="AZ177">
            <v>5044055</v>
          </cell>
          <cell r="BA177">
            <v>15604.584590750002</v>
          </cell>
          <cell r="BB177">
            <v>283423</v>
          </cell>
          <cell r="BC177">
            <v>5059660</v>
          </cell>
        </row>
        <row r="178">
          <cell r="F178" t="str">
            <v>051020-005</v>
          </cell>
          <cell r="G178" t="str">
            <v>Kontrak 1</v>
          </cell>
          <cell r="H178" t="str">
            <v>Pelaksana</v>
          </cell>
          <cell r="I178" t="str">
            <v>Assembly</v>
          </cell>
          <cell r="J178" t="str">
            <v>05 Oktober 2020</v>
          </cell>
          <cell r="K178" t="b">
            <v>0</v>
          </cell>
          <cell r="L178">
            <v>44109</v>
          </cell>
          <cell r="M178">
            <v>0</v>
          </cell>
          <cell r="N178">
            <v>7</v>
          </cell>
          <cell r="O178">
            <v>19</v>
          </cell>
          <cell r="Q178">
            <v>5343082</v>
          </cell>
          <cell r="R178">
            <v>4924046</v>
          </cell>
          <cell r="S178">
            <v>5343083</v>
          </cell>
          <cell r="T178">
            <v>0</v>
          </cell>
          <cell r="U178">
            <v>0</v>
          </cell>
          <cell r="V178">
            <v>0</v>
          </cell>
          <cell r="W178">
            <v>5343083</v>
          </cell>
          <cell r="X178">
            <v>5</v>
          </cell>
          <cell r="Z178">
            <v>16</v>
          </cell>
          <cell r="AB178">
            <v>21</v>
          </cell>
          <cell r="AC178">
            <v>1272162.6190476192</v>
          </cell>
          <cell r="AD178">
            <v>4070920.3809523811</v>
          </cell>
          <cell r="AE178">
            <v>5343083</v>
          </cell>
          <cell r="AF178">
            <v>0</v>
          </cell>
          <cell r="AG178">
            <v>5343083</v>
          </cell>
          <cell r="AH178" t="b">
            <v>1</v>
          </cell>
          <cell r="AK178">
            <v>5343083</v>
          </cell>
          <cell r="AL178" t="str">
            <v>K1</v>
          </cell>
          <cell r="AM178">
            <v>5343083</v>
          </cell>
          <cell r="AN178">
            <v>0</v>
          </cell>
          <cell r="AQ178">
            <v>0</v>
          </cell>
          <cell r="AR178">
            <v>38000</v>
          </cell>
          <cell r="AS178">
            <v>31700</v>
          </cell>
          <cell r="AV178">
            <v>47983.1</v>
          </cell>
          <cell r="AW178">
            <v>106861.66</v>
          </cell>
          <cell r="AX178">
            <v>53430.83</v>
          </cell>
          <cell r="AY178">
            <v>277976</v>
          </cell>
          <cell r="AZ178">
            <v>5065107</v>
          </cell>
          <cell r="BA178">
            <v>0</v>
          </cell>
          <cell r="BB178">
            <v>277976</v>
          </cell>
          <cell r="BC178">
            <v>5065107</v>
          </cell>
        </row>
        <row r="179">
          <cell r="F179" t="str">
            <v>040814-453</v>
          </cell>
          <cell r="G179" t="str">
            <v>Tetap</v>
          </cell>
          <cell r="H179" t="str">
            <v>Pelaksana</v>
          </cell>
          <cell r="I179" t="str">
            <v>Assembly</v>
          </cell>
          <cell r="J179">
            <v>41855</v>
          </cell>
          <cell r="K179" t="b">
            <v>1</v>
          </cell>
          <cell r="L179">
            <v>41855</v>
          </cell>
          <cell r="M179">
            <v>6</v>
          </cell>
          <cell r="N179">
            <v>9</v>
          </cell>
          <cell r="O179">
            <v>20</v>
          </cell>
          <cell r="Q179">
            <v>5343082</v>
          </cell>
          <cell r="R179">
            <v>4924046</v>
          </cell>
          <cell r="S179">
            <v>5343083</v>
          </cell>
          <cell r="T179">
            <v>0</v>
          </cell>
          <cell r="U179">
            <v>0</v>
          </cell>
          <cell r="V179">
            <v>0</v>
          </cell>
          <cell r="W179">
            <v>5343083</v>
          </cell>
          <cell r="X179">
            <v>5</v>
          </cell>
          <cell r="Z179">
            <v>16</v>
          </cell>
          <cell r="AB179">
            <v>21</v>
          </cell>
          <cell r="AC179">
            <v>1272162.6190476192</v>
          </cell>
          <cell r="AD179">
            <v>4070920.3809523811</v>
          </cell>
          <cell r="AE179">
            <v>5343083</v>
          </cell>
          <cell r="AF179">
            <v>0</v>
          </cell>
          <cell r="AG179">
            <v>5343083</v>
          </cell>
          <cell r="AH179" t="b">
            <v>1</v>
          </cell>
          <cell r="AK179">
            <v>5343083</v>
          </cell>
          <cell r="AL179" t="str">
            <v>K1</v>
          </cell>
          <cell r="AM179">
            <v>5343083</v>
          </cell>
          <cell r="AN179">
            <v>0</v>
          </cell>
          <cell r="AQ179">
            <v>0</v>
          </cell>
          <cell r="AR179">
            <v>38000</v>
          </cell>
          <cell r="AS179">
            <v>31700</v>
          </cell>
          <cell r="AV179">
            <v>53430.83</v>
          </cell>
          <cell r="AW179">
            <v>106861.66</v>
          </cell>
          <cell r="AX179">
            <v>53430.83</v>
          </cell>
          <cell r="AY179">
            <v>283423</v>
          </cell>
          <cell r="AZ179">
            <v>5059660</v>
          </cell>
          <cell r="BA179">
            <v>0</v>
          </cell>
          <cell r="BB179">
            <v>283423</v>
          </cell>
          <cell r="BC179">
            <v>5059660</v>
          </cell>
        </row>
        <row r="180">
          <cell r="F180" t="str">
            <v>171220-001</v>
          </cell>
          <cell r="G180" t="str">
            <v>Recall Kontrak 1</v>
          </cell>
          <cell r="H180" t="str">
            <v>Pelaksana</v>
          </cell>
          <cell r="I180" t="str">
            <v>Assembly</v>
          </cell>
          <cell r="J180" t="str">
            <v>17 Desember 2020</v>
          </cell>
          <cell r="K180" t="b">
            <v>0</v>
          </cell>
          <cell r="L180">
            <v>44172</v>
          </cell>
          <cell r="M180">
            <v>0</v>
          </cell>
          <cell r="N180">
            <v>5</v>
          </cell>
          <cell r="O180">
            <v>17</v>
          </cell>
          <cell r="Q180">
            <v>5343082</v>
          </cell>
          <cell r="R180">
            <v>4924046</v>
          </cell>
          <cell r="S180">
            <v>5343083</v>
          </cell>
          <cell r="T180">
            <v>0</v>
          </cell>
          <cell r="U180">
            <v>0</v>
          </cell>
          <cell r="V180">
            <v>0</v>
          </cell>
          <cell r="W180">
            <v>5343083</v>
          </cell>
          <cell r="X180">
            <v>5</v>
          </cell>
          <cell r="Z180">
            <v>16</v>
          </cell>
          <cell r="AB180">
            <v>21</v>
          </cell>
          <cell r="AC180">
            <v>1272162.6190476192</v>
          </cell>
          <cell r="AD180">
            <v>4070920.3809523811</v>
          </cell>
          <cell r="AE180">
            <v>5343083</v>
          </cell>
          <cell r="AF180">
            <v>0</v>
          </cell>
          <cell r="AG180">
            <v>5343083</v>
          </cell>
          <cell r="AH180" t="b">
            <v>1</v>
          </cell>
          <cell r="AK180">
            <v>5343083</v>
          </cell>
          <cell r="AL180" t="str">
            <v>TK</v>
          </cell>
          <cell r="AM180">
            <v>5343083</v>
          </cell>
          <cell r="AN180">
            <v>34354.584590750004</v>
          </cell>
          <cell r="AQ180">
            <v>0</v>
          </cell>
          <cell r="AR180">
            <v>38000</v>
          </cell>
          <cell r="AS180">
            <v>31700</v>
          </cell>
          <cell r="AV180">
            <v>53430.83</v>
          </cell>
          <cell r="AW180">
            <v>106861.66</v>
          </cell>
          <cell r="AX180">
            <v>53430.83</v>
          </cell>
          <cell r="AY180">
            <v>317778</v>
          </cell>
          <cell r="AZ180">
            <v>5025305</v>
          </cell>
          <cell r="BA180">
            <v>34354.584590750004</v>
          </cell>
          <cell r="BB180">
            <v>283423</v>
          </cell>
          <cell r="BC180">
            <v>5059660</v>
          </cell>
        </row>
        <row r="181">
          <cell r="F181" t="str">
            <v>111219-002</v>
          </cell>
          <cell r="G181" t="str">
            <v>Pembaharuan</v>
          </cell>
          <cell r="H181" t="str">
            <v>Pelaksana</v>
          </cell>
          <cell r="I181" t="str">
            <v>Assembly</v>
          </cell>
          <cell r="J181">
            <v>43810</v>
          </cell>
          <cell r="K181" t="b">
            <v>1</v>
          </cell>
          <cell r="L181">
            <v>43810</v>
          </cell>
          <cell r="M181">
            <v>1</v>
          </cell>
          <cell r="N181">
            <v>5</v>
          </cell>
          <cell r="O181">
            <v>13</v>
          </cell>
          <cell r="Q181">
            <v>5343082</v>
          </cell>
          <cell r="R181">
            <v>4924046</v>
          </cell>
          <cell r="S181">
            <v>5343083</v>
          </cell>
          <cell r="T181">
            <v>0</v>
          </cell>
          <cell r="U181">
            <v>0</v>
          </cell>
          <cell r="V181">
            <v>0</v>
          </cell>
          <cell r="W181">
            <v>5343083</v>
          </cell>
          <cell r="X181">
            <v>5</v>
          </cell>
          <cell r="Z181">
            <v>16</v>
          </cell>
          <cell r="AB181">
            <v>21</v>
          </cell>
          <cell r="AC181">
            <v>1272162.6190476192</v>
          </cell>
          <cell r="AD181">
            <v>4070920.3809523811</v>
          </cell>
          <cell r="AE181">
            <v>5343083</v>
          </cell>
          <cell r="AF181">
            <v>0</v>
          </cell>
          <cell r="AG181">
            <v>5343083</v>
          </cell>
          <cell r="AH181" t="b">
            <v>1</v>
          </cell>
          <cell r="AK181">
            <v>5343083</v>
          </cell>
          <cell r="AL181" t="str">
            <v>K1</v>
          </cell>
          <cell r="AM181">
            <v>5343083</v>
          </cell>
          <cell r="AN181">
            <v>0</v>
          </cell>
          <cell r="AQ181">
            <v>0</v>
          </cell>
          <cell r="AS181">
            <v>31700</v>
          </cell>
          <cell r="AU181">
            <v>10000</v>
          </cell>
          <cell r="AV181">
            <v>53430.83</v>
          </cell>
          <cell r="AW181">
            <v>106861.66</v>
          </cell>
          <cell r="AX181">
            <v>53430.83</v>
          </cell>
          <cell r="AY181">
            <v>255423</v>
          </cell>
          <cell r="AZ181">
            <v>5087660</v>
          </cell>
          <cell r="BA181">
            <v>0</v>
          </cell>
          <cell r="BB181">
            <v>255423</v>
          </cell>
          <cell r="BC181">
            <v>5087660</v>
          </cell>
        </row>
        <row r="182">
          <cell r="F182" t="str">
            <v>231219-004</v>
          </cell>
          <cell r="G182" t="str">
            <v>Pembaharuan</v>
          </cell>
          <cell r="H182" t="str">
            <v>Pelaksana</v>
          </cell>
          <cell r="I182" t="str">
            <v>Assembly</v>
          </cell>
          <cell r="J182">
            <v>43822</v>
          </cell>
          <cell r="K182" t="b">
            <v>1</v>
          </cell>
          <cell r="L182">
            <v>43822</v>
          </cell>
          <cell r="M182">
            <v>1</v>
          </cell>
          <cell r="N182">
            <v>5</v>
          </cell>
          <cell r="O182">
            <v>1</v>
          </cell>
          <cell r="Q182">
            <v>5343082</v>
          </cell>
          <cell r="R182">
            <v>4924046</v>
          </cell>
          <cell r="S182">
            <v>5343083</v>
          </cell>
          <cell r="T182">
            <v>0</v>
          </cell>
          <cell r="U182">
            <v>0</v>
          </cell>
          <cell r="V182">
            <v>0</v>
          </cell>
          <cell r="W182">
            <v>5343083</v>
          </cell>
          <cell r="X182">
            <v>5</v>
          </cell>
          <cell r="Z182">
            <v>16</v>
          </cell>
          <cell r="AB182">
            <v>21</v>
          </cell>
          <cell r="AC182">
            <v>1272162.6190476192</v>
          </cell>
          <cell r="AD182">
            <v>4070920.3809523811</v>
          </cell>
          <cell r="AE182">
            <v>5343083</v>
          </cell>
          <cell r="AF182">
            <v>0</v>
          </cell>
          <cell r="AG182">
            <v>5343083</v>
          </cell>
          <cell r="AH182" t="b">
            <v>1</v>
          </cell>
          <cell r="AK182">
            <v>5343083</v>
          </cell>
          <cell r="AL182" t="str">
            <v>K2</v>
          </cell>
          <cell r="AM182">
            <v>5343083</v>
          </cell>
          <cell r="AN182">
            <v>0</v>
          </cell>
          <cell r="AQ182">
            <v>0</v>
          </cell>
          <cell r="AR182">
            <v>38000</v>
          </cell>
          <cell r="AS182">
            <v>31700</v>
          </cell>
          <cell r="AV182">
            <v>53430.83</v>
          </cell>
          <cell r="AW182">
            <v>106861.66</v>
          </cell>
          <cell r="AX182">
            <v>53430.83</v>
          </cell>
          <cell r="AY182">
            <v>283423</v>
          </cell>
          <cell r="AZ182">
            <v>5059660</v>
          </cell>
          <cell r="BA182">
            <v>0</v>
          </cell>
          <cell r="BB182">
            <v>283423</v>
          </cell>
          <cell r="BC182">
            <v>5059660</v>
          </cell>
        </row>
        <row r="183">
          <cell r="F183" t="str">
            <v>200120-001</v>
          </cell>
          <cell r="G183" t="str">
            <v>Pembaharuan</v>
          </cell>
          <cell r="H183" t="str">
            <v>Pelaksana</v>
          </cell>
          <cell r="I183" t="str">
            <v>Assembly</v>
          </cell>
          <cell r="J183">
            <v>43850</v>
          </cell>
          <cell r="K183" t="b">
            <v>1</v>
          </cell>
          <cell r="L183">
            <v>43850</v>
          </cell>
          <cell r="M183">
            <v>1</v>
          </cell>
          <cell r="N183">
            <v>4</v>
          </cell>
          <cell r="O183">
            <v>4</v>
          </cell>
          <cell r="Q183">
            <v>5343082</v>
          </cell>
          <cell r="R183">
            <v>4924046</v>
          </cell>
          <cell r="S183">
            <v>5343083</v>
          </cell>
          <cell r="T183">
            <v>0</v>
          </cell>
          <cell r="U183">
            <v>0</v>
          </cell>
          <cell r="V183">
            <v>0</v>
          </cell>
          <cell r="W183">
            <v>5343083</v>
          </cell>
          <cell r="X183">
            <v>5</v>
          </cell>
          <cell r="Z183">
            <v>16</v>
          </cell>
          <cell r="AB183">
            <v>21</v>
          </cell>
          <cell r="AC183">
            <v>1272162.6190476192</v>
          </cell>
          <cell r="AD183">
            <v>4070920.3809523811</v>
          </cell>
          <cell r="AE183">
            <v>5343083</v>
          </cell>
          <cell r="AF183">
            <v>0</v>
          </cell>
          <cell r="AG183">
            <v>5343083</v>
          </cell>
          <cell r="AH183" t="b">
            <v>1</v>
          </cell>
          <cell r="AK183">
            <v>5343083</v>
          </cell>
          <cell r="AL183" t="str">
            <v>K0</v>
          </cell>
          <cell r="AM183">
            <v>5343083</v>
          </cell>
          <cell r="AN183">
            <v>15604.584590750002</v>
          </cell>
          <cell r="AQ183">
            <v>0</v>
          </cell>
          <cell r="AR183">
            <v>38000</v>
          </cell>
          <cell r="AS183">
            <v>31700</v>
          </cell>
          <cell r="AV183">
            <v>53430.83</v>
          </cell>
          <cell r="AW183">
            <v>106861.66</v>
          </cell>
          <cell r="AX183">
            <v>53430.83</v>
          </cell>
          <cell r="AY183">
            <v>299028</v>
          </cell>
          <cell r="AZ183">
            <v>5044055</v>
          </cell>
          <cell r="BA183">
            <v>15604.584590750002</v>
          </cell>
          <cell r="BB183">
            <v>283423</v>
          </cell>
          <cell r="BC183">
            <v>5059660</v>
          </cell>
        </row>
        <row r="184">
          <cell r="F184" t="str">
            <v>180320-001</v>
          </cell>
          <cell r="G184" t="str">
            <v>Pembaharuan</v>
          </cell>
          <cell r="H184" t="str">
            <v>Pelaksana</v>
          </cell>
          <cell r="I184" t="str">
            <v>Assembly</v>
          </cell>
          <cell r="J184">
            <v>43908</v>
          </cell>
          <cell r="K184" t="b">
            <v>1</v>
          </cell>
          <cell r="L184">
            <v>43908</v>
          </cell>
          <cell r="M184">
            <v>1</v>
          </cell>
          <cell r="N184">
            <v>2</v>
          </cell>
          <cell r="O184">
            <v>6</v>
          </cell>
          <cell r="Q184">
            <v>5343082</v>
          </cell>
          <cell r="R184">
            <v>4924046</v>
          </cell>
          <cell r="S184">
            <v>5343083</v>
          </cell>
          <cell r="T184">
            <v>0</v>
          </cell>
          <cell r="U184">
            <v>0</v>
          </cell>
          <cell r="V184">
            <v>0</v>
          </cell>
          <cell r="W184">
            <v>5343083</v>
          </cell>
          <cell r="X184">
            <v>5</v>
          </cell>
          <cell r="Z184">
            <v>16</v>
          </cell>
          <cell r="AB184">
            <v>21</v>
          </cell>
          <cell r="AC184">
            <v>1272162.6190476192</v>
          </cell>
          <cell r="AD184">
            <v>4070920.3809523811</v>
          </cell>
          <cell r="AE184">
            <v>5343083</v>
          </cell>
          <cell r="AF184">
            <v>0</v>
          </cell>
          <cell r="AG184">
            <v>5343083</v>
          </cell>
          <cell r="AH184" t="b">
            <v>1</v>
          </cell>
          <cell r="AK184">
            <v>5343083</v>
          </cell>
          <cell r="AL184" t="str">
            <v>K1</v>
          </cell>
          <cell r="AM184">
            <v>5343083</v>
          </cell>
          <cell r="AN184">
            <v>0</v>
          </cell>
          <cell r="AQ184">
            <v>0</v>
          </cell>
          <cell r="AR184">
            <v>38000</v>
          </cell>
          <cell r="AS184">
            <v>31700</v>
          </cell>
          <cell r="AV184">
            <v>53430.83</v>
          </cell>
          <cell r="AW184">
            <v>106861.66</v>
          </cell>
          <cell r="AX184">
            <v>53430.83</v>
          </cell>
          <cell r="AY184">
            <v>283423</v>
          </cell>
          <cell r="AZ184">
            <v>5059660</v>
          </cell>
          <cell r="BA184">
            <v>0</v>
          </cell>
          <cell r="BB184">
            <v>283423</v>
          </cell>
          <cell r="BC184">
            <v>5059660</v>
          </cell>
        </row>
        <row r="185">
          <cell r="F185" t="str">
            <v>090320-005</v>
          </cell>
          <cell r="G185" t="str">
            <v>Pembaharuan</v>
          </cell>
          <cell r="H185" t="str">
            <v>Pelaksana</v>
          </cell>
          <cell r="I185" t="str">
            <v>Assembly</v>
          </cell>
          <cell r="J185">
            <v>43899</v>
          </cell>
          <cell r="K185" t="b">
            <v>1</v>
          </cell>
          <cell r="L185">
            <v>43899</v>
          </cell>
          <cell r="M185">
            <v>1</v>
          </cell>
          <cell r="N185">
            <v>2</v>
          </cell>
          <cell r="O185">
            <v>15</v>
          </cell>
          <cell r="Q185">
            <v>5343082</v>
          </cell>
          <cell r="R185">
            <v>4924046</v>
          </cell>
          <cell r="S185">
            <v>5343083</v>
          </cell>
          <cell r="T185">
            <v>0</v>
          </cell>
          <cell r="U185">
            <v>0</v>
          </cell>
          <cell r="V185">
            <v>0</v>
          </cell>
          <cell r="W185">
            <v>5343083</v>
          </cell>
          <cell r="X185">
            <v>5</v>
          </cell>
          <cell r="Z185">
            <v>16</v>
          </cell>
          <cell r="AB185">
            <v>21</v>
          </cell>
          <cell r="AC185">
            <v>1272162.6190476192</v>
          </cell>
          <cell r="AD185">
            <v>4070920.3809523811</v>
          </cell>
          <cell r="AE185">
            <v>5343083</v>
          </cell>
          <cell r="AF185">
            <v>0</v>
          </cell>
          <cell r="AG185">
            <v>5343083</v>
          </cell>
          <cell r="AH185" t="b">
            <v>1</v>
          </cell>
          <cell r="AK185">
            <v>5343083</v>
          </cell>
          <cell r="AL185" t="str">
            <v>K1</v>
          </cell>
          <cell r="AM185">
            <v>5343083</v>
          </cell>
          <cell r="AN185">
            <v>0</v>
          </cell>
          <cell r="AQ185">
            <v>0</v>
          </cell>
          <cell r="AR185">
            <v>38000</v>
          </cell>
          <cell r="AS185">
            <v>31700</v>
          </cell>
          <cell r="AU185">
            <v>10000</v>
          </cell>
          <cell r="AV185">
            <v>53430.83</v>
          </cell>
          <cell r="AW185">
            <v>106861.66</v>
          </cell>
          <cell r="AX185">
            <v>53430.83</v>
          </cell>
          <cell r="AY185">
            <v>293423</v>
          </cell>
          <cell r="AZ185">
            <v>5049660</v>
          </cell>
          <cell r="BA185">
            <v>0</v>
          </cell>
          <cell r="BB185">
            <v>293423</v>
          </cell>
          <cell r="BC185">
            <v>5049660</v>
          </cell>
        </row>
        <row r="186">
          <cell r="F186" t="str">
            <v>090320-006</v>
          </cell>
          <cell r="G186" t="str">
            <v>Pembaharuan</v>
          </cell>
          <cell r="H186" t="str">
            <v>Pelaksana</v>
          </cell>
          <cell r="I186" t="str">
            <v>Assembly</v>
          </cell>
          <cell r="J186">
            <v>43899</v>
          </cell>
          <cell r="K186" t="b">
            <v>1</v>
          </cell>
          <cell r="L186">
            <v>43899</v>
          </cell>
          <cell r="M186">
            <v>1</v>
          </cell>
          <cell r="N186">
            <v>2</v>
          </cell>
          <cell r="O186">
            <v>15</v>
          </cell>
          <cell r="Q186">
            <v>5343082</v>
          </cell>
          <cell r="R186">
            <v>4924046</v>
          </cell>
          <cell r="S186">
            <v>5343083</v>
          </cell>
          <cell r="T186">
            <v>0</v>
          </cell>
          <cell r="U186">
            <v>0</v>
          </cell>
          <cell r="V186">
            <v>0</v>
          </cell>
          <cell r="W186">
            <v>5343083</v>
          </cell>
          <cell r="X186">
            <v>5</v>
          </cell>
          <cell r="Z186">
            <v>16</v>
          </cell>
          <cell r="AB186">
            <v>21</v>
          </cell>
          <cell r="AC186">
            <v>1272162.6190476192</v>
          </cell>
          <cell r="AD186">
            <v>4070920.3809523811</v>
          </cell>
          <cell r="AE186">
            <v>5343083</v>
          </cell>
          <cell r="AF186">
            <v>0</v>
          </cell>
          <cell r="AG186">
            <v>5343083</v>
          </cell>
          <cell r="AH186" t="b">
            <v>1</v>
          </cell>
          <cell r="AK186">
            <v>5343083</v>
          </cell>
          <cell r="AL186" t="str">
            <v>TK</v>
          </cell>
          <cell r="AM186">
            <v>5343083</v>
          </cell>
          <cell r="AN186">
            <v>34354.584590750004</v>
          </cell>
          <cell r="AQ186">
            <v>0</v>
          </cell>
          <cell r="AR186">
            <v>38000</v>
          </cell>
          <cell r="AS186">
            <v>31700</v>
          </cell>
          <cell r="AV186">
            <v>53430.83</v>
          </cell>
          <cell r="AW186">
            <v>106861.66</v>
          </cell>
          <cell r="AX186">
            <v>53430.83</v>
          </cell>
          <cell r="AY186">
            <v>317778</v>
          </cell>
          <cell r="AZ186">
            <v>5025305</v>
          </cell>
          <cell r="BA186">
            <v>34354.584590750004</v>
          </cell>
          <cell r="BB186">
            <v>283423</v>
          </cell>
          <cell r="BC186">
            <v>5059660</v>
          </cell>
        </row>
        <row r="187">
          <cell r="F187" t="str">
            <v>230320-002</v>
          </cell>
          <cell r="G187" t="str">
            <v>Pembaharuan</v>
          </cell>
          <cell r="H187" t="str">
            <v>Pelaksana</v>
          </cell>
          <cell r="I187" t="str">
            <v>Assembly</v>
          </cell>
          <cell r="J187">
            <v>43913</v>
          </cell>
          <cell r="K187" t="b">
            <v>1</v>
          </cell>
          <cell r="L187">
            <v>43913</v>
          </cell>
          <cell r="M187">
            <v>1</v>
          </cell>
          <cell r="N187">
            <v>2</v>
          </cell>
          <cell r="O187">
            <v>1</v>
          </cell>
          <cell r="Q187">
            <v>5343082</v>
          </cell>
          <cell r="R187">
            <v>4924046</v>
          </cell>
          <cell r="S187">
            <v>5343083</v>
          </cell>
          <cell r="T187">
            <v>0</v>
          </cell>
          <cell r="U187">
            <v>0</v>
          </cell>
          <cell r="V187">
            <v>0</v>
          </cell>
          <cell r="W187">
            <v>5343083</v>
          </cell>
          <cell r="X187">
            <v>5</v>
          </cell>
          <cell r="Z187">
            <v>16</v>
          </cell>
          <cell r="AB187">
            <v>21</v>
          </cell>
          <cell r="AC187">
            <v>1272162.6190476192</v>
          </cell>
          <cell r="AD187">
            <v>4070920.3809523811</v>
          </cell>
          <cell r="AE187">
            <v>5343083</v>
          </cell>
          <cell r="AF187">
            <v>0</v>
          </cell>
          <cell r="AG187">
            <v>5343083</v>
          </cell>
          <cell r="AH187" t="b">
            <v>1</v>
          </cell>
          <cell r="AK187">
            <v>5343083</v>
          </cell>
          <cell r="AL187" t="str">
            <v>TK</v>
          </cell>
          <cell r="AM187">
            <v>5343083</v>
          </cell>
          <cell r="AN187">
            <v>34354.584590750004</v>
          </cell>
          <cell r="AQ187">
            <v>0</v>
          </cell>
          <cell r="AR187">
            <v>38000</v>
          </cell>
          <cell r="AS187">
            <v>31700</v>
          </cell>
          <cell r="AV187">
            <v>53430.83</v>
          </cell>
          <cell r="AW187">
            <v>106861.66</v>
          </cell>
          <cell r="AX187">
            <v>53430.83</v>
          </cell>
          <cell r="AY187">
            <v>317778</v>
          </cell>
          <cell r="AZ187">
            <v>5025305</v>
          </cell>
          <cell r="BA187">
            <v>34354.584590750004</v>
          </cell>
          <cell r="BB187">
            <v>283423</v>
          </cell>
          <cell r="BC187">
            <v>5059660</v>
          </cell>
        </row>
        <row r="188">
          <cell r="F188" t="str">
            <v>080920-010</v>
          </cell>
          <cell r="G188" t="str">
            <v>Pembaharuan</v>
          </cell>
          <cell r="H188" t="str">
            <v>Pelaksana</v>
          </cell>
          <cell r="I188" t="str">
            <v>Assembly</v>
          </cell>
          <cell r="J188">
            <v>44082</v>
          </cell>
          <cell r="K188" t="b">
            <v>1</v>
          </cell>
          <cell r="L188">
            <v>44082</v>
          </cell>
          <cell r="M188">
            <v>0</v>
          </cell>
          <cell r="N188">
            <v>8</v>
          </cell>
          <cell r="O188">
            <v>16</v>
          </cell>
          <cell r="Q188">
            <v>5343082</v>
          </cell>
          <cell r="R188">
            <v>4924046</v>
          </cell>
          <cell r="S188">
            <v>5343083</v>
          </cell>
          <cell r="T188">
            <v>0</v>
          </cell>
          <cell r="U188">
            <v>0</v>
          </cell>
          <cell r="V188">
            <v>0</v>
          </cell>
          <cell r="W188">
            <v>5343083</v>
          </cell>
          <cell r="X188">
            <v>5</v>
          </cell>
          <cell r="Z188">
            <v>16</v>
          </cell>
          <cell r="AB188">
            <v>21</v>
          </cell>
          <cell r="AC188">
            <v>1272162.6190476192</v>
          </cell>
          <cell r="AD188">
            <v>4070920.3809523811</v>
          </cell>
          <cell r="AE188">
            <v>5343083</v>
          </cell>
          <cell r="AF188">
            <v>0</v>
          </cell>
          <cell r="AG188">
            <v>5343083</v>
          </cell>
          <cell r="AH188" t="b">
            <v>1</v>
          </cell>
          <cell r="AK188">
            <v>5343083</v>
          </cell>
          <cell r="AL188" t="str">
            <v>K1</v>
          </cell>
          <cell r="AM188">
            <v>5343083</v>
          </cell>
          <cell r="AN188">
            <v>0</v>
          </cell>
          <cell r="AQ188">
            <v>0</v>
          </cell>
          <cell r="AR188">
            <v>38000</v>
          </cell>
          <cell r="AS188">
            <v>31700</v>
          </cell>
          <cell r="AU188">
            <v>10000</v>
          </cell>
          <cell r="AV188">
            <v>53430.83</v>
          </cell>
          <cell r="AW188">
            <v>106861.66</v>
          </cell>
          <cell r="AX188">
            <v>53430.83</v>
          </cell>
          <cell r="AY188">
            <v>293423</v>
          </cell>
          <cell r="AZ188">
            <v>5049660</v>
          </cell>
          <cell r="BA188">
            <v>0</v>
          </cell>
          <cell r="BB188">
            <v>293423</v>
          </cell>
          <cell r="BC188">
            <v>5049660</v>
          </cell>
        </row>
        <row r="189">
          <cell r="F189" t="str">
            <v>080920-011</v>
          </cell>
          <cell r="G189" t="str">
            <v>Pembaharuan</v>
          </cell>
          <cell r="H189" t="str">
            <v>Pelaksana</v>
          </cell>
          <cell r="I189" t="str">
            <v>Assembly</v>
          </cell>
          <cell r="J189">
            <v>44082</v>
          </cell>
          <cell r="K189" t="b">
            <v>1</v>
          </cell>
          <cell r="L189">
            <v>44082</v>
          </cell>
          <cell r="M189">
            <v>0</v>
          </cell>
          <cell r="N189">
            <v>8</v>
          </cell>
          <cell r="O189">
            <v>16</v>
          </cell>
          <cell r="Q189">
            <v>5343082</v>
          </cell>
          <cell r="R189">
            <v>4924046</v>
          </cell>
          <cell r="S189">
            <v>5343083</v>
          </cell>
          <cell r="T189">
            <v>0</v>
          </cell>
          <cell r="U189">
            <v>0</v>
          </cell>
          <cell r="V189">
            <v>0</v>
          </cell>
          <cell r="W189">
            <v>5343083</v>
          </cell>
          <cell r="X189">
            <v>5</v>
          </cell>
          <cell r="Z189">
            <v>16</v>
          </cell>
          <cell r="AB189">
            <v>21</v>
          </cell>
          <cell r="AC189">
            <v>1272162.6190476192</v>
          </cell>
          <cell r="AD189">
            <v>4070920.3809523811</v>
          </cell>
          <cell r="AE189">
            <v>5343083</v>
          </cell>
          <cell r="AF189">
            <v>0</v>
          </cell>
          <cell r="AG189">
            <v>5343083</v>
          </cell>
          <cell r="AH189" t="b">
            <v>1</v>
          </cell>
          <cell r="AK189">
            <v>5343083</v>
          </cell>
          <cell r="AL189" t="str">
            <v>TK</v>
          </cell>
          <cell r="AM189">
            <v>5343083</v>
          </cell>
          <cell r="AN189">
            <v>34354.584590750004</v>
          </cell>
          <cell r="AQ189">
            <v>0</v>
          </cell>
          <cell r="AR189">
            <v>38000</v>
          </cell>
          <cell r="AS189">
            <v>31700</v>
          </cell>
          <cell r="AU189">
            <v>10000</v>
          </cell>
          <cell r="AV189">
            <v>53430.83</v>
          </cell>
          <cell r="AW189">
            <v>106861.66</v>
          </cell>
          <cell r="AX189">
            <v>53430.83</v>
          </cell>
          <cell r="AY189">
            <v>327778</v>
          </cell>
          <cell r="AZ189">
            <v>5015305</v>
          </cell>
          <cell r="BA189">
            <v>34354.584590750004</v>
          </cell>
          <cell r="BB189">
            <v>293423</v>
          </cell>
          <cell r="BC189">
            <v>5049660</v>
          </cell>
        </row>
        <row r="190">
          <cell r="F190" t="str">
            <v>080920-006</v>
          </cell>
          <cell r="G190" t="str">
            <v>Pembaharuan</v>
          </cell>
          <cell r="H190" t="str">
            <v>Pelaksana</v>
          </cell>
          <cell r="I190" t="str">
            <v>Assembly</v>
          </cell>
          <cell r="J190">
            <v>44082</v>
          </cell>
          <cell r="K190" t="b">
            <v>1</v>
          </cell>
          <cell r="L190">
            <v>44082</v>
          </cell>
          <cell r="M190">
            <v>0</v>
          </cell>
          <cell r="N190">
            <v>8</v>
          </cell>
          <cell r="O190">
            <v>16</v>
          </cell>
          <cell r="Q190">
            <v>5343082</v>
          </cell>
          <cell r="R190">
            <v>4924046</v>
          </cell>
          <cell r="S190">
            <v>5343083</v>
          </cell>
          <cell r="T190">
            <v>0</v>
          </cell>
          <cell r="U190">
            <v>0</v>
          </cell>
          <cell r="V190">
            <v>0</v>
          </cell>
          <cell r="W190">
            <v>5343083</v>
          </cell>
          <cell r="X190">
            <v>5</v>
          </cell>
          <cell r="Z190">
            <v>16</v>
          </cell>
          <cell r="AB190">
            <v>21</v>
          </cell>
          <cell r="AC190">
            <v>1272162.6190476192</v>
          </cell>
          <cell r="AD190">
            <v>4070920.3809523811</v>
          </cell>
          <cell r="AE190">
            <v>5343083</v>
          </cell>
          <cell r="AF190">
            <v>0</v>
          </cell>
          <cell r="AG190">
            <v>5343083</v>
          </cell>
          <cell r="AH190" t="b">
            <v>1</v>
          </cell>
          <cell r="AK190">
            <v>5343083</v>
          </cell>
          <cell r="AL190" t="str">
            <v>K0</v>
          </cell>
          <cell r="AM190">
            <v>5343083</v>
          </cell>
          <cell r="AN190">
            <v>15604.584590750002</v>
          </cell>
          <cell r="AQ190">
            <v>0</v>
          </cell>
          <cell r="AR190">
            <v>38000</v>
          </cell>
          <cell r="AS190">
            <v>31700</v>
          </cell>
          <cell r="AU190">
            <v>10000</v>
          </cell>
          <cell r="AV190">
            <v>53430.83</v>
          </cell>
          <cell r="AW190">
            <v>106861.66</v>
          </cell>
          <cell r="AX190">
            <v>53430.83</v>
          </cell>
          <cell r="AY190">
            <v>309028</v>
          </cell>
          <cell r="AZ190">
            <v>5034055</v>
          </cell>
          <cell r="BA190">
            <v>15604.584590750002</v>
          </cell>
          <cell r="BB190">
            <v>293423</v>
          </cell>
          <cell r="BC190">
            <v>5049660</v>
          </cell>
        </row>
        <row r="191">
          <cell r="F191" t="str">
            <v>080920-005</v>
          </cell>
          <cell r="G191" t="str">
            <v>Pembaharuan</v>
          </cell>
          <cell r="H191" t="str">
            <v>Pelaksana</v>
          </cell>
          <cell r="I191" t="str">
            <v>Assembly</v>
          </cell>
          <cell r="J191">
            <v>44082</v>
          </cell>
          <cell r="K191" t="b">
            <v>1</v>
          </cell>
          <cell r="L191">
            <v>44082</v>
          </cell>
          <cell r="M191">
            <v>0</v>
          </cell>
          <cell r="N191">
            <v>8</v>
          </cell>
          <cell r="O191">
            <v>16</v>
          </cell>
          <cell r="Q191">
            <v>5343082</v>
          </cell>
          <cell r="R191">
            <v>4924046</v>
          </cell>
          <cell r="S191">
            <v>5343083</v>
          </cell>
          <cell r="T191">
            <v>0</v>
          </cell>
          <cell r="U191">
            <v>0</v>
          </cell>
          <cell r="V191">
            <v>0</v>
          </cell>
          <cell r="W191">
            <v>5343083</v>
          </cell>
          <cell r="X191">
            <v>5</v>
          </cell>
          <cell r="Z191">
            <v>16</v>
          </cell>
          <cell r="AB191">
            <v>21</v>
          </cell>
          <cell r="AC191">
            <v>1272162.6190476192</v>
          </cell>
          <cell r="AD191">
            <v>4070920.3809523811</v>
          </cell>
          <cell r="AE191">
            <v>5343083</v>
          </cell>
          <cell r="AF191">
            <v>0</v>
          </cell>
          <cell r="AG191">
            <v>5343083</v>
          </cell>
          <cell r="AH191" t="b">
            <v>1</v>
          </cell>
          <cell r="AK191">
            <v>5343083</v>
          </cell>
          <cell r="AL191" t="str">
            <v>K2</v>
          </cell>
          <cell r="AM191">
            <v>5343083</v>
          </cell>
          <cell r="AN191">
            <v>0</v>
          </cell>
          <cell r="AQ191">
            <v>0</v>
          </cell>
          <cell r="AR191">
            <v>38000</v>
          </cell>
          <cell r="AS191">
            <v>31700</v>
          </cell>
          <cell r="AV191">
            <v>53430.83</v>
          </cell>
          <cell r="AW191">
            <v>106861.66</v>
          </cell>
          <cell r="AX191">
            <v>53430.83</v>
          </cell>
          <cell r="AY191">
            <v>283423</v>
          </cell>
          <cell r="AZ191">
            <v>5059660</v>
          </cell>
          <cell r="BA191">
            <v>0</v>
          </cell>
          <cell r="BB191">
            <v>283423</v>
          </cell>
          <cell r="BC191">
            <v>5059660</v>
          </cell>
        </row>
        <row r="192">
          <cell r="F192" t="str">
            <v>080920-001</v>
          </cell>
          <cell r="G192" t="str">
            <v>Pembaharuan</v>
          </cell>
          <cell r="H192" t="str">
            <v>Pelaksana</v>
          </cell>
          <cell r="I192" t="str">
            <v>Assembly</v>
          </cell>
          <cell r="J192">
            <v>44082</v>
          </cell>
          <cell r="K192" t="b">
            <v>1</v>
          </cell>
          <cell r="L192">
            <v>44082</v>
          </cell>
          <cell r="M192">
            <v>0</v>
          </cell>
          <cell r="N192">
            <v>8</v>
          </cell>
          <cell r="O192">
            <v>16</v>
          </cell>
          <cell r="Q192">
            <v>5343082</v>
          </cell>
          <cell r="R192">
            <v>4924046</v>
          </cell>
          <cell r="S192">
            <v>5343083</v>
          </cell>
          <cell r="T192">
            <v>0</v>
          </cell>
          <cell r="U192">
            <v>0</v>
          </cell>
          <cell r="V192">
            <v>0</v>
          </cell>
          <cell r="W192">
            <v>5343083</v>
          </cell>
          <cell r="X192">
            <v>5</v>
          </cell>
          <cell r="Z192">
            <v>16</v>
          </cell>
          <cell r="AB192">
            <v>21</v>
          </cell>
          <cell r="AC192">
            <v>1272162.6190476192</v>
          </cell>
          <cell r="AD192">
            <v>4070920.3809523811</v>
          </cell>
          <cell r="AE192">
            <v>5343083</v>
          </cell>
          <cell r="AF192">
            <v>0</v>
          </cell>
          <cell r="AG192">
            <v>5343083</v>
          </cell>
          <cell r="AH192" t="b">
            <v>1</v>
          </cell>
          <cell r="AK192">
            <v>5343083</v>
          </cell>
          <cell r="AL192" t="str">
            <v>K1</v>
          </cell>
          <cell r="AM192">
            <v>5343083</v>
          </cell>
          <cell r="AN192">
            <v>0</v>
          </cell>
          <cell r="AQ192">
            <v>0</v>
          </cell>
          <cell r="AR192">
            <v>38000</v>
          </cell>
          <cell r="AS192">
            <v>31700</v>
          </cell>
          <cell r="AU192">
            <v>10000</v>
          </cell>
          <cell r="AV192">
            <v>53430.83</v>
          </cell>
          <cell r="AW192">
            <v>106861.66</v>
          </cell>
          <cell r="AX192">
            <v>53430.83</v>
          </cell>
          <cell r="AY192">
            <v>293423</v>
          </cell>
          <cell r="AZ192">
            <v>5049660</v>
          </cell>
          <cell r="BA192">
            <v>0</v>
          </cell>
          <cell r="BB192">
            <v>293423</v>
          </cell>
          <cell r="BC192">
            <v>5049660</v>
          </cell>
        </row>
        <row r="193">
          <cell r="F193" t="str">
            <v>251017-006</v>
          </cell>
          <cell r="G193" t="str">
            <v>Pembaharuan</v>
          </cell>
          <cell r="H193" t="str">
            <v>Pelaksana</v>
          </cell>
          <cell r="I193" t="str">
            <v>Assembly</v>
          </cell>
          <cell r="J193">
            <v>43033</v>
          </cell>
          <cell r="K193" t="b">
            <v>1</v>
          </cell>
          <cell r="L193">
            <v>43033</v>
          </cell>
          <cell r="M193">
            <v>3</v>
          </cell>
          <cell r="N193">
            <v>6</v>
          </cell>
          <cell r="O193">
            <v>29</v>
          </cell>
          <cell r="Q193">
            <v>5343082</v>
          </cell>
          <cell r="R193">
            <v>4924046</v>
          </cell>
          <cell r="S193">
            <v>5343083</v>
          </cell>
          <cell r="T193">
            <v>0</v>
          </cell>
          <cell r="U193">
            <v>0</v>
          </cell>
          <cell r="V193">
            <v>0</v>
          </cell>
          <cell r="W193">
            <v>5343083</v>
          </cell>
          <cell r="X193">
            <v>5</v>
          </cell>
          <cell r="Z193">
            <v>16</v>
          </cell>
          <cell r="AB193">
            <v>21</v>
          </cell>
          <cell r="AC193">
            <v>1272162.6190476192</v>
          </cell>
          <cell r="AD193">
            <v>4070920.3809523811</v>
          </cell>
          <cell r="AE193">
            <v>5343083</v>
          </cell>
          <cell r="AF193">
            <v>0</v>
          </cell>
          <cell r="AG193">
            <v>5343083</v>
          </cell>
          <cell r="AH193" t="b">
            <v>1</v>
          </cell>
          <cell r="AK193">
            <v>5343083</v>
          </cell>
          <cell r="AL193" t="str">
            <v>TK</v>
          </cell>
          <cell r="AM193">
            <v>5343083</v>
          </cell>
          <cell r="AN193">
            <v>34354.584590750004</v>
          </cell>
          <cell r="AQ193">
            <v>0</v>
          </cell>
          <cell r="AR193">
            <v>38000</v>
          </cell>
          <cell r="AS193">
            <v>31700</v>
          </cell>
          <cell r="AV193">
            <v>53430.83</v>
          </cell>
          <cell r="AW193">
            <v>106861.66</v>
          </cell>
          <cell r="AX193">
            <v>53430.83</v>
          </cell>
          <cell r="AY193">
            <v>317778</v>
          </cell>
          <cell r="AZ193">
            <v>5025305</v>
          </cell>
          <cell r="BA193">
            <v>34354.584590750004</v>
          </cell>
          <cell r="BB193">
            <v>283423</v>
          </cell>
          <cell r="BC193">
            <v>5059660</v>
          </cell>
        </row>
        <row r="194">
          <cell r="F194" t="str">
            <v>251017-009</v>
          </cell>
          <cell r="G194" t="str">
            <v>Pembaharuan</v>
          </cell>
          <cell r="H194" t="str">
            <v>Pelaksana</v>
          </cell>
          <cell r="I194" t="str">
            <v>Assembly</v>
          </cell>
          <cell r="J194">
            <v>43033</v>
          </cell>
          <cell r="K194" t="b">
            <v>1</v>
          </cell>
          <cell r="L194">
            <v>43033</v>
          </cell>
          <cell r="M194">
            <v>3</v>
          </cell>
          <cell r="N194">
            <v>6</v>
          </cell>
          <cell r="O194">
            <v>29</v>
          </cell>
          <cell r="Q194">
            <v>5343082</v>
          </cell>
          <cell r="R194">
            <v>4924046</v>
          </cell>
          <cell r="S194">
            <v>5343083</v>
          </cell>
          <cell r="T194">
            <v>0</v>
          </cell>
          <cell r="U194">
            <v>0</v>
          </cell>
          <cell r="V194">
            <v>0</v>
          </cell>
          <cell r="W194">
            <v>5343083</v>
          </cell>
          <cell r="X194">
            <v>5</v>
          </cell>
          <cell r="Z194">
            <v>16</v>
          </cell>
          <cell r="AB194">
            <v>21</v>
          </cell>
          <cell r="AC194">
            <v>1272162.6190476192</v>
          </cell>
          <cell r="AD194">
            <v>4070920.3809523811</v>
          </cell>
          <cell r="AE194">
            <v>5343083</v>
          </cell>
          <cell r="AF194">
            <v>0</v>
          </cell>
          <cell r="AG194">
            <v>5343083</v>
          </cell>
          <cell r="AH194" t="b">
            <v>1</v>
          </cell>
          <cell r="AK194">
            <v>5343083</v>
          </cell>
          <cell r="AL194" t="str">
            <v>K1</v>
          </cell>
          <cell r="AM194">
            <v>5343083</v>
          </cell>
          <cell r="AN194">
            <v>0</v>
          </cell>
          <cell r="AQ194">
            <v>0</v>
          </cell>
          <cell r="AR194">
            <v>38000</v>
          </cell>
          <cell r="AS194">
            <v>31700</v>
          </cell>
          <cell r="AV194">
            <v>53430.83</v>
          </cell>
          <cell r="AW194">
            <v>106861.66</v>
          </cell>
          <cell r="AX194">
            <v>53430.83</v>
          </cell>
          <cell r="AY194">
            <v>283423</v>
          </cell>
          <cell r="AZ194">
            <v>5059660</v>
          </cell>
          <cell r="BA194">
            <v>0</v>
          </cell>
          <cell r="BB194">
            <v>283423</v>
          </cell>
          <cell r="BC194">
            <v>5059660</v>
          </cell>
        </row>
        <row r="195">
          <cell r="F195" t="str">
            <v>071220-008</v>
          </cell>
          <cell r="G195" t="str">
            <v>Pembaharuan</v>
          </cell>
          <cell r="H195" t="str">
            <v>Pelaksana</v>
          </cell>
          <cell r="I195" t="str">
            <v>Assembly</v>
          </cell>
          <cell r="J195" t="str">
            <v>07 Desember 2020</v>
          </cell>
          <cell r="K195" t="b">
            <v>0</v>
          </cell>
          <cell r="L195">
            <v>44172</v>
          </cell>
          <cell r="M195">
            <v>0</v>
          </cell>
          <cell r="N195">
            <v>5</v>
          </cell>
          <cell r="O195">
            <v>17</v>
          </cell>
          <cell r="Q195">
            <v>5343082</v>
          </cell>
          <cell r="R195">
            <v>4924046</v>
          </cell>
          <cell r="S195">
            <v>5343083</v>
          </cell>
          <cell r="T195">
            <v>0</v>
          </cell>
          <cell r="U195">
            <v>0</v>
          </cell>
          <cell r="V195">
            <v>0</v>
          </cell>
          <cell r="W195">
            <v>5343083</v>
          </cell>
          <cell r="X195">
            <v>5</v>
          </cell>
          <cell r="Z195">
            <v>16</v>
          </cell>
          <cell r="AB195">
            <v>21</v>
          </cell>
          <cell r="AC195">
            <v>1272162.6190476192</v>
          </cell>
          <cell r="AD195">
            <v>4070920.3809523811</v>
          </cell>
          <cell r="AE195">
            <v>5343083</v>
          </cell>
          <cell r="AF195">
            <v>0</v>
          </cell>
          <cell r="AG195">
            <v>5343083</v>
          </cell>
          <cell r="AH195" t="b">
            <v>1</v>
          </cell>
          <cell r="AK195">
            <v>5343083</v>
          </cell>
          <cell r="AL195" t="str">
            <v>K1</v>
          </cell>
          <cell r="AM195">
            <v>5343083</v>
          </cell>
          <cell r="AN195">
            <v>0</v>
          </cell>
          <cell r="AQ195">
            <v>0</v>
          </cell>
          <cell r="AR195">
            <v>38000</v>
          </cell>
          <cell r="AS195">
            <v>31700</v>
          </cell>
          <cell r="AU195">
            <v>10000</v>
          </cell>
          <cell r="AV195">
            <v>53430.83</v>
          </cell>
          <cell r="AW195">
            <v>106861.66</v>
          </cell>
          <cell r="AX195">
            <v>53430.83</v>
          </cell>
          <cell r="AY195">
            <v>293423</v>
          </cell>
          <cell r="AZ195">
            <v>5049660</v>
          </cell>
          <cell r="BA195">
            <v>0</v>
          </cell>
          <cell r="BB195">
            <v>293423</v>
          </cell>
          <cell r="BC195">
            <v>5049660</v>
          </cell>
        </row>
        <row r="196">
          <cell r="F196" t="str">
            <v>071220-009</v>
          </cell>
          <cell r="G196" t="str">
            <v>Pembaharuan</v>
          </cell>
          <cell r="H196" t="str">
            <v>Pelaksana</v>
          </cell>
          <cell r="I196" t="str">
            <v>Assembly</v>
          </cell>
          <cell r="J196" t="str">
            <v>07 Desember 2020</v>
          </cell>
          <cell r="K196" t="b">
            <v>0</v>
          </cell>
          <cell r="L196">
            <v>44172</v>
          </cell>
          <cell r="M196">
            <v>0</v>
          </cell>
          <cell r="N196">
            <v>5</v>
          </cell>
          <cell r="O196">
            <v>17</v>
          </cell>
          <cell r="Q196">
            <v>5343082</v>
          </cell>
          <cell r="R196">
            <v>4924046</v>
          </cell>
          <cell r="S196">
            <v>5343083</v>
          </cell>
          <cell r="T196">
            <v>0</v>
          </cell>
          <cell r="U196">
            <v>0</v>
          </cell>
          <cell r="V196">
            <v>0</v>
          </cell>
          <cell r="W196">
            <v>5343083</v>
          </cell>
          <cell r="X196">
            <v>5</v>
          </cell>
          <cell r="Z196">
            <v>16</v>
          </cell>
          <cell r="AB196">
            <v>21</v>
          </cell>
          <cell r="AC196">
            <v>1272162.6190476192</v>
          </cell>
          <cell r="AD196">
            <v>4070920.3809523811</v>
          </cell>
          <cell r="AE196">
            <v>5343083</v>
          </cell>
          <cell r="AF196">
            <v>0</v>
          </cell>
          <cell r="AG196">
            <v>5343083</v>
          </cell>
          <cell r="AH196" t="b">
            <v>1</v>
          </cell>
          <cell r="AK196">
            <v>5343083</v>
          </cell>
          <cell r="AL196" t="str">
            <v>TK</v>
          </cell>
          <cell r="AM196">
            <v>5343083</v>
          </cell>
          <cell r="AN196">
            <v>34354.584590750004</v>
          </cell>
          <cell r="AQ196">
            <v>0</v>
          </cell>
          <cell r="AR196">
            <v>38000</v>
          </cell>
          <cell r="AS196">
            <v>31700</v>
          </cell>
          <cell r="AU196">
            <v>10000</v>
          </cell>
          <cell r="AV196">
            <v>53430.83</v>
          </cell>
          <cell r="AW196">
            <v>106861.66</v>
          </cell>
          <cell r="AX196">
            <v>53430.83</v>
          </cell>
          <cell r="AY196">
            <v>327778</v>
          </cell>
          <cell r="AZ196">
            <v>5015305</v>
          </cell>
          <cell r="BA196">
            <v>34354.584590750004</v>
          </cell>
          <cell r="BB196">
            <v>293423</v>
          </cell>
          <cell r="BC196">
            <v>5049660</v>
          </cell>
        </row>
        <row r="197">
          <cell r="F197" t="str">
            <v>071220-007</v>
          </cell>
          <cell r="G197" t="str">
            <v>Pembaharuan</v>
          </cell>
          <cell r="H197" t="str">
            <v>Pelaksana</v>
          </cell>
          <cell r="I197" t="str">
            <v>Assembly</v>
          </cell>
          <cell r="J197" t="str">
            <v>07 Desember 2020</v>
          </cell>
          <cell r="K197" t="b">
            <v>0</v>
          </cell>
          <cell r="L197">
            <v>44172</v>
          </cell>
          <cell r="M197">
            <v>0</v>
          </cell>
          <cell r="N197">
            <v>5</v>
          </cell>
          <cell r="O197">
            <v>17</v>
          </cell>
          <cell r="Q197">
            <v>5343082</v>
          </cell>
          <cell r="R197">
            <v>4924046</v>
          </cell>
          <cell r="S197">
            <v>5343083</v>
          </cell>
          <cell r="T197">
            <v>0</v>
          </cell>
          <cell r="U197">
            <v>0</v>
          </cell>
          <cell r="V197">
            <v>0</v>
          </cell>
          <cell r="W197">
            <v>5343083</v>
          </cell>
          <cell r="X197">
            <v>5</v>
          </cell>
          <cell r="Z197">
            <v>16</v>
          </cell>
          <cell r="AB197">
            <v>21</v>
          </cell>
          <cell r="AC197">
            <v>1272162.6190476192</v>
          </cell>
          <cell r="AD197">
            <v>4070920.3809523811</v>
          </cell>
          <cell r="AE197">
            <v>5343083</v>
          </cell>
          <cell r="AF197">
            <v>0</v>
          </cell>
          <cell r="AG197">
            <v>5343083</v>
          </cell>
          <cell r="AH197" t="b">
            <v>1</v>
          </cell>
          <cell r="AK197">
            <v>5343083</v>
          </cell>
          <cell r="AL197" t="str">
            <v>K0</v>
          </cell>
          <cell r="AM197">
            <v>5343083</v>
          </cell>
          <cell r="AN197">
            <v>15604.584590750002</v>
          </cell>
          <cell r="AQ197">
            <v>0</v>
          </cell>
          <cell r="AR197">
            <v>38000</v>
          </cell>
          <cell r="AS197">
            <v>31700</v>
          </cell>
          <cell r="AV197">
            <v>53430.83</v>
          </cell>
          <cell r="AW197">
            <v>106861.66</v>
          </cell>
          <cell r="AX197">
            <v>53430.83</v>
          </cell>
          <cell r="AY197">
            <v>299028</v>
          </cell>
          <cell r="AZ197">
            <v>5044055</v>
          </cell>
          <cell r="BA197">
            <v>15604.584590750002</v>
          </cell>
          <cell r="BB197">
            <v>283423</v>
          </cell>
          <cell r="BC197">
            <v>5059660</v>
          </cell>
        </row>
        <row r="198">
          <cell r="F198" t="str">
            <v>071220-010</v>
          </cell>
          <cell r="G198" t="str">
            <v>Pembaharuan</v>
          </cell>
          <cell r="H198" t="str">
            <v>Pelaksana</v>
          </cell>
          <cell r="I198" t="str">
            <v>Assembly</v>
          </cell>
          <cell r="J198" t="str">
            <v>07 Desember 2020</v>
          </cell>
          <cell r="K198" t="b">
            <v>0</v>
          </cell>
          <cell r="L198">
            <v>44172</v>
          </cell>
          <cell r="M198">
            <v>0</v>
          </cell>
          <cell r="N198">
            <v>5</v>
          </cell>
          <cell r="O198">
            <v>17</v>
          </cell>
          <cell r="Q198">
            <v>5343082</v>
          </cell>
          <cell r="R198">
            <v>4924046</v>
          </cell>
          <cell r="S198">
            <v>5343083</v>
          </cell>
          <cell r="T198">
            <v>0</v>
          </cell>
          <cell r="U198">
            <v>0</v>
          </cell>
          <cell r="V198">
            <v>0</v>
          </cell>
          <cell r="W198">
            <v>5343083</v>
          </cell>
          <cell r="X198">
            <v>5</v>
          </cell>
          <cell r="Z198">
            <v>16</v>
          </cell>
          <cell r="AB198">
            <v>21</v>
          </cell>
          <cell r="AC198">
            <v>1272162.6190476192</v>
          </cell>
          <cell r="AD198">
            <v>4070920.3809523811</v>
          </cell>
          <cell r="AE198">
            <v>5343083</v>
          </cell>
          <cell r="AF198">
            <v>0</v>
          </cell>
          <cell r="AG198">
            <v>5343083</v>
          </cell>
          <cell r="AH198" t="b">
            <v>1</v>
          </cell>
          <cell r="AK198">
            <v>5343083</v>
          </cell>
          <cell r="AL198" t="str">
            <v>K1</v>
          </cell>
          <cell r="AM198">
            <v>5343083</v>
          </cell>
          <cell r="AN198">
            <v>0</v>
          </cell>
          <cell r="AQ198">
            <v>0</v>
          </cell>
          <cell r="AR198">
            <v>38000</v>
          </cell>
          <cell r="AS198">
            <v>31700</v>
          </cell>
          <cell r="AV198">
            <v>53430.83</v>
          </cell>
          <cell r="AW198">
            <v>106861.66</v>
          </cell>
          <cell r="AX198">
            <v>53430.83</v>
          </cell>
          <cell r="AY198">
            <v>283423</v>
          </cell>
          <cell r="AZ198">
            <v>5059660</v>
          </cell>
          <cell r="BA198">
            <v>0</v>
          </cell>
          <cell r="BB198">
            <v>283423</v>
          </cell>
          <cell r="BC198">
            <v>5059660</v>
          </cell>
        </row>
        <row r="199">
          <cell r="F199" t="str">
            <v>061020-001</v>
          </cell>
          <cell r="G199" t="str">
            <v>Pembaharuan</v>
          </cell>
          <cell r="H199" t="str">
            <v>Pelaksana</v>
          </cell>
          <cell r="I199" t="str">
            <v>Assembly</v>
          </cell>
          <cell r="J199" t="str">
            <v>06 Oktober 2020</v>
          </cell>
          <cell r="K199" t="b">
            <v>0</v>
          </cell>
          <cell r="L199">
            <v>44110</v>
          </cell>
          <cell r="M199">
            <v>0</v>
          </cell>
          <cell r="N199">
            <v>7</v>
          </cell>
          <cell r="O199">
            <v>18</v>
          </cell>
          <cell r="Q199">
            <v>5343082</v>
          </cell>
          <cell r="R199">
            <v>4924046</v>
          </cell>
          <cell r="S199">
            <v>5343083</v>
          </cell>
          <cell r="T199">
            <v>0</v>
          </cell>
          <cell r="U199">
            <v>0</v>
          </cell>
          <cell r="V199">
            <v>0</v>
          </cell>
          <cell r="W199">
            <v>5343083</v>
          </cell>
          <cell r="X199">
            <v>5</v>
          </cell>
          <cell r="Z199">
            <v>16</v>
          </cell>
          <cell r="AB199">
            <v>21</v>
          </cell>
          <cell r="AC199">
            <v>1272162.6190476192</v>
          </cell>
          <cell r="AD199">
            <v>4070920.3809523811</v>
          </cell>
          <cell r="AE199">
            <v>5343083</v>
          </cell>
          <cell r="AF199">
            <v>0</v>
          </cell>
          <cell r="AG199">
            <v>5343083</v>
          </cell>
          <cell r="AH199" t="b">
            <v>1</v>
          </cell>
          <cell r="AK199">
            <v>5343083</v>
          </cell>
          <cell r="AL199" t="str">
            <v>TK</v>
          </cell>
          <cell r="AM199">
            <v>5343083</v>
          </cell>
          <cell r="AN199">
            <v>34354.584590750004</v>
          </cell>
          <cell r="AQ199">
            <v>0</v>
          </cell>
          <cell r="AR199">
            <v>38000</v>
          </cell>
          <cell r="AS199">
            <v>31700</v>
          </cell>
          <cell r="AU199">
            <v>10000</v>
          </cell>
          <cell r="AV199">
            <v>53430.83</v>
          </cell>
          <cell r="AW199">
            <v>106861.66</v>
          </cell>
          <cell r="AX199">
            <v>53430.83</v>
          </cell>
          <cell r="AY199">
            <v>327778</v>
          </cell>
          <cell r="AZ199">
            <v>5015305</v>
          </cell>
          <cell r="BA199">
            <v>34354.584590750004</v>
          </cell>
          <cell r="BB199">
            <v>293423</v>
          </cell>
          <cell r="BC199">
            <v>5049660</v>
          </cell>
        </row>
        <row r="200">
          <cell r="F200" t="str">
            <v>071220-006</v>
          </cell>
          <cell r="G200" t="str">
            <v>Pembaharuan</v>
          </cell>
          <cell r="H200" t="str">
            <v>Pelaksana</v>
          </cell>
          <cell r="I200" t="str">
            <v>Assembly</v>
          </cell>
          <cell r="J200" t="str">
            <v>07 Desember 2020</v>
          </cell>
          <cell r="K200" t="b">
            <v>0</v>
          </cell>
          <cell r="L200">
            <v>44172</v>
          </cell>
          <cell r="M200">
            <v>0</v>
          </cell>
          <cell r="N200">
            <v>5</v>
          </cell>
          <cell r="O200">
            <v>17</v>
          </cell>
          <cell r="Q200">
            <v>5343082</v>
          </cell>
          <cell r="R200">
            <v>4924046</v>
          </cell>
          <cell r="S200">
            <v>5343083</v>
          </cell>
          <cell r="T200">
            <v>0</v>
          </cell>
          <cell r="U200">
            <v>0</v>
          </cell>
          <cell r="V200">
            <v>0</v>
          </cell>
          <cell r="W200">
            <v>5343083</v>
          </cell>
          <cell r="X200">
            <v>5</v>
          </cell>
          <cell r="Z200">
            <v>16</v>
          </cell>
          <cell r="AB200">
            <v>21</v>
          </cell>
          <cell r="AC200">
            <v>1272162.6190476192</v>
          </cell>
          <cell r="AD200">
            <v>4070920.3809523811</v>
          </cell>
          <cell r="AE200">
            <v>5343083</v>
          </cell>
          <cell r="AF200">
            <v>0</v>
          </cell>
          <cell r="AG200">
            <v>5343083</v>
          </cell>
          <cell r="AH200" t="b">
            <v>1</v>
          </cell>
          <cell r="AK200">
            <v>5343083</v>
          </cell>
          <cell r="AL200" t="str">
            <v>K1</v>
          </cell>
          <cell r="AM200">
            <v>5343083</v>
          </cell>
          <cell r="AN200">
            <v>0</v>
          </cell>
          <cell r="AQ200">
            <v>0</v>
          </cell>
          <cell r="AR200">
            <v>38000</v>
          </cell>
          <cell r="AS200">
            <v>31700</v>
          </cell>
          <cell r="AV200">
            <v>53430.83</v>
          </cell>
          <cell r="AW200">
            <v>106861.66</v>
          </cell>
          <cell r="AX200">
            <v>53430.83</v>
          </cell>
          <cell r="AY200">
            <v>283423</v>
          </cell>
          <cell r="AZ200">
            <v>5059660</v>
          </cell>
          <cell r="BA200">
            <v>0</v>
          </cell>
          <cell r="BB200">
            <v>283423</v>
          </cell>
          <cell r="BC200">
            <v>5059660</v>
          </cell>
        </row>
        <row r="201">
          <cell r="F201" t="str">
            <v>180121-004</v>
          </cell>
          <cell r="G201" t="str">
            <v>Pembaharuan</v>
          </cell>
          <cell r="H201" t="str">
            <v>Pelaksana</v>
          </cell>
          <cell r="I201" t="str">
            <v>Assembly</v>
          </cell>
          <cell r="J201" t="str">
            <v>18 Januari 2021</v>
          </cell>
          <cell r="K201" t="b">
            <v>0</v>
          </cell>
          <cell r="L201">
            <v>44214</v>
          </cell>
          <cell r="M201">
            <v>0</v>
          </cell>
          <cell r="N201">
            <v>4</v>
          </cell>
          <cell r="O201">
            <v>6</v>
          </cell>
          <cell r="Q201">
            <v>5343082</v>
          </cell>
          <cell r="R201">
            <v>4924046</v>
          </cell>
          <cell r="S201">
            <v>5343083</v>
          </cell>
          <cell r="T201">
            <v>0</v>
          </cell>
          <cell r="U201">
            <v>0</v>
          </cell>
          <cell r="V201">
            <v>0</v>
          </cell>
          <cell r="W201">
            <v>5343083</v>
          </cell>
          <cell r="X201">
            <v>5</v>
          </cell>
          <cell r="Z201">
            <v>16</v>
          </cell>
          <cell r="AB201">
            <v>21</v>
          </cell>
          <cell r="AC201">
            <v>1272162.6190476192</v>
          </cell>
          <cell r="AD201">
            <v>4070920.3809523811</v>
          </cell>
          <cell r="AE201">
            <v>5343083</v>
          </cell>
          <cell r="AF201">
            <v>0</v>
          </cell>
          <cell r="AG201">
            <v>5343083</v>
          </cell>
          <cell r="AH201" t="b">
            <v>1</v>
          </cell>
          <cell r="AK201">
            <v>5343083</v>
          </cell>
          <cell r="AL201" t="str">
            <v>K0</v>
          </cell>
          <cell r="AM201">
            <v>5343083</v>
          </cell>
          <cell r="AN201">
            <v>15604.584590750002</v>
          </cell>
          <cell r="AQ201">
            <v>0</v>
          </cell>
          <cell r="AR201">
            <v>38000</v>
          </cell>
          <cell r="AS201">
            <v>31700</v>
          </cell>
          <cell r="AU201">
            <v>10000</v>
          </cell>
          <cell r="AV201">
            <v>53430.83</v>
          </cell>
          <cell r="AW201">
            <v>106861.66</v>
          </cell>
          <cell r="AX201">
            <v>53430.83</v>
          </cell>
          <cell r="AY201">
            <v>309028</v>
          </cell>
          <cell r="AZ201">
            <v>5034055</v>
          </cell>
          <cell r="BA201">
            <v>15604.584590750002</v>
          </cell>
          <cell r="BB201">
            <v>293423</v>
          </cell>
          <cell r="BC201">
            <v>5049660</v>
          </cell>
        </row>
        <row r="202">
          <cell r="F202" t="str">
            <v>180121-005</v>
          </cell>
          <cell r="G202" t="str">
            <v>Pembaharuan</v>
          </cell>
          <cell r="H202" t="str">
            <v>Pelaksana</v>
          </cell>
          <cell r="I202" t="str">
            <v>Assembly</v>
          </cell>
          <cell r="J202" t="str">
            <v>18 Januari 2021</v>
          </cell>
          <cell r="K202" t="b">
            <v>0</v>
          </cell>
          <cell r="L202">
            <v>44214</v>
          </cell>
          <cell r="M202">
            <v>0</v>
          </cell>
          <cell r="N202">
            <v>4</v>
          </cell>
          <cell r="O202">
            <v>6</v>
          </cell>
          <cell r="Q202">
            <v>5343082</v>
          </cell>
          <cell r="R202">
            <v>4924046</v>
          </cell>
          <cell r="S202">
            <v>5343083</v>
          </cell>
          <cell r="T202">
            <v>0</v>
          </cell>
          <cell r="U202">
            <v>0</v>
          </cell>
          <cell r="V202">
            <v>0</v>
          </cell>
          <cell r="W202">
            <v>5343083</v>
          </cell>
          <cell r="X202">
            <v>5</v>
          </cell>
          <cell r="Z202">
            <v>16</v>
          </cell>
          <cell r="AB202">
            <v>21</v>
          </cell>
          <cell r="AC202">
            <v>1272162.6190476192</v>
          </cell>
          <cell r="AD202">
            <v>4070920.3809523811</v>
          </cell>
          <cell r="AE202">
            <v>5343083</v>
          </cell>
          <cell r="AF202">
            <v>0</v>
          </cell>
          <cell r="AG202">
            <v>5343083</v>
          </cell>
          <cell r="AH202" t="b">
            <v>1</v>
          </cell>
          <cell r="AK202">
            <v>5343083</v>
          </cell>
          <cell r="AL202" t="str">
            <v>K1</v>
          </cell>
          <cell r="AM202">
            <v>5343083</v>
          </cell>
          <cell r="AN202">
            <v>0</v>
          </cell>
          <cell r="AQ202">
            <v>0</v>
          </cell>
          <cell r="AR202">
            <v>38000</v>
          </cell>
          <cell r="AS202">
            <v>31700</v>
          </cell>
          <cell r="AU202">
            <v>10000</v>
          </cell>
          <cell r="AV202">
            <v>53430.83</v>
          </cell>
          <cell r="AW202">
            <v>106861.66</v>
          </cell>
          <cell r="AX202">
            <v>53430.83</v>
          </cell>
          <cell r="AY202">
            <v>293423</v>
          </cell>
          <cell r="AZ202">
            <v>5049660</v>
          </cell>
          <cell r="BA202">
            <v>0</v>
          </cell>
          <cell r="BB202">
            <v>293423</v>
          </cell>
          <cell r="BC202">
            <v>5049660</v>
          </cell>
        </row>
        <row r="203">
          <cell r="F203" t="str">
            <v>180121-009</v>
          </cell>
          <cell r="G203" t="str">
            <v>Pembaharuan</v>
          </cell>
          <cell r="H203" t="str">
            <v>Pelaksana</v>
          </cell>
          <cell r="I203" t="str">
            <v>Assembly</v>
          </cell>
          <cell r="J203" t="str">
            <v>18 Januari 2021</v>
          </cell>
          <cell r="K203" t="b">
            <v>0</v>
          </cell>
          <cell r="L203">
            <v>44214</v>
          </cell>
          <cell r="M203">
            <v>0</v>
          </cell>
          <cell r="N203">
            <v>4</v>
          </cell>
          <cell r="O203">
            <v>6</v>
          </cell>
          <cell r="Q203">
            <v>5343082</v>
          </cell>
          <cell r="R203">
            <v>4924046</v>
          </cell>
          <cell r="S203">
            <v>5343083</v>
          </cell>
          <cell r="T203">
            <v>0</v>
          </cell>
          <cell r="U203">
            <v>0</v>
          </cell>
          <cell r="V203">
            <v>0</v>
          </cell>
          <cell r="W203">
            <v>5343083</v>
          </cell>
          <cell r="X203">
            <v>5</v>
          </cell>
          <cell r="Z203">
            <v>16</v>
          </cell>
          <cell r="AB203">
            <v>21</v>
          </cell>
          <cell r="AC203">
            <v>1272162.6190476192</v>
          </cell>
          <cell r="AD203">
            <v>4070920.3809523811</v>
          </cell>
          <cell r="AE203">
            <v>5343083</v>
          </cell>
          <cell r="AF203">
            <v>0</v>
          </cell>
          <cell r="AG203">
            <v>5343083</v>
          </cell>
          <cell r="AH203" t="b">
            <v>1</v>
          </cell>
          <cell r="AK203">
            <v>5343083</v>
          </cell>
          <cell r="AL203" t="str">
            <v>K1</v>
          </cell>
          <cell r="AM203">
            <v>5343083</v>
          </cell>
          <cell r="AN203">
            <v>0</v>
          </cell>
          <cell r="AQ203">
            <v>0</v>
          </cell>
          <cell r="AR203">
            <v>38000</v>
          </cell>
          <cell r="AS203">
            <v>31700</v>
          </cell>
          <cell r="AU203">
            <v>10000</v>
          </cell>
          <cell r="AV203">
            <v>53430.83</v>
          </cell>
          <cell r="AW203">
            <v>106861.66</v>
          </cell>
          <cell r="AX203">
            <v>53430.83</v>
          </cell>
          <cell r="AY203">
            <v>293423</v>
          </cell>
          <cell r="AZ203">
            <v>5049660</v>
          </cell>
          <cell r="BA203">
            <v>0</v>
          </cell>
          <cell r="BB203">
            <v>293423</v>
          </cell>
          <cell r="BC203">
            <v>5049660</v>
          </cell>
        </row>
        <row r="204">
          <cell r="F204" t="str">
            <v>170121-001</v>
          </cell>
          <cell r="G204" t="str">
            <v>Pembaharuan</v>
          </cell>
          <cell r="H204" t="str">
            <v>Pelaksana</v>
          </cell>
          <cell r="I204" t="str">
            <v>Assembly</v>
          </cell>
          <cell r="J204" t="str">
            <v>17 Januari 2021</v>
          </cell>
          <cell r="K204" t="b">
            <v>0</v>
          </cell>
          <cell r="L204">
            <v>44213</v>
          </cell>
          <cell r="M204">
            <v>0</v>
          </cell>
          <cell r="N204">
            <v>4</v>
          </cell>
          <cell r="O204">
            <v>7</v>
          </cell>
          <cell r="Q204">
            <v>5343082</v>
          </cell>
          <cell r="R204">
            <v>4924046</v>
          </cell>
          <cell r="S204">
            <v>5343083</v>
          </cell>
          <cell r="T204">
            <v>0</v>
          </cell>
          <cell r="U204">
            <v>0</v>
          </cell>
          <cell r="V204">
            <v>0</v>
          </cell>
          <cell r="W204">
            <v>5343083</v>
          </cell>
          <cell r="X204">
            <v>5</v>
          </cell>
          <cell r="Z204">
            <v>16</v>
          </cell>
          <cell r="AB204">
            <v>21</v>
          </cell>
          <cell r="AC204">
            <v>1272162.6190476192</v>
          </cell>
          <cell r="AD204">
            <v>4070920.3809523811</v>
          </cell>
          <cell r="AE204">
            <v>5343083</v>
          </cell>
          <cell r="AF204">
            <v>0</v>
          </cell>
          <cell r="AG204">
            <v>5343083</v>
          </cell>
          <cell r="AH204" t="b">
            <v>1</v>
          </cell>
          <cell r="AK204">
            <v>5343083</v>
          </cell>
          <cell r="AL204" t="str">
            <v>K2</v>
          </cell>
          <cell r="AM204">
            <v>5343083</v>
          </cell>
          <cell r="AN204">
            <v>0</v>
          </cell>
          <cell r="AQ204">
            <v>0</v>
          </cell>
          <cell r="AR204">
            <v>38000</v>
          </cell>
          <cell r="AS204">
            <v>31700</v>
          </cell>
          <cell r="AU204">
            <v>10000</v>
          </cell>
          <cell r="AV204">
            <v>53430.83</v>
          </cell>
          <cell r="AW204">
            <v>106861.66</v>
          </cell>
          <cell r="AX204">
            <v>53430.83</v>
          </cell>
          <cell r="AY204">
            <v>293423</v>
          </cell>
          <cell r="AZ204">
            <v>5049660</v>
          </cell>
          <cell r="BA204">
            <v>0</v>
          </cell>
          <cell r="BB204">
            <v>293423</v>
          </cell>
          <cell r="BC204">
            <v>5049660</v>
          </cell>
        </row>
        <row r="205">
          <cell r="F205" t="str">
            <v>180121-008</v>
          </cell>
          <cell r="G205" t="str">
            <v>Pembaharuan</v>
          </cell>
          <cell r="H205" t="str">
            <v>Pelaksana</v>
          </cell>
          <cell r="I205" t="str">
            <v>Assembly</v>
          </cell>
          <cell r="J205" t="str">
            <v>18 Januari 2021</v>
          </cell>
          <cell r="K205" t="b">
            <v>0</v>
          </cell>
          <cell r="L205">
            <v>44214</v>
          </cell>
          <cell r="M205">
            <v>0</v>
          </cell>
          <cell r="N205">
            <v>4</v>
          </cell>
          <cell r="O205">
            <v>6</v>
          </cell>
          <cell r="Q205">
            <v>5343082</v>
          </cell>
          <cell r="R205">
            <v>4924046</v>
          </cell>
          <cell r="S205">
            <v>5343083</v>
          </cell>
          <cell r="T205">
            <v>0</v>
          </cell>
          <cell r="U205">
            <v>0</v>
          </cell>
          <cell r="V205">
            <v>0</v>
          </cell>
          <cell r="W205">
            <v>5343083</v>
          </cell>
          <cell r="X205">
            <v>5</v>
          </cell>
          <cell r="Z205">
            <v>16</v>
          </cell>
          <cell r="AB205">
            <v>21</v>
          </cell>
          <cell r="AC205">
            <v>1272162.6190476192</v>
          </cell>
          <cell r="AD205">
            <v>4070920.3809523811</v>
          </cell>
          <cell r="AE205">
            <v>5343083</v>
          </cell>
          <cell r="AF205">
            <v>0</v>
          </cell>
          <cell r="AG205">
            <v>5343083</v>
          </cell>
          <cell r="AH205" t="b">
            <v>1</v>
          </cell>
          <cell r="AK205">
            <v>5343083</v>
          </cell>
          <cell r="AL205" t="str">
            <v>K1</v>
          </cell>
          <cell r="AM205">
            <v>5343083</v>
          </cell>
          <cell r="AN205">
            <v>0</v>
          </cell>
          <cell r="AQ205">
            <v>0</v>
          </cell>
          <cell r="AR205">
            <v>38000</v>
          </cell>
          <cell r="AS205">
            <v>31700</v>
          </cell>
          <cell r="AU205">
            <v>10000</v>
          </cell>
          <cell r="AV205">
            <v>53430.83</v>
          </cell>
          <cell r="AW205">
            <v>106861.66</v>
          </cell>
          <cell r="AX205">
            <v>53430.83</v>
          </cell>
          <cell r="AY205">
            <v>293423</v>
          </cell>
          <cell r="AZ205">
            <v>5049660</v>
          </cell>
          <cell r="BA205">
            <v>0</v>
          </cell>
          <cell r="BB205">
            <v>293423</v>
          </cell>
          <cell r="BC205">
            <v>5049660</v>
          </cell>
        </row>
        <row r="206">
          <cell r="F206" t="str">
            <v>270121-002</v>
          </cell>
          <cell r="G206" t="str">
            <v>Pembaharuan</v>
          </cell>
          <cell r="H206" t="str">
            <v>Pelaksana</v>
          </cell>
          <cell r="I206" t="str">
            <v>Assembly</v>
          </cell>
          <cell r="J206" t="str">
            <v>27 Januari 2021</v>
          </cell>
          <cell r="K206" t="b">
            <v>0</v>
          </cell>
          <cell r="L206">
            <v>44223</v>
          </cell>
          <cell r="M206">
            <v>0</v>
          </cell>
          <cell r="N206">
            <v>3</v>
          </cell>
          <cell r="O206">
            <v>27</v>
          </cell>
          <cell r="Q206">
            <v>5343082</v>
          </cell>
          <cell r="R206">
            <v>4924046</v>
          </cell>
          <cell r="S206">
            <v>5343083</v>
          </cell>
          <cell r="T206">
            <v>0</v>
          </cell>
          <cell r="U206">
            <v>0</v>
          </cell>
          <cell r="V206">
            <v>0</v>
          </cell>
          <cell r="W206">
            <v>5343083</v>
          </cell>
          <cell r="X206">
            <v>5</v>
          </cell>
          <cell r="Z206">
            <v>16</v>
          </cell>
          <cell r="AB206">
            <v>21</v>
          </cell>
          <cell r="AC206">
            <v>1272162.6190476192</v>
          </cell>
          <cell r="AD206">
            <v>4070920.3809523811</v>
          </cell>
          <cell r="AE206">
            <v>5343083</v>
          </cell>
          <cell r="AF206">
            <v>0</v>
          </cell>
          <cell r="AG206">
            <v>5343083</v>
          </cell>
          <cell r="AH206" t="b">
            <v>1</v>
          </cell>
          <cell r="AK206">
            <v>5343083</v>
          </cell>
          <cell r="AL206" t="str">
            <v>K0</v>
          </cell>
          <cell r="AM206">
            <v>5343083</v>
          </cell>
          <cell r="AN206">
            <v>15604.584590750002</v>
          </cell>
          <cell r="AQ206">
            <v>0</v>
          </cell>
          <cell r="AS206">
            <v>31700</v>
          </cell>
          <cell r="AV206">
            <v>53430.83</v>
          </cell>
          <cell r="AW206">
            <v>106861.66</v>
          </cell>
          <cell r="AX206">
            <v>53430.83</v>
          </cell>
          <cell r="AY206">
            <v>261028</v>
          </cell>
          <cell r="AZ206">
            <v>5082055</v>
          </cell>
          <cell r="BA206">
            <v>15604.584590750002</v>
          </cell>
          <cell r="BB206">
            <v>245423</v>
          </cell>
          <cell r="BC206">
            <v>5097660</v>
          </cell>
        </row>
        <row r="207">
          <cell r="F207" t="str">
            <v>270121-003</v>
          </cell>
          <cell r="G207" t="str">
            <v>Pembaharuan</v>
          </cell>
          <cell r="H207" t="str">
            <v>Pelaksana</v>
          </cell>
          <cell r="I207" t="str">
            <v>Assembly</v>
          </cell>
          <cell r="J207" t="str">
            <v>27 Januari 2021</v>
          </cell>
          <cell r="K207" t="b">
            <v>0</v>
          </cell>
          <cell r="L207">
            <v>44223</v>
          </cell>
          <cell r="M207">
            <v>0</v>
          </cell>
          <cell r="N207">
            <v>3</v>
          </cell>
          <cell r="O207">
            <v>27</v>
          </cell>
          <cell r="Q207">
            <v>5343082</v>
          </cell>
          <cell r="R207">
            <v>4924046</v>
          </cell>
          <cell r="S207">
            <v>5343083</v>
          </cell>
          <cell r="T207">
            <v>0</v>
          </cell>
          <cell r="U207">
            <v>0</v>
          </cell>
          <cell r="V207">
            <v>0</v>
          </cell>
          <cell r="W207">
            <v>5343083</v>
          </cell>
          <cell r="X207">
            <v>5</v>
          </cell>
          <cell r="Z207">
            <v>16</v>
          </cell>
          <cell r="AB207">
            <v>21</v>
          </cell>
          <cell r="AC207">
            <v>1272162.6190476192</v>
          </cell>
          <cell r="AD207">
            <v>4070920.3809523811</v>
          </cell>
          <cell r="AE207">
            <v>5343083</v>
          </cell>
          <cell r="AF207">
            <v>0</v>
          </cell>
          <cell r="AG207">
            <v>5343083</v>
          </cell>
          <cell r="AH207" t="b">
            <v>1</v>
          </cell>
          <cell r="AK207">
            <v>5343083</v>
          </cell>
          <cell r="AL207" t="str">
            <v>K0</v>
          </cell>
          <cell r="AM207">
            <v>5343083</v>
          </cell>
          <cell r="AN207">
            <v>15604.584590750002</v>
          </cell>
          <cell r="AQ207">
            <v>0</v>
          </cell>
          <cell r="AS207">
            <v>31700</v>
          </cell>
          <cell r="AV207">
            <v>53430.83</v>
          </cell>
          <cell r="AW207">
            <v>106861.66</v>
          </cell>
          <cell r="AX207">
            <v>53430.83</v>
          </cell>
          <cell r="AY207">
            <v>261028</v>
          </cell>
          <cell r="AZ207">
            <v>5082055</v>
          </cell>
          <cell r="BA207">
            <v>15604.584590750002</v>
          </cell>
          <cell r="BB207">
            <v>245423</v>
          </cell>
          <cell r="BC207">
            <v>5097660</v>
          </cell>
        </row>
        <row r="208">
          <cell r="F208" t="str">
            <v>270121-004</v>
          </cell>
          <cell r="G208" t="str">
            <v>Pembaharuan</v>
          </cell>
          <cell r="H208" t="str">
            <v>Pelaksana</v>
          </cell>
          <cell r="I208" t="str">
            <v>Assembly</v>
          </cell>
          <cell r="J208" t="str">
            <v>27 Januari 2021</v>
          </cell>
          <cell r="K208" t="b">
            <v>0</v>
          </cell>
          <cell r="L208">
            <v>44223</v>
          </cell>
          <cell r="M208">
            <v>0</v>
          </cell>
          <cell r="N208">
            <v>3</v>
          </cell>
          <cell r="O208">
            <v>27</v>
          </cell>
          <cell r="Q208">
            <v>5343082</v>
          </cell>
          <cell r="R208">
            <v>4924046</v>
          </cell>
          <cell r="S208">
            <v>5343083</v>
          </cell>
          <cell r="T208">
            <v>0</v>
          </cell>
          <cell r="U208">
            <v>0</v>
          </cell>
          <cell r="V208">
            <v>0</v>
          </cell>
          <cell r="W208">
            <v>5343083</v>
          </cell>
          <cell r="X208">
            <v>5</v>
          </cell>
          <cell r="Z208">
            <v>16</v>
          </cell>
          <cell r="AB208">
            <v>21</v>
          </cell>
          <cell r="AC208">
            <v>1272162.6190476192</v>
          </cell>
          <cell r="AD208">
            <v>4070920.3809523811</v>
          </cell>
          <cell r="AE208">
            <v>5343083</v>
          </cell>
          <cell r="AF208">
            <v>0</v>
          </cell>
          <cell r="AG208">
            <v>5343083</v>
          </cell>
          <cell r="AH208" t="b">
            <v>1</v>
          </cell>
          <cell r="AK208">
            <v>5343083</v>
          </cell>
          <cell r="AL208" t="str">
            <v>K0</v>
          </cell>
          <cell r="AM208">
            <v>5343083</v>
          </cell>
          <cell r="AN208">
            <v>15604.584590750002</v>
          </cell>
          <cell r="AQ208">
            <v>0</v>
          </cell>
          <cell r="AS208">
            <v>31700</v>
          </cell>
          <cell r="AV208">
            <v>53430.83</v>
          </cell>
          <cell r="AW208">
            <v>106861.66</v>
          </cell>
          <cell r="AX208">
            <v>53430.83</v>
          </cell>
          <cell r="AY208">
            <v>261028</v>
          </cell>
          <cell r="AZ208">
            <v>5082055</v>
          </cell>
          <cell r="BA208">
            <v>15604.584590750002</v>
          </cell>
          <cell r="BB208">
            <v>245423</v>
          </cell>
          <cell r="BC208">
            <v>5097660</v>
          </cell>
        </row>
        <row r="209">
          <cell r="F209" t="str">
            <v>010321-002</v>
          </cell>
          <cell r="G209" t="str">
            <v>Pembaharuan</v>
          </cell>
          <cell r="H209" t="str">
            <v>Pelaksana</v>
          </cell>
          <cell r="I209" t="str">
            <v>Assembly</v>
          </cell>
          <cell r="J209">
            <v>44256</v>
          </cell>
          <cell r="K209" t="b">
            <v>1</v>
          </cell>
          <cell r="L209">
            <v>44256</v>
          </cell>
          <cell r="M209">
            <v>0</v>
          </cell>
          <cell r="N209">
            <v>2</v>
          </cell>
          <cell r="O209">
            <v>23</v>
          </cell>
          <cell r="Q209">
            <v>5343082</v>
          </cell>
          <cell r="R209">
            <v>4924046</v>
          </cell>
          <cell r="S209">
            <v>5343083</v>
          </cell>
          <cell r="T209">
            <v>0</v>
          </cell>
          <cell r="U209">
            <v>0</v>
          </cell>
          <cell r="V209">
            <v>0</v>
          </cell>
          <cell r="W209">
            <v>5343083</v>
          </cell>
          <cell r="X209">
            <v>5</v>
          </cell>
          <cell r="Z209">
            <v>16</v>
          </cell>
          <cell r="AB209">
            <v>21</v>
          </cell>
          <cell r="AC209">
            <v>1272162.6190476192</v>
          </cell>
          <cell r="AD209">
            <v>4070920.3809523811</v>
          </cell>
          <cell r="AE209">
            <v>5343083</v>
          </cell>
          <cell r="AF209">
            <v>0</v>
          </cell>
          <cell r="AG209">
            <v>5343083</v>
          </cell>
          <cell r="AH209" t="b">
            <v>1</v>
          </cell>
          <cell r="AK209">
            <v>5343083</v>
          </cell>
          <cell r="AL209" t="str">
            <v>K3</v>
          </cell>
          <cell r="AM209">
            <v>5343083</v>
          </cell>
          <cell r="AN209">
            <v>0</v>
          </cell>
          <cell r="AQ209">
            <v>0</v>
          </cell>
          <cell r="AR209">
            <v>38000</v>
          </cell>
          <cell r="AS209">
            <v>31700</v>
          </cell>
          <cell r="AU209">
            <v>10000</v>
          </cell>
          <cell r="AV209">
            <v>53430.83</v>
          </cell>
          <cell r="AW209">
            <v>106861.66</v>
          </cell>
          <cell r="AX209">
            <v>53430.83</v>
          </cell>
          <cell r="AY209">
            <v>293423</v>
          </cell>
          <cell r="AZ209">
            <v>5049660</v>
          </cell>
          <cell r="BA209">
            <v>0</v>
          </cell>
          <cell r="BB209">
            <v>293423</v>
          </cell>
          <cell r="BC209">
            <v>5049660</v>
          </cell>
        </row>
        <row r="210">
          <cell r="F210" t="str">
            <v>210221-001</v>
          </cell>
          <cell r="G210" t="str">
            <v>Pembaharuan</v>
          </cell>
          <cell r="H210" t="str">
            <v>Pelaksana</v>
          </cell>
          <cell r="I210" t="str">
            <v>Assembly</v>
          </cell>
          <cell r="J210" t="str">
            <v>21 Februari 2021</v>
          </cell>
          <cell r="K210" t="b">
            <v>0</v>
          </cell>
          <cell r="L210">
            <v>44248</v>
          </cell>
          <cell r="M210">
            <v>0</v>
          </cell>
          <cell r="N210">
            <v>3</v>
          </cell>
          <cell r="O210">
            <v>3</v>
          </cell>
          <cell r="Q210">
            <v>5343082</v>
          </cell>
          <cell r="R210">
            <v>4924046</v>
          </cell>
          <cell r="S210">
            <v>5343083</v>
          </cell>
          <cell r="T210">
            <v>0</v>
          </cell>
          <cell r="U210">
            <v>0</v>
          </cell>
          <cell r="V210">
            <v>0</v>
          </cell>
          <cell r="W210">
            <v>5343083</v>
          </cell>
          <cell r="X210">
            <v>5</v>
          </cell>
          <cell r="Z210">
            <v>16</v>
          </cell>
          <cell r="AB210">
            <v>21</v>
          </cell>
          <cell r="AC210">
            <v>1272162.6190476192</v>
          </cell>
          <cell r="AD210">
            <v>4070920.3809523811</v>
          </cell>
          <cell r="AE210">
            <v>5343083</v>
          </cell>
          <cell r="AF210">
            <v>0</v>
          </cell>
          <cell r="AG210">
            <v>5343083</v>
          </cell>
          <cell r="AH210" t="b">
            <v>1</v>
          </cell>
          <cell r="AK210">
            <v>5343083</v>
          </cell>
          <cell r="AL210" t="str">
            <v>K1</v>
          </cell>
          <cell r="AM210">
            <v>5343083</v>
          </cell>
          <cell r="AN210">
            <v>0</v>
          </cell>
          <cell r="AQ210">
            <v>0</v>
          </cell>
          <cell r="AR210">
            <v>38000</v>
          </cell>
          <cell r="AS210">
            <v>31700</v>
          </cell>
          <cell r="AU210">
            <v>10000</v>
          </cell>
          <cell r="AV210">
            <v>53430.83</v>
          </cell>
          <cell r="AW210">
            <v>106861.66</v>
          </cell>
          <cell r="AX210">
            <v>53430.83</v>
          </cell>
          <cell r="AY210">
            <v>293423</v>
          </cell>
          <cell r="AZ210">
            <v>5049660</v>
          </cell>
          <cell r="BA210">
            <v>0</v>
          </cell>
          <cell r="BB210">
            <v>293423</v>
          </cell>
          <cell r="BC210">
            <v>5049660</v>
          </cell>
        </row>
        <row r="211">
          <cell r="F211" t="str">
            <v>010321-001</v>
          </cell>
          <cell r="G211" t="str">
            <v>Pembaharuan</v>
          </cell>
          <cell r="H211" t="str">
            <v>Pelaksana</v>
          </cell>
          <cell r="I211" t="str">
            <v>Assembly</v>
          </cell>
          <cell r="J211" t="str">
            <v>01 Maret 2021</v>
          </cell>
          <cell r="K211" t="b">
            <v>0</v>
          </cell>
          <cell r="L211">
            <v>44256</v>
          </cell>
          <cell r="M211">
            <v>0</v>
          </cell>
          <cell r="N211">
            <v>2</v>
          </cell>
          <cell r="O211">
            <v>23</v>
          </cell>
          <cell r="Q211">
            <v>5343082</v>
          </cell>
          <cell r="R211">
            <v>4924046</v>
          </cell>
          <cell r="S211">
            <v>5343083</v>
          </cell>
          <cell r="T211">
            <v>0</v>
          </cell>
          <cell r="U211">
            <v>0</v>
          </cell>
          <cell r="V211">
            <v>0</v>
          </cell>
          <cell r="W211">
            <v>5343083</v>
          </cell>
          <cell r="X211">
            <v>5</v>
          </cell>
          <cell r="Z211">
            <v>16</v>
          </cell>
          <cell r="AB211">
            <v>21</v>
          </cell>
          <cell r="AC211">
            <v>1272162.6190476192</v>
          </cell>
          <cell r="AD211">
            <v>4070920.3809523811</v>
          </cell>
          <cell r="AE211">
            <v>5343083</v>
          </cell>
          <cell r="AF211">
            <v>0</v>
          </cell>
          <cell r="AG211">
            <v>5343083</v>
          </cell>
          <cell r="AH211" t="b">
            <v>1</v>
          </cell>
          <cell r="AK211">
            <v>5343083</v>
          </cell>
          <cell r="AL211" t="str">
            <v>TK</v>
          </cell>
          <cell r="AM211">
            <v>5343083</v>
          </cell>
          <cell r="AN211">
            <v>34354.584590750004</v>
          </cell>
          <cell r="AQ211">
            <v>0</v>
          </cell>
          <cell r="AR211">
            <v>38000</v>
          </cell>
          <cell r="AS211">
            <v>31700</v>
          </cell>
          <cell r="AU211">
            <v>10000</v>
          </cell>
          <cell r="AV211">
            <v>53430.83</v>
          </cell>
          <cell r="AW211">
            <v>106861.66</v>
          </cell>
          <cell r="AX211">
            <v>53430.83</v>
          </cell>
          <cell r="AY211">
            <v>327778</v>
          </cell>
          <cell r="AZ211">
            <v>5015305</v>
          </cell>
          <cell r="BA211">
            <v>34354.584590750004</v>
          </cell>
          <cell r="BB211">
            <v>293423</v>
          </cell>
          <cell r="BC211">
            <v>5049660</v>
          </cell>
        </row>
        <row r="212">
          <cell r="F212" t="str">
            <v>020321-001</v>
          </cell>
          <cell r="G212" t="str">
            <v>Pembaharuan</v>
          </cell>
          <cell r="H212" t="str">
            <v>Pelaksana</v>
          </cell>
          <cell r="I212" t="str">
            <v>Assembly</v>
          </cell>
          <cell r="J212" t="str">
            <v>02 Maret 2021</v>
          </cell>
          <cell r="K212" t="b">
            <v>0</v>
          </cell>
          <cell r="L212">
            <v>44257</v>
          </cell>
          <cell r="M212">
            <v>0</v>
          </cell>
          <cell r="N212">
            <v>2</v>
          </cell>
          <cell r="O212">
            <v>22</v>
          </cell>
          <cell r="Q212">
            <v>5343082</v>
          </cell>
          <cell r="R212">
            <v>4924046</v>
          </cell>
          <cell r="S212">
            <v>5343083</v>
          </cell>
          <cell r="T212">
            <v>0</v>
          </cell>
          <cell r="U212">
            <v>0</v>
          </cell>
          <cell r="V212">
            <v>0</v>
          </cell>
          <cell r="W212">
            <v>5343083</v>
          </cell>
          <cell r="X212">
            <v>5</v>
          </cell>
          <cell r="Z212">
            <v>16</v>
          </cell>
          <cell r="AB212">
            <v>21</v>
          </cell>
          <cell r="AC212">
            <v>1272162.6190476192</v>
          </cell>
          <cell r="AD212">
            <v>4070920.3809523811</v>
          </cell>
          <cell r="AE212">
            <v>5343083</v>
          </cell>
          <cell r="AF212">
            <v>0</v>
          </cell>
          <cell r="AG212">
            <v>5343083</v>
          </cell>
          <cell r="AH212" t="b">
            <v>1</v>
          </cell>
          <cell r="AK212">
            <v>5343083</v>
          </cell>
          <cell r="AL212" t="str">
            <v>K1</v>
          </cell>
          <cell r="AM212">
            <v>5343083</v>
          </cell>
          <cell r="AN212">
            <v>0</v>
          </cell>
          <cell r="AQ212">
            <v>0</v>
          </cell>
          <cell r="AR212">
            <v>38000</v>
          </cell>
          <cell r="AS212">
            <v>31700</v>
          </cell>
          <cell r="AU212">
            <v>10000</v>
          </cell>
          <cell r="AV212">
            <v>53430.83</v>
          </cell>
          <cell r="AW212">
            <v>106861.66</v>
          </cell>
          <cell r="AX212">
            <v>53430.83</v>
          </cell>
          <cell r="AY212">
            <v>293423</v>
          </cell>
          <cell r="AZ212">
            <v>5049660</v>
          </cell>
          <cell r="BA212">
            <v>0</v>
          </cell>
          <cell r="BB212">
            <v>293423</v>
          </cell>
          <cell r="BC212">
            <v>5049660</v>
          </cell>
        </row>
        <row r="213">
          <cell r="F213" t="str">
            <v>210318-004</v>
          </cell>
          <cell r="G213" t="str">
            <v>Pembaharuan</v>
          </cell>
          <cell r="H213" t="str">
            <v>Pelaksana</v>
          </cell>
          <cell r="I213" t="str">
            <v>Assembly</v>
          </cell>
          <cell r="J213">
            <v>43180</v>
          </cell>
          <cell r="K213" t="b">
            <v>1</v>
          </cell>
          <cell r="L213">
            <v>43180</v>
          </cell>
          <cell r="M213">
            <v>3</v>
          </cell>
          <cell r="N213">
            <v>2</v>
          </cell>
          <cell r="O213">
            <v>3</v>
          </cell>
          <cell r="Q213">
            <v>5343082</v>
          </cell>
          <cell r="R213">
            <v>4924046</v>
          </cell>
          <cell r="S213">
            <v>5343083</v>
          </cell>
          <cell r="T213">
            <v>0</v>
          </cell>
          <cell r="U213">
            <v>0</v>
          </cell>
          <cell r="V213">
            <v>0</v>
          </cell>
          <cell r="W213">
            <v>5343083</v>
          </cell>
          <cell r="X213">
            <v>5</v>
          </cell>
          <cell r="Z213">
            <v>16</v>
          </cell>
          <cell r="AB213">
            <v>21</v>
          </cell>
          <cell r="AC213">
            <v>1272162.6190476192</v>
          </cell>
          <cell r="AD213">
            <v>4070920.3809523811</v>
          </cell>
          <cell r="AE213">
            <v>5343083</v>
          </cell>
          <cell r="AF213">
            <v>0</v>
          </cell>
          <cell r="AG213">
            <v>5343083</v>
          </cell>
          <cell r="AH213" t="b">
            <v>1</v>
          </cell>
          <cell r="AK213">
            <v>5343083</v>
          </cell>
          <cell r="AL213" t="str">
            <v>TK</v>
          </cell>
          <cell r="AM213">
            <v>5343083</v>
          </cell>
          <cell r="AN213">
            <v>34354.584590750004</v>
          </cell>
          <cell r="AQ213">
            <v>0</v>
          </cell>
          <cell r="AS213">
            <v>31700</v>
          </cell>
          <cell r="AV213">
            <v>53430.83</v>
          </cell>
          <cell r="AW213">
            <v>106861.66</v>
          </cell>
          <cell r="AX213">
            <v>53430.83</v>
          </cell>
          <cell r="AY213">
            <v>279778</v>
          </cell>
          <cell r="AZ213">
            <v>5063305</v>
          </cell>
          <cell r="BA213">
            <v>34354.584590750004</v>
          </cell>
          <cell r="BB213">
            <v>245423</v>
          </cell>
          <cell r="BC213">
            <v>5097660</v>
          </cell>
        </row>
        <row r="214">
          <cell r="F214" t="str">
            <v>210318-006</v>
          </cell>
          <cell r="G214" t="str">
            <v>Pembaharuan</v>
          </cell>
          <cell r="H214" t="str">
            <v>Pelaksana</v>
          </cell>
          <cell r="I214" t="str">
            <v>Assembly</v>
          </cell>
          <cell r="J214">
            <v>43180</v>
          </cell>
          <cell r="K214" t="b">
            <v>1</v>
          </cell>
          <cell r="L214">
            <v>43180</v>
          </cell>
          <cell r="M214">
            <v>3</v>
          </cell>
          <cell r="N214">
            <v>2</v>
          </cell>
          <cell r="O214">
            <v>3</v>
          </cell>
          <cell r="Q214">
            <v>5343082</v>
          </cell>
          <cell r="R214">
            <v>4924046</v>
          </cell>
          <cell r="S214">
            <v>5343083</v>
          </cell>
          <cell r="T214">
            <v>0</v>
          </cell>
          <cell r="U214">
            <v>0</v>
          </cell>
          <cell r="V214">
            <v>0</v>
          </cell>
          <cell r="W214">
            <v>5343083</v>
          </cell>
          <cell r="X214">
            <v>5</v>
          </cell>
          <cell r="Z214">
            <v>16</v>
          </cell>
          <cell r="AB214">
            <v>21</v>
          </cell>
          <cell r="AC214">
            <v>1272162.6190476192</v>
          </cell>
          <cell r="AD214">
            <v>4070920.3809523811</v>
          </cell>
          <cell r="AE214">
            <v>5343083</v>
          </cell>
          <cell r="AF214">
            <v>0</v>
          </cell>
          <cell r="AG214">
            <v>5343083</v>
          </cell>
          <cell r="AH214" t="b">
            <v>1</v>
          </cell>
          <cell r="AK214">
            <v>5343083</v>
          </cell>
          <cell r="AL214" t="str">
            <v>K0</v>
          </cell>
          <cell r="AM214">
            <v>5343083</v>
          </cell>
          <cell r="AN214">
            <v>15604.584590750002</v>
          </cell>
          <cell r="AQ214">
            <v>0</v>
          </cell>
          <cell r="AS214">
            <v>31700</v>
          </cell>
          <cell r="AV214">
            <v>53430.83</v>
          </cell>
          <cell r="AW214">
            <v>106861.66</v>
          </cell>
          <cell r="AX214">
            <v>53430.83</v>
          </cell>
          <cell r="AY214">
            <v>261028</v>
          </cell>
          <cell r="AZ214">
            <v>5082055</v>
          </cell>
          <cell r="BA214">
            <v>15604.584590750002</v>
          </cell>
          <cell r="BB214">
            <v>245423</v>
          </cell>
          <cell r="BC214">
            <v>5097660</v>
          </cell>
        </row>
        <row r="215">
          <cell r="F215" t="str">
            <v>210318-007</v>
          </cell>
          <cell r="G215" t="str">
            <v>Pembaharuan</v>
          </cell>
          <cell r="H215" t="str">
            <v>Pelaksana</v>
          </cell>
          <cell r="I215" t="str">
            <v>Assembly</v>
          </cell>
          <cell r="J215">
            <v>43180</v>
          </cell>
          <cell r="K215" t="b">
            <v>1</v>
          </cell>
          <cell r="L215">
            <v>43180</v>
          </cell>
          <cell r="M215">
            <v>3</v>
          </cell>
          <cell r="N215">
            <v>2</v>
          </cell>
          <cell r="O215">
            <v>3</v>
          </cell>
          <cell r="Q215">
            <v>5343082</v>
          </cell>
          <cell r="R215">
            <v>4924046</v>
          </cell>
          <cell r="S215">
            <v>5343083</v>
          </cell>
          <cell r="T215">
            <v>0</v>
          </cell>
          <cell r="U215">
            <v>0</v>
          </cell>
          <cell r="V215">
            <v>0</v>
          </cell>
          <cell r="W215">
            <v>5343083</v>
          </cell>
          <cell r="X215">
            <v>5</v>
          </cell>
          <cell r="Z215">
            <v>16</v>
          </cell>
          <cell r="AB215">
            <v>21</v>
          </cell>
          <cell r="AC215">
            <v>1272162.6190476192</v>
          </cell>
          <cell r="AD215">
            <v>4070920.3809523811</v>
          </cell>
          <cell r="AE215">
            <v>5343083</v>
          </cell>
          <cell r="AF215">
            <v>0</v>
          </cell>
          <cell r="AG215">
            <v>5343083</v>
          </cell>
          <cell r="AH215" t="b">
            <v>1</v>
          </cell>
          <cell r="AK215">
            <v>5343083</v>
          </cell>
          <cell r="AL215" t="str">
            <v>K1</v>
          </cell>
          <cell r="AM215">
            <v>5343083</v>
          </cell>
          <cell r="AN215">
            <v>0</v>
          </cell>
          <cell r="AQ215">
            <v>0</v>
          </cell>
          <cell r="AS215">
            <v>31700</v>
          </cell>
          <cell r="AV215">
            <v>53430.83</v>
          </cell>
          <cell r="AW215">
            <v>106861.66</v>
          </cell>
          <cell r="AX215">
            <v>53430.83</v>
          </cell>
          <cell r="AY215">
            <v>245423</v>
          </cell>
          <cell r="AZ215">
            <v>5097660</v>
          </cell>
          <cell r="BA215">
            <v>0</v>
          </cell>
          <cell r="BB215">
            <v>245423</v>
          </cell>
          <cell r="BC215">
            <v>5097660</v>
          </cell>
        </row>
        <row r="216">
          <cell r="F216" t="str">
            <v>290321-009</v>
          </cell>
          <cell r="G216" t="str">
            <v>Pembaharuan</v>
          </cell>
          <cell r="H216" t="str">
            <v>Pelaksana</v>
          </cell>
          <cell r="I216" t="str">
            <v>Assembly</v>
          </cell>
          <cell r="J216" t="e">
            <v>#N/A</v>
          </cell>
          <cell r="K216" t="e">
            <v>#N/A</v>
          </cell>
          <cell r="L216">
            <v>44284</v>
          </cell>
          <cell r="M216">
            <v>0</v>
          </cell>
          <cell r="N216">
            <v>1</v>
          </cell>
          <cell r="O216">
            <v>25</v>
          </cell>
          <cell r="Q216">
            <v>5343082</v>
          </cell>
          <cell r="R216">
            <v>4924046</v>
          </cell>
          <cell r="S216">
            <v>5343083</v>
          </cell>
          <cell r="T216">
            <v>0</v>
          </cell>
          <cell r="U216">
            <v>0</v>
          </cell>
          <cell r="V216">
            <v>0</v>
          </cell>
          <cell r="W216">
            <v>5343083</v>
          </cell>
          <cell r="X216">
            <v>5</v>
          </cell>
          <cell r="Z216">
            <v>16</v>
          </cell>
          <cell r="AB216">
            <v>21</v>
          </cell>
          <cell r="AC216">
            <v>1272162.6190476192</v>
          </cell>
          <cell r="AD216">
            <v>4070920.3809523811</v>
          </cell>
          <cell r="AE216">
            <v>5343083</v>
          </cell>
          <cell r="AF216">
            <v>0</v>
          </cell>
          <cell r="AG216">
            <v>5343083</v>
          </cell>
          <cell r="AH216" t="b">
            <v>1</v>
          </cell>
          <cell r="AK216">
            <v>5343083</v>
          </cell>
          <cell r="AL216" t="str">
            <v>K1</v>
          </cell>
          <cell r="AM216">
            <v>5343083</v>
          </cell>
          <cell r="AN216">
            <v>0</v>
          </cell>
          <cell r="AQ216">
            <v>0</v>
          </cell>
          <cell r="AR216">
            <v>38000</v>
          </cell>
          <cell r="AS216">
            <v>31700</v>
          </cell>
          <cell r="AV216">
            <v>53430.83</v>
          </cell>
          <cell r="AW216">
            <v>106861.66</v>
          </cell>
          <cell r="AX216">
            <v>53430.83</v>
          </cell>
          <cell r="AY216">
            <v>283423</v>
          </cell>
          <cell r="AZ216">
            <v>5059660</v>
          </cell>
          <cell r="BA216">
            <v>0</v>
          </cell>
          <cell r="BB216">
            <v>283423</v>
          </cell>
          <cell r="BC216">
            <v>5059660</v>
          </cell>
        </row>
        <row r="217">
          <cell r="F217" t="str">
            <v>020718-031</v>
          </cell>
          <cell r="G217" t="str">
            <v>Kontrak 2</v>
          </cell>
          <cell r="H217" t="str">
            <v>Pelaksana</v>
          </cell>
          <cell r="I217" t="str">
            <v>Assembly</v>
          </cell>
          <cell r="J217">
            <v>43283</v>
          </cell>
          <cell r="K217" t="b">
            <v>1</v>
          </cell>
          <cell r="L217">
            <v>43283</v>
          </cell>
          <cell r="M217">
            <v>2</v>
          </cell>
          <cell r="N217">
            <v>10</v>
          </cell>
          <cell r="O217">
            <v>22</v>
          </cell>
          <cell r="Q217">
            <v>5343082</v>
          </cell>
          <cell r="R217">
            <v>4924046</v>
          </cell>
          <cell r="S217">
            <v>5343083</v>
          </cell>
          <cell r="T217">
            <v>0</v>
          </cell>
          <cell r="U217">
            <v>0</v>
          </cell>
          <cell r="V217">
            <v>0</v>
          </cell>
          <cell r="W217">
            <v>5343083</v>
          </cell>
          <cell r="X217">
            <v>5</v>
          </cell>
          <cell r="Z217">
            <v>16</v>
          </cell>
          <cell r="AB217">
            <v>21</v>
          </cell>
          <cell r="AC217">
            <v>1272162.6190476192</v>
          </cell>
          <cell r="AD217">
            <v>4070920.3809523811</v>
          </cell>
          <cell r="AE217">
            <v>5343083</v>
          </cell>
          <cell r="AF217">
            <v>0</v>
          </cell>
          <cell r="AG217">
            <v>5343083</v>
          </cell>
          <cell r="AH217" t="b">
            <v>1</v>
          </cell>
          <cell r="AK217">
            <v>5343083</v>
          </cell>
          <cell r="AL217" t="str">
            <v>K1</v>
          </cell>
          <cell r="AM217">
            <v>5343083</v>
          </cell>
          <cell r="AN217">
            <v>0</v>
          </cell>
          <cell r="AQ217">
            <v>0</v>
          </cell>
          <cell r="AR217">
            <v>38000</v>
          </cell>
          <cell r="AS217">
            <v>31700</v>
          </cell>
          <cell r="AU217">
            <v>10000</v>
          </cell>
          <cell r="AV217">
            <v>53430.83</v>
          </cell>
          <cell r="AW217">
            <v>106861.66</v>
          </cell>
          <cell r="AX217">
            <v>53430.83</v>
          </cell>
          <cell r="AY217">
            <v>293423</v>
          </cell>
          <cell r="AZ217">
            <v>5049660</v>
          </cell>
          <cell r="BA217">
            <v>0</v>
          </cell>
          <cell r="BB217">
            <v>293423</v>
          </cell>
          <cell r="BC217">
            <v>5049660</v>
          </cell>
        </row>
        <row r="218">
          <cell r="F218" t="str">
            <v>030718-001</v>
          </cell>
          <cell r="G218" t="str">
            <v>Kontrak 2</v>
          </cell>
          <cell r="H218" t="str">
            <v>Pelaksana</v>
          </cell>
          <cell r="I218" t="str">
            <v>Assembly</v>
          </cell>
          <cell r="J218">
            <v>43284</v>
          </cell>
          <cell r="K218" t="b">
            <v>1</v>
          </cell>
          <cell r="L218">
            <v>43284</v>
          </cell>
          <cell r="M218">
            <v>2</v>
          </cell>
          <cell r="N218">
            <v>10</v>
          </cell>
          <cell r="O218">
            <v>21</v>
          </cell>
          <cell r="Q218">
            <v>5343082</v>
          </cell>
          <cell r="R218">
            <v>4924046</v>
          </cell>
          <cell r="S218">
            <v>5343083</v>
          </cell>
          <cell r="T218">
            <v>0</v>
          </cell>
          <cell r="U218">
            <v>0</v>
          </cell>
          <cell r="V218">
            <v>0</v>
          </cell>
          <cell r="W218">
            <v>5343083</v>
          </cell>
          <cell r="X218">
            <v>5</v>
          </cell>
          <cell r="Z218">
            <v>16</v>
          </cell>
          <cell r="AB218">
            <v>21</v>
          </cell>
          <cell r="AC218">
            <v>1272162.6190476192</v>
          </cell>
          <cell r="AD218">
            <v>4070920.3809523811</v>
          </cell>
          <cell r="AE218">
            <v>5343083</v>
          </cell>
          <cell r="AF218">
            <v>0</v>
          </cell>
          <cell r="AG218">
            <v>5343083</v>
          </cell>
          <cell r="AH218" t="b">
            <v>1</v>
          </cell>
          <cell r="AK218">
            <v>5343083</v>
          </cell>
          <cell r="AL218" t="str">
            <v>K2</v>
          </cell>
          <cell r="AM218">
            <v>5343083</v>
          </cell>
          <cell r="AN218">
            <v>0</v>
          </cell>
          <cell r="AQ218">
            <v>0</v>
          </cell>
          <cell r="AS218">
            <v>31700</v>
          </cell>
          <cell r="AV218">
            <v>53430.83</v>
          </cell>
          <cell r="AW218">
            <v>106861.66</v>
          </cell>
          <cell r="AX218">
            <v>53430.83</v>
          </cell>
          <cell r="AY218">
            <v>245423</v>
          </cell>
          <cell r="AZ218">
            <v>5097660</v>
          </cell>
          <cell r="BA218">
            <v>0</v>
          </cell>
          <cell r="BB218">
            <v>245423</v>
          </cell>
          <cell r="BC218">
            <v>5097660</v>
          </cell>
        </row>
        <row r="219">
          <cell r="F219" t="str">
            <v>160718-003</v>
          </cell>
          <cell r="G219" t="str">
            <v>Kontrak 2</v>
          </cell>
          <cell r="H219" t="str">
            <v>Pelaksana</v>
          </cell>
          <cell r="I219" t="str">
            <v>Assembly</v>
          </cell>
          <cell r="J219">
            <v>43297</v>
          </cell>
          <cell r="K219" t="b">
            <v>1</v>
          </cell>
          <cell r="L219">
            <v>43297</v>
          </cell>
          <cell r="M219">
            <v>2</v>
          </cell>
          <cell r="N219">
            <v>10</v>
          </cell>
          <cell r="O219">
            <v>8</v>
          </cell>
          <cell r="Q219">
            <v>5343082</v>
          </cell>
          <cell r="R219">
            <v>4924046</v>
          </cell>
          <cell r="S219">
            <v>5343083</v>
          </cell>
          <cell r="T219">
            <v>0</v>
          </cell>
          <cell r="U219">
            <v>0</v>
          </cell>
          <cell r="V219">
            <v>0</v>
          </cell>
          <cell r="W219">
            <v>5343083</v>
          </cell>
          <cell r="X219">
            <v>5</v>
          </cell>
          <cell r="Z219">
            <v>16</v>
          </cell>
          <cell r="AB219">
            <v>21</v>
          </cell>
          <cell r="AC219">
            <v>1272162.6190476192</v>
          </cell>
          <cell r="AD219">
            <v>4070920.3809523811</v>
          </cell>
          <cell r="AE219">
            <v>5343083</v>
          </cell>
          <cell r="AF219">
            <v>0</v>
          </cell>
          <cell r="AG219">
            <v>5343083</v>
          </cell>
          <cell r="AH219" t="b">
            <v>1</v>
          </cell>
          <cell r="AK219">
            <v>5343083</v>
          </cell>
          <cell r="AL219" t="str">
            <v>K0</v>
          </cell>
          <cell r="AM219">
            <v>5343083</v>
          </cell>
          <cell r="AN219">
            <v>15604.584590750002</v>
          </cell>
          <cell r="AQ219">
            <v>0</v>
          </cell>
          <cell r="AR219">
            <v>38000</v>
          </cell>
          <cell r="AS219">
            <v>31700</v>
          </cell>
          <cell r="AU219">
            <v>10000</v>
          </cell>
          <cell r="AV219">
            <v>53430.83</v>
          </cell>
          <cell r="AW219">
            <v>106861.66</v>
          </cell>
          <cell r="AX219">
            <v>53430.83</v>
          </cell>
          <cell r="AY219">
            <v>309028</v>
          </cell>
          <cell r="AZ219">
            <v>5034055</v>
          </cell>
          <cell r="BA219">
            <v>15604.584590750002</v>
          </cell>
          <cell r="BB219">
            <v>293423</v>
          </cell>
          <cell r="BC219">
            <v>5049660</v>
          </cell>
        </row>
        <row r="220">
          <cell r="F220" t="str">
            <v>160718-006</v>
          </cell>
          <cell r="G220" t="str">
            <v>Kontrak 2</v>
          </cell>
          <cell r="H220" t="str">
            <v>Pelaksana</v>
          </cell>
          <cell r="I220" t="str">
            <v>Assembly</v>
          </cell>
          <cell r="J220">
            <v>43297</v>
          </cell>
          <cell r="K220" t="b">
            <v>1</v>
          </cell>
          <cell r="L220">
            <v>43297</v>
          </cell>
          <cell r="M220">
            <v>2</v>
          </cell>
          <cell r="N220">
            <v>10</v>
          </cell>
          <cell r="O220">
            <v>8</v>
          </cell>
          <cell r="Q220">
            <v>5343082</v>
          </cell>
          <cell r="R220">
            <v>4924046</v>
          </cell>
          <cell r="S220">
            <v>5343083</v>
          </cell>
          <cell r="T220">
            <v>0</v>
          </cell>
          <cell r="U220">
            <v>0</v>
          </cell>
          <cell r="V220">
            <v>0</v>
          </cell>
          <cell r="W220">
            <v>5343083</v>
          </cell>
          <cell r="X220">
            <v>5</v>
          </cell>
          <cell r="Z220">
            <v>16</v>
          </cell>
          <cell r="AB220">
            <v>21</v>
          </cell>
          <cell r="AC220">
            <v>1272162.6190476192</v>
          </cell>
          <cell r="AD220">
            <v>4070920.3809523811</v>
          </cell>
          <cell r="AE220">
            <v>5343083</v>
          </cell>
          <cell r="AF220">
            <v>0</v>
          </cell>
          <cell r="AG220">
            <v>5343083</v>
          </cell>
          <cell r="AH220" t="b">
            <v>1</v>
          </cell>
          <cell r="AK220">
            <v>5343083</v>
          </cell>
          <cell r="AL220" t="str">
            <v>TK</v>
          </cell>
          <cell r="AM220">
            <v>5343083</v>
          </cell>
          <cell r="AN220">
            <v>34354.584590750004</v>
          </cell>
          <cell r="AQ220">
            <v>0</v>
          </cell>
          <cell r="AR220">
            <v>38000</v>
          </cell>
          <cell r="AS220">
            <v>31700</v>
          </cell>
          <cell r="AU220">
            <v>10000</v>
          </cell>
          <cell r="AV220">
            <v>53430.83</v>
          </cell>
          <cell r="AW220">
            <v>106861.66</v>
          </cell>
          <cell r="AX220">
            <v>53430.83</v>
          </cell>
          <cell r="AY220">
            <v>327778</v>
          </cell>
          <cell r="AZ220">
            <v>5015305</v>
          </cell>
          <cell r="BA220">
            <v>34354.584590750004</v>
          </cell>
          <cell r="BB220">
            <v>293423</v>
          </cell>
          <cell r="BC220">
            <v>5049660</v>
          </cell>
        </row>
        <row r="221">
          <cell r="F221" t="str">
            <v>160718-007</v>
          </cell>
          <cell r="G221" t="str">
            <v>Kontrak 2</v>
          </cell>
          <cell r="H221" t="str">
            <v>Pelaksana</v>
          </cell>
          <cell r="I221" t="str">
            <v>Assembly</v>
          </cell>
          <cell r="J221">
            <v>43297</v>
          </cell>
          <cell r="K221" t="b">
            <v>1</v>
          </cell>
          <cell r="L221">
            <v>43297</v>
          </cell>
          <cell r="M221">
            <v>2</v>
          </cell>
          <cell r="N221">
            <v>10</v>
          </cell>
          <cell r="O221">
            <v>8</v>
          </cell>
          <cell r="Q221">
            <v>5343082</v>
          </cell>
          <cell r="R221">
            <v>4924046</v>
          </cell>
          <cell r="S221">
            <v>5343083</v>
          </cell>
          <cell r="T221">
            <v>0</v>
          </cell>
          <cell r="U221">
            <v>0</v>
          </cell>
          <cell r="V221">
            <v>0</v>
          </cell>
          <cell r="W221">
            <v>5343083</v>
          </cell>
          <cell r="X221">
            <v>5</v>
          </cell>
          <cell r="Z221">
            <v>16</v>
          </cell>
          <cell r="AB221">
            <v>21</v>
          </cell>
          <cell r="AC221">
            <v>1272162.6190476192</v>
          </cell>
          <cell r="AD221">
            <v>4070920.3809523811</v>
          </cell>
          <cell r="AE221">
            <v>5343083</v>
          </cell>
          <cell r="AF221">
            <v>0</v>
          </cell>
          <cell r="AG221">
            <v>5343083</v>
          </cell>
          <cell r="AH221" t="b">
            <v>1</v>
          </cell>
          <cell r="AK221">
            <v>5343083</v>
          </cell>
          <cell r="AL221" t="str">
            <v>K1</v>
          </cell>
          <cell r="AM221">
            <v>5343083</v>
          </cell>
          <cell r="AN221">
            <v>0</v>
          </cell>
          <cell r="AQ221">
            <v>0</v>
          </cell>
          <cell r="AR221">
            <v>38000</v>
          </cell>
          <cell r="AS221">
            <v>31700</v>
          </cell>
          <cell r="AU221">
            <v>10000</v>
          </cell>
          <cell r="AV221">
            <v>53430.83</v>
          </cell>
          <cell r="AW221">
            <v>106861.66</v>
          </cell>
          <cell r="AX221">
            <v>53430.83</v>
          </cell>
          <cell r="AY221">
            <v>293423</v>
          </cell>
          <cell r="AZ221">
            <v>5049660</v>
          </cell>
          <cell r="BA221">
            <v>0</v>
          </cell>
          <cell r="BB221">
            <v>293423</v>
          </cell>
          <cell r="BC221">
            <v>5049660</v>
          </cell>
        </row>
        <row r="222">
          <cell r="F222" t="str">
            <v>160718-009</v>
          </cell>
          <cell r="G222" t="str">
            <v>Kontrak 2</v>
          </cell>
          <cell r="H222" t="str">
            <v>Pelaksana</v>
          </cell>
          <cell r="I222" t="str">
            <v>Assembly</v>
          </cell>
          <cell r="J222">
            <v>43297</v>
          </cell>
          <cell r="K222" t="b">
            <v>1</v>
          </cell>
          <cell r="L222">
            <v>43297</v>
          </cell>
          <cell r="M222">
            <v>2</v>
          </cell>
          <cell r="N222">
            <v>10</v>
          </cell>
          <cell r="O222">
            <v>8</v>
          </cell>
          <cell r="Q222">
            <v>5343082</v>
          </cell>
          <cell r="R222">
            <v>4924046</v>
          </cell>
          <cell r="S222">
            <v>5343083</v>
          </cell>
          <cell r="T222">
            <v>0</v>
          </cell>
          <cell r="U222">
            <v>0</v>
          </cell>
          <cell r="V222">
            <v>0</v>
          </cell>
          <cell r="W222">
            <v>5343083</v>
          </cell>
          <cell r="X222">
            <v>5</v>
          </cell>
          <cell r="Z222">
            <v>16</v>
          </cell>
          <cell r="AB222">
            <v>21</v>
          </cell>
          <cell r="AC222">
            <v>1272162.6190476192</v>
          </cell>
          <cell r="AD222">
            <v>4070920.3809523811</v>
          </cell>
          <cell r="AE222">
            <v>5343083</v>
          </cell>
          <cell r="AF222">
            <v>0</v>
          </cell>
          <cell r="AG222">
            <v>5343083</v>
          </cell>
          <cell r="AH222" t="b">
            <v>1</v>
          </cell>
          <cell r="AK222">
            <v>5343083</v>
          </cell>
          <cell r="AL222" t="str">
            <v>K2</v>
          </cell>
          <cell r="AM222">
            <v>5343083</v>
          </cell>
          <cell r="AN222">
            <v>0</v>
          </cell>
          <cell r="AQ222">
            <v>0</v>
          </cell>
          <cell r="AR222">
            <v>38000</v>
          </cell>
          <cell r="AS222">
            <v>31700</v>
          </cell>
          <cell r="AU222">
            <v>10000</v>
          </cell>
          <cell r="AV222">
            <v>53430.83</v>
          </cell>
          <cell r="AW222">
            <v>106861.66</v>
          </cell>
          <cell r="AX222">
            <v>53430.83</v>
          </cell>
          <cell r="AY222">
            <v>293423</v>
          </cell>
          <cell r="AZ222">
            <v>5049660</v>
          </cell>
          <cell r="BA222">
            <v>0</v>
          </cell>
          <cell r="BB222">
            <v>293423</v>
          </cell>
          <cell r="BC222">
            <v>5049660</v>
          </cell>
        </row>
        <row r="223">
          <cell r="F223" t="str">
            <v>160718-011</v>
          </cell>
          <cell r="G223" t="str">
            <v>Kontrak 2</v>
          </cell>
          <cell r="H223" t="str">
            <v>Pelaksana</v>
          </cell>
          <cell r="I223" t="str">
            <v>Assembly</v>
          </cell>
          <cell r="J223">
            <v>43297</v>
          </cell>
          <cell r="K223" t="b">
            <v>1</v>
          </cell>
          <cell r="L223">
            <v>43297</v>
          </cell>
          <cell r="M223">
            <v>2</v>
          </cell>
          <cell r="N223">
            <v>10</v>
          </cell>
          <cell r="O223">
            <v>8</v>
          </cell>
          <cell r="Q223">
            <v>5343082</v>
          </cell>
          <cell r="R223">
            <v>4924046</v>
          </cell>
          <cell r="S223">
            <v>5343083</v>
          </cell>
          <cell r="T223">
            <v>0</v>
          </cell>
          <cell r="U223">
            <v>0</v>
          </cell>
          <cell r="V223">
            <v>0</v>
          </cell>
          <cell r="W223">
            <v>5343083</v>
          </cell>
          <cell r="X223">
            <v>5</v>
          </cell>
          <cell r="Z223">
            <v>16</v>
          </cell>
          <cell r="AB223">
            <v>21</v>
          </cell>
          <cell r="AC223">
            <v>1272162.6190476192</v>
          </cell>
          <cell r="AD223">
            <v>4070920.3809523811</v>
          </cell>
          <cell r="AE223">
            <v>5343083</v>
          </cell>
          <cell r="AF223">
            <v>0</v>
          </cell>
          <cell r="AG223">
            <v>5343083</v>
          </cell>
          <cell r="AH223" t="b">
            <v>1</v>
          </cell>
          <cell r="AK223">
            <v>5343083</v>
          </cell>
          <cell r="AL223" t="str">
            <v>K1</v>
          </cell>
          <cell r="AM223">
            <v>5343083</v>
          </cell>
          <cell r="AN223">
            <v>0</v>
          </cell>
          <cell r="AQ223">
            <v>0</v>
          </cell>
          <cell r="AR223">
            <v>38000</v>
          </cell>
          <cell r="AS223">
            <v>31700</v>
          </cell>
          <cell r="AU223">
            <v>10000</v>
          </cell>
          <cell r="AV223">
            <v>53430.83</v>
          </cell>
          <cell r="AW223">
            <v>106861.66</v>
          </cell>
          <cell r="AX223">
            <v>53430.83</v>
          </cell>
          <cell r="AY223">
            <v>293423</v>
          </cell>
          <cell r="AZ223">
            <v>5049660</v>
          </cell>
          <cell r="BA223">
            <v>0</v>
          </cell>
          <cell r="BB223">
            <v>293423</v>
          </cell>
          <cell r="BC223">
            <v>5049660</v>
          </cell>
        </row>
        <row r="224">
          <cell r="F224" t="str">
            <v>160718-013</v>
          </cell>
          <cell r="G224" t="str">
            <v>Kontrak 2</v>
          </cell>
          <cell r="H224" t="str">
            <v>Pelaksana</v>
          </cell>
          <cell r="I224" t="str">
            <v>Assembly</v>
          </cell>
          <cell r="J224">
            <v>43297</v>
          </cell>
          <cell r="K224" t="b">
            <v>1</v>
          </cell>
          <cell r="L224">
            <v>43297</v>
          </cell>
          <cell r="M224">
            <v>2</v>
          </cell>
          <cell r="N224">
            <v>10</v>
          </cell>
          <cell r="O224">
            <v>8</v>
          </cell>
          <cell r="Q224">
            <v>5343082</v>
          </cell>
          <cell r="R224">
            <v>4924046</v>
          </cell>
          <cell r="S224">
            <v>5343083</v>
          </cell>
          <cell r="T224">
            <v>0</v>
          </cell>
          <cell r="U224">
            <v>0</v>
          </cell>
          <cell r="V224">
            <v>0</v>
          </cell>
          <cell r="W224">
            <v>5343083</v>
          </cell>
          <cell r="X224">
            <v>5</v>
          </cell>
          <cell r="Z224">
            <v>16</v>
          </cell>
          <cell r="AB224">
            <v>21</v>
          </cell>
          <cell r="AC224">
            <v>1272162.6190476192</v>
          </cell>
          <cell r="AD224">
            <v>4070920.3809523811</v>
          </cell>
          <cell r="AE224">
            <v>5343083</v>
          </cell>
          <cell r="AF224">
            <v>0</v>
          </cell>
          <cell r="AG224">
            <v>5343083</v>
          </cell>
          <cell r="AH224" t="b">
            <v>1</v>
          </cell>
          <cell r="AK224">
            <v>5343083</v>
          </cell>
          <cell r="AL224" t="str">
            <v>K3</v>
          </cell>
          <cell r="AM224">
            <v>5343083</v>
          </cell>
          <cell r="AN224">
            <v>0</v>
          </cell>
          <cell r="AQ224">
            <v>0</v>
          </cell>
          <cell r="AR224">
            <v>38000</v>
          </cell>
          <cell r="AS224">
            <v>31700</v>
          </cell>
          <cell r="AU224">
            <v>10000</v>
          </cell>
          <cell r="AV224">
            <v>53430.83</v>
          </cell>
          <cell r="AW224">
            <v>106861.66</v>
          </cell>
          <cell r="AX224">
            <v>53430.83</v>
          </cell>
          <cell r="AY224">
            <v>293423</v>
          </cell>
          <cell r="AZ224">
            <v>5049660</v>
          </cell>
          <cell r="BA224">
            <v>0</v>
          </cell>
          <cell r="BB224">
            <v>293423</v>
          </cell>
          <cell r="BC224">
            <v>5049660</v>
          </cell>
        </row>
        <row r="225">
          <cell r="F225" t="str">
            <v>200718-003</v>
          </cell>
          <cell r="G225" t="str">
            <v>Kontrak 2</v>
          </cell>
          <cell r="H225" t="str">
            <v>Pelaksana</v>
          </cell>
          <cell r="I225" t="str">
            <v>Assembly</v>
          </cell>
          <cell r="J225">
            <v>43301</v>
          </cell>
          <cell r="K225" t="b">
            <v>1</v>
          </cell>
          <cell r="L225">
            <v>43301</v>
          </cell>
          <cell r="M225">
            <v>2</v>
          </cell>
          <cell r="N225">
            <v>10</v>
          </cell>
          <cell r="O225">
            <v>4</v>
          </cell>
          <cell r="Q225">
            <v>5343082</v>
          </cell>
          <cell r="R225">
            <v>4924046</v>
          </cell>
          <cell r="S225">
            <v>5343083</v>
          </cell>
          <cell r="T225">
            <v>0</v>
          </cell>
          <cell r="U225">
            <v>0</v>
          </cell>
          <cell r="V225">
            <v>0</v>
          </cell>
          <cell r="W225">
            <v>5343083</v>
          </cell>
          <cell r="X225">
            <v>5</v>
          </cell>
          <cell r="Z225">
            <v>16</v>
          </cell>
          <cell r="AB225">
            <v>21</v>
          </cell>
          <cell r="AC225">
            <v>1272162.6190476192</v>
          </cell>
          <cell r="AD225">
            <v>4070920.3809523811</v>
          </cell>
          <cell r="AE225">
            <v>5343083</v>
          </cell>
          <cell r="AF225">
            <v>0</v>
          </cell>
          <cell r="AG225">
            <v>5343083</v>
          </cell>
          <cell r="AH225" t="b">
            <v>1</v>
          </cell>
          <cell r="AK225">
            <v>5343083</v>
          </cell>
          <cell r="AL225" t="str">
            <v>K2</v>
          </cell>
          <cell r="AM225">
            <v>5343083</v>
          </cell>
          <cell r="AN225">
            <v>0</v>
          </cell>
          <cell r="AQ225">
            <v>0</v>
          </cell>
          <cell r="AS225">
            <v>31700</v>
          </cell>
          <cell r="AU225">
            <v>10000</v>
          </cell>
          <cell r="AV225">
            <v>53430.83</v>
          </cell>
          <cell r="AW225">
            <v>106861.66</v>
          </cell>
          <cell r="AX225">
            <v>53430.83</v>
          </cell>
          <cell r="AY225">
            <v>255423</v>
          </cell>
          <cell r="AZ225">
            <v>5087660</v>
          </cell>
          <cell r="BA225">
            <v>0</v>
          </cell>
          <cell r="BB225">
            <v>255423</v>
          </cell>
          <cell r="BC225">
            <v>5087660</v>
          </cell>
        </row>
        <row r="226">
          <cell r="F226" t="str">
            <v>200718-005</v>
          </cell>
          <cell r="G226" t="str">
            <v>Kontrak 2</v>
          </cell>
          <cell r="H226" t="str">
            <v>Pelaksana</v>
          </cell>
          <cell r="I226" t="str">
            <v>Assembly</v>
          </cell>
          <cell r="J226">
            <v>43301</v>
          </cell>
          <cell r="K226" t="b">
            <v>1</v>
          </cell>
          <cell r="L226">
            <v>43301</v>
          </cell>
          <cell r="M226">
            <v>2</v>
          </cell>
          <cell r="N226">
            <v>10</v>
          </cell>
          <cell r="O226">
            <v>4</v>
          </cell>
          <cell r="Q226">
            <v>5343082</v>
          </cell>
          <cell r="R226">
            <v>4924046</v>
          </cell>
          <cell r="S226">
            <v>5343083</v>
          </cell>
          <cell r="T226">
            <v>0</v>
          </cell>
          <cell r="U226">
            <v>0</v>
          </cell>
          <cell r="V226">
            <v>0</v>
          </cell>
          <cell r="W226">
            <v>5343083</v>
          </cell>
          <cell r="X226">
            <v>5</v>
          </cell>
          <cell r="Z226">
            <v>16</v>
          </cell>
          <cell r="AB226">
            <v>21</v>
          </cell>
          <cell r="AC226">
            <v>1272162.6190476192</v>
          </cell>
          <cell r="AD226">
            <v>4070920.3809523811</v>
          </cell>
          <cell r="AE226">
            <v>5343083</v>
          </cell>
          <cell r="AF226">
            <v>0</v>
          </cell>
          <cell r="AG226">
            <v>5343083</v>
          </cell>
          <cell r="AH226" t="b">
            <v>1</v>
          </cell>
          <cell r="AK226">
            <v>5343083</v>
          </cell>
          <cell r="AL226" t="str">
            <v>K3</v>
          </cell>
          <cell r="AM226">
            <v>5343083</v>
          </cell>
          <cell r="AN226">
            <v>0</v>
          </cell>
          <cell r="AQ226">
            <v>0</v>
          </cell>
          <cell r="AR226">
            <v>38000</v>
          </cell>
          <cell r="AS226">
            <v>31700</v>
          </cell>
          <cell r="AU226">
            <v>10000</v>
          </cell>
          <cell r="AV226">
            <v>53430.83</v>
          </cell>
          <cell r="AW226">
            <v>106861.66</v>
          </cell>
          <cell r="AX226">
            <v>53430.83</v>
          </cell>
          <cell r="AY226">
            <v>293423</v>
          </cell>
          <cell r="AZ226">
            <v>5049660</v>
          </cell>
          <cell r="BA226">
            <v>0</v>
          </cell>
          <cell r="BB226">
            <v>293423</v>
          </cell>
          <cell r="BC226">
            <v>5049660</v>
          </cell>
        </row>
        <row r="227">
          <cell r="F227" t="str">
            <v>200718-006</v>
          </cell>
          <cell r="G227" t="str">
            <v>Kontrak 2</v>
          </cell>
          <cell r="H227" t="str">
            <v>Pelaksana</v>
          </cell>
          <cell r="I227" t="str">
            <v>Assembly</v>
          </cell>
          <cell r="J227">
            <v>43301</v>
          </cell>
          <cell r="K227" t="b">
            <v>1</v>
          </cell>
          <cell r="L227">
            <v>43301</v>
          </cell>
          <cell r="M227">
            <v>2</v>
          </cell>
          <cell r="N227">
            <v>10</v>
          </cell>
          <cell r="O227">
            <v>4</v>
          </cell>
          <cell r="Q227">
            <v>5343082</v>
          </cell>
          <cell r="R227">
            <v>4924046</v>
          </cell>
          <cell r="S227">
            <v>5343083</v>
          </cell>
          <cell r="T227">
            <v>0</v>
          </cell>
          <cell r="U227">
            <v>0</v>
          </cell>
          <cell r="V227">
            <v>0</v>
          </cell>
          <cell r="W227">
            <v>5343083</v>
          </cell>
          <cell r="X227">
            <v>5</v>
          </cell>
          <cell r="Z227">
            <v>16</v>
          </cell>
          <cell r="AB227">
            <v>21</v>
          </cell>
          <cell r="AC227">
            <v>1272162.6190476192</v>
          </cell>
          <cell r="AD227">
            <v>4070920.3809523811</v>
          </cell>
          <cell r="AE227">
            <v>5343083</v>
          </cell>
          <cell r="AF227">
            <v>0</v>
          </cell>
          <cell r="AG227">
            <v>5343083</v>
          </cell>
          <cell r="AH227" t="b">
            <v>1</v>
          </cell>
          <cell r="AK227">
            <v>5343083</v>
          </cell>
          <cell r="AL227" t="str">
            <v>K1</v>
          </cell>
          <cell r="AM227">
            <v>5343083</v>
          </cell>
          <cell r="AN227">
            <v>0</v>
          </cell>
          <cell r="AQ227">
            <v>0</v>
          </cell>
          <cell r="AS227">
            <v>31700</v>
          </cell>
          <cell r="AU227">
            <v>10000</v>
          </cell>
          <cell r="AV227">
            <v>53430.83</v>
          </cell>
          <cell r="AW227">
            <v>106861.66</v>
          </cell>
          <cell r="AX227">
            <v>53430.83</v>
          </cell>
          <cell r="AY227">
            <v>255423</v>
          </cell>
          <cell r="AZ227">
            <v>5087660</v>
          </cell>
          <cell r="BA227">
            <v>0</v>
          </cell>
          <cell r="BB227">
            <v>255423</v>
          </cell>
          <cell r="BC227">
            <v>5087660</v>
          </cell>
        </row>
        <row r="228">
          <cell r="F228" t="str">
            <v>200718-007</v>
          </cell>
          <cell r="G228" t="str">
            <v>Kontrak 2</v>
          </cell>
          <cell r="H228" t="str">
            <v>Pelaksana</v>
          </cell>
          <cell r="I228" t="str">
            <v>Assembly</v>
          </cell>
          <cell r="J228">
            <v>43301</v>
          </cell>
          <cell r="K228" t="b">
            <v>1</v>
          </cell>
          <cell r="L228">
            <v>43301</v>
          </cell>
          <cell r="M228">
            <v>2</v>
          </cell>
          <cell r="N228">
            <v>10</v>
          </cell>
          <cell r="O228">
            <v>4</v>
          </cell>
          <cell r="Q228">
            <v>5343082</v>
          </cell>
          <cell r="R228">
            <v>4924046</v>
          </cell>
          <cell r="S228">
            <v>5343083</v>
          </cell>
          <cell r="T228">
            <v>0</v>
          </cell>
          <cell r="U228">
            <v>0</v>
          </cell>
          <cell r="V228">
            <v>0</v>
          </cell>
          <cell r="W228">
            <v>5343083</v>
          </cell>
          <cell r="X228">
            <v>5</v>
          </cell>
          <cell r="Z228">
            <v>16</v>
          </cell>
          <cell r="AB228">
            <v>21</v>
          </cell>
          <cell r="AC228">
            <v>1272162.6190476192</v>
          </cell>
          <cell r="AD228">
            <v>4070920.3809523811</v>
          </cell>
          <cell r="AE228">
            <v>5343083</v>
          </cell>
          <cell r="AF228">
            <v>0</v>
          </cell>
          <cell r="AG228">
            <v>5343083</v>
          </cell>
          <cell r="AH228" t="b">
            <v>1</v>
          </cell>
          <cell r="AK228">
            <v>5343083</v>
          </cell>
          <cell r="AL228" t="str">
            <v>K2</v>
          </cell>
          <cell r="AM228">
            <v>5343083</v>
          </cell>
          <cell r="AN228">
            <v>0</v>
          </cell>
          <cell r="AQ228">
            <v>0</v>
          </cell>
          <cell r="AS228">
            <v>31700</v>
          </cell>
          <cell r="AU228">
            <v>10000</v>
          </cell>
          <cell r="AV228">
            <v>53430.83</v>
          </cell>
          <cell r="AW228">
            <v>106861.66</v>
          </cell>
          <cell r="AX228">
            <v>53430.83</v>
          </cell>
          <cell r="AY228">
            <v>255423</v>
          </cell>
          <cell r="AZ228">
            <v>5087660</v>
          </cell>
          <cell r="BA228">
            <v>0</v>
          </cell>
          <cell r="BB228">
            <v>255423</v>
          </cell>
          <cell r="BC228">
            <v>5087660</v>
          </cell>
        </row>
        <row r="229">
          <cell r="F229" t="str">
            <v>200718-012</v>
          </cell>
          <cell r="G229" t="str">
            <v>Kontrak 2</v>
          </cell>
          <cell r="H229" t="str">
            <v>Pelaksana</v>
          </cell>
          <cell r="I229" t="str">
            <v>Assembly</v>
          </cell>
          <cell r="J229">
            <v>43301</v>
          </cell>
          <cell r="K229" t="b">
            <v>1</v>
          </cell>
          <cell r="L229">
            <v>43301</v>
          </cell>
          <cell r="M229">
            <v>2</v>
          </cell>
          <cell r="N229">
            <v>10</v>
          </cell>
          <cell r="O229">
            <v>4</v>
          </cell>
          <cell r="Q229">
            <v>5343082</v>
          </cell>
          <cell r="R229">
            <v>4924046</v>
          </cell>
          <cell r="S229">
            <v>5343083</v>
          </cell>
          <cell r="T229">
            <v>0</v>
          </cell>
          <cell r="U229">
            <v>0</v>
          </cell>
          <cell r="V229">
            <v>0</v>
          </cell>
          <cell r="W229">
            <v>5343083</v>
          </cell>
          <cell r="X229">
            <v>5</v>
          </cell>
          <cell r="Z229">
            <v>16</v>
          </cell>
          <cell r="AB229">
            <v>21</v>
          </cell>
          <cell r="AC229">
            <v>1272162.6190476192</v>
          </cell>
          <cell r="AD229">
            <v>4070920.3809523811</v>
          </cell>
          <cell r="AE229">
            <v>5343083</v>
          </cell>
          <cell r="AF229">
            <v>0</v>
          </cell>
          <cell r="AG229">
            <v>5343083</v>
          </cell>
          <cell r="AH229" t="b">
            <v>1</v>
          </cell>
          <cell r="AK229">
            <v>5343083</v>
          </cell>
          <cell r="AL229" t="str">
            <v>TK</v>
          </cell>
          <cell r="AM229">
            <v>5343083</v>
          </cell>
          <cell r="AN229">
            <v>34354.584590750004</v>
          </cell>
          <cell r="AQ229">
            <v>0</v>
          </cell>
          <cell r="AS229">
            <v>31700</v>
          </cell>
          <cell r="AU229">
            <v>10000</v>
          </cell>
          <cell r="AV229">
            <v>53430.83</v>
          </cell>
          <cell r="AW229">
            <v>106861.66</v>
          </cell>
          <cell r="AX229">
            <v>53430.83</v>
          </cell>
          <cell r="AY229">
            <v>289778</v>
          </cell>
          <cell r="AZ229">
            <v>5053305</v>
          </cell>
          <cell r="BA229">
            <v>34354.584590750004</v>
          </cell>
          <cell r="BB229">
            <v>255423</v>
          </cell>
          <cell r="BC229">
            <v>5087660</v>
          </cell>
        </row>
        <row r="230">
          <cell r="F230" t="str">
            <v>200718-016</v>
          </cell>
          <cell r="G230" t="str">
            <v>Kontrak 2</v>
          </cell>
          <cell r="H230" t="str">
            <v>Pelaksana</v>
          </cell>
          <cell r="I230" t="str">
            <v>Assembly</v>
          </cell>
          <cell r="J230">
            <v>43301</v>
          </cell>
          <cell r="K230" t="b">
            <v>1</v>
          </cell>
          <cell r="L230">
            <v>43301</v>
          </cell>
          <cell r="M230">
            <v>2</v>
          </cell>
          <cell r="N230">
            <v>10</v>
          </cell>
          <cell r="O230">
            <v>4</v>
          </cell>
          <cell r="Q230">
            <v>5343082</v>
          </cell>
          <cell r="R230">
            <v>4924046</v>
          </cell>
          <cell r="S230">
            <v>5343083</v>
          </cell>
          <cell r="T230">
            <v>0</v>
          </cell>
          <cell r="U230">
            <v>0</v>
          </cell>
          <cell r="V230">
            <v>0</v>
          </cell>
          <cell r="W230">
            <v>5343083</v>
          </cell>
          <cell r="X230">
            <v>5</v>
          </cell>
          <cell r="Z230">
            <v>16</v>
          </cell>
          <cell r="AB230">
            <v>21</v>
          </cell>
          <cell r="AC230">
            <v>1272162.6190476192</v>
          </cell>
          <cell r="AD230">
            <v>4070920.3809523811</v>
          </cell>
          <cell r="AE230">
            <v>5343083</v>
          </cell>
          <cell r="AF230">
            <v>0</v>
          </cell>
          <cell r="AG230">
            <v>5343083</v>
          </cell>
          <cell r="AH230" t="b">
            <v>1</v>
          </cell>
          <cell r="AK230">
            <v>5343083</v>
          </cell>
          <cell r="AL230" t="str">
            <v>K1</v>
          </cell>
          <cell r="AM230">
            <v>5343083</v>
          </cell>
          <cell r="AN230">
            <v>0</v>
          </cell>
          <cell r="AQ230">
            <v>0</v>
          </cell>
          <cell r="AS230">
            <v>31700</v>
          </cell>
          <cell r="AV230">
            <v>53430.83</v>
          </cell>
          <cell r="AW230">
            <v>106861.66</v>
          </cell>
          <cell r="AX230">
            <v>53430.83</v>
          </cell>
          <cell r="AY230">
            <v>245423</v>
          </cell>
          <cell r="AZ230">
            <v>5097660</v>
          </cell>
          <cell r="BA230">
            <v>0</v>
          </cell>
          <cell r="BB230">
            <v>245423</v>
          </cell>
          <cell r="BC230">
            <v>5097660</v>
          </cell>
        </row>
        <row r="231">
          <cell r="F231" t="str">
            <v>200718-018</v>
          </cell>
          <cell r="G231" t="str">
            <v>Kontrak 2</v>
          </cell>
          <cell r="H231" t="str">
            <v>Pelaksana</v>
          </cell>
          <cell r="I231" t="str">
            <v>Assembly</v>
          </cell>
          <cell r="J231">
            <v>43301</v>
          </cell>
          <cell r="K231" t="b">
            <v>1</v>
          </cell>
          <cell r="L231">
            <v>43301</v>
          </cell>
          <cell r="M231">
            <v>2</v>
          </cell>
          <cell r="N231">
            <v>10</v>
          </cell>
          <cell r="O231">
            <v>4</v>
          </cell>
          <cell r="Q231">
            <v>5343082</v>
          </cell>
          <cell r="R231">
            <v>4924046</v>
          </cell>
          <cell r="S231">
            <v>5343083</v>
          </cell>
          <cell r="T231">
            <v>0</v>
          </cell>
          <cell r="U231">
            <v>0</v>
          </cell>
          <cell r="V231">
            <v>0</v>
          </cell>
          <cell r="W231">
            <v>5343083</v>
          </cell>
          <cell r="X231">
            <v>5</v>
          </cell>
          <cell r="Z231">
            <v>16</v>
          </cell>
          <cell r="AB231">
            <v>21</v>
          </cell>
          <cell r="AC231">
            <v>1272162.6190476192</v>
          </cell>
          <cell r="AD231">
            <v>4070920.3809523811</v>
          </cell>
          <cell r="AE231">
            <v>5343083</v>
          </cell>
          <cell r="AF231">
            <v>0</v>
          </cell>
          <cell r="AG231">
            <v>5343083</v>
          </cell>
          <cell r="AH231" t="b">
            <v>1</v>
          </cell>
          <cell r="AK231">
            <v>5343083</v>
          </cell>
          <cell r="AL231" t="str">
            <v>K0</v>
          </cell>
          <cell r="AM231">
            <v>5343083</v>
          </cell>
          <cell r="AN231">
            <v>15604.584590750002</v>
          </cell>
          <cell r="AQ231">
            <v>0</v>
          </cell>
          <cell r="AS231">
            <v>31700</v>
          </cell>
          <cell r="AU231">
            <v>10000</v>
          </cell>
          <cell r="AV231">
            <v>53430.83</v>
          </cell>
          <cell r="AW231">
            <v>106861.66</v>
          </cell>
          <cell r="AX231">
            <v>53430.83</v>
          </cell>
          <cell r="AY231">
            <v>271028</v>
          </cell>
          <cell r="AZ231">
            <v>5072055</v>
          </cell>
          <cell r="BA231">
            <v>15604.584590750002</v>
          </cell>
          <cell r="BB231">
            <v>255423</v>
          </cell>
          <cell r="BC231">
            <v>5087660</v>
          </cell>
        </row>
        <row r="232">
          <cell r="F232" t="str">
            <v>200718-023</v>
          </cell>
          <cell r="G232" t="str">
            <v>Kontrak 2</v>
          </cell>
          <cell r="H232" t="str">
            <v>Pelaksana</v>
          </cell>
          <cell r="I232" t="str">
            <v>Assembly</v>
          </cell>
          <cell r="J232">
            <v>43301</v>
          </cell>
          <cell r="K232" t="b">
            <v>1</v>
          </cell>
          <cell r="L232">
            <v>43301</v>
          </cell>
          <cell r="M232">
            <v>2</v>
          </cell>
          <cell r="N232">
            <v>10</v>
          </cell>
          <cell r="O232">
            <v>4</v>
          </cell>
          <cell r="Q232">
            <v>5343082</v>
          </cell>
          <cell r="R232">
            <v>4924046</v>
          </cell>
          <cell r="S232">
            <v>5343083</v>
          </cell>
          <cell r="T232">
            <v>0</v>
          </cell>
          <cell r="U232">
            <v>0</v>
          </cell>
          <cell r="V232">
            <v>0</v>
          </cell>
          <cell r="W232">
            <v>5343083</v>
          </cell>
          <cell r="X232">
            <v>5</v>
          </cell>
          <cell r="Z232">
            <v>16</v>
          </cell>
          <cell r="AB232">
            <v>21</v>
          </cell>
          <cell r="AC232">
            <v>1272162.6190476192</v>
          </cell>
          <cell r="AD232">
            <v>4070920.3809523811</v>
          </cell>
          <cell r="AE232">
            <v>5343083</v>
          </cell>
          <cell r="AF232">
            <v>0</v>
          </cell>
          <cell r="AG232">
            <v>5343083</v>
          </cell>
          <cell r="AH232" t="b">
            <v>1</v>
          </cell>
          <cell r="AK232">
            <v>5343083</v>
          </cell>
          <cell r="AL232" t="str">
            <v>K1</v>
          </cell>
          <cell r="AM232">
            <v>5343083</v>
          </cell>
          <cell r="AN232">
            <v>0</v>
          </cell>
          <cell r="AQ232">
            <v>0</v>
          </cell>
          <cell r="AS232">
            <v>31700</v>
          </cell>
          <cell r="AU232">
            <v>10000</v>
          </cell>
          <cell r="AV232">
            <v>53430.83</v>
          </cell>
          <cell r="AW232">
            <v>106861.66</v>
          </cell>
          <cell r="AX232">
            <v>53430.83</v>
          </cell>
          <cell r="AY232">
            <v>255423</v>
          </cell>
          <cell r="AZ232">
            <v>5087660</v>
          </cell>
          <cell r="BA232">
            <v>0</v>
          </cell>
          <cell r="BB232">
            <v>255423</v>
          </cell>
          <cell r="BC232">
            <v>5087660</v>
          </cell>
        </row>
        <row r="233">
          <cell r="F233" t="str">
            <v>200718-024</v>
          </cell>
          <cell r="G233" t="str">
            <v>Kontrak 2</v>
          </cell>
          <cell r="H233" t="str">
            <v>Pelaksana</v>
          </cell>
          <cell r="I233" t="str">
            <v>Assembly</v>
          </cell>
          <cell r="J233">
            <v>43301</v>
          </cell>
          <cell r="K233" t="b">
            <v>1</v>
          </cell>
          <cell r="L233">
            <v>43301</v>
          </cell>
          <cell r="M233">
            <v>2</v>
          </cell>
          <cell r="N233">
            <v>10</v>
          </cell>
          <cell r="O233">
            <v>4</v>
          </cell>
          <cell r="Q233">
            <v>5343082</v>
          </cell>
          <cell r="R233">
            <v>4924046</v>
          </cell>
          <cell r="S233">
            <v>5343083</v>
          </cell>
          <cell r="T233">
            <v>0</v>
          </cell>
          <cell r="U233">
            <v>0</v>
          </cell>
          <cell r="V233">
            <v>0</v>
          </cell>
          <cell r="W233">
            <v>5343083</v>
          </cell>
          <cell r="X233">
            <v>5</v>
          </cell>
          <cell r="Z233">
            <v>16</v>
          </cell>
          <cell r="AB233">
            <v>21</v>
          </cell>
          <cell r="AC233">
            <v>1272162.6190476192</v>
          </cell>
          <cell r="AD233">
            <v>4070920.3809523811</v>
          </cell>
          <cell r="AE233">
            <v>5343083</v>
          </cell>
          <cell r="AF233">
            <v>0</v>
          </cell>
          <cell r="AG233">
            <v>5343083</v>
          </cell>
          <cell r="AH233" t="b">
            <v>1</v>
          </cell>
          <cell r="AK233">
            <v>5343083</v>
          </cell>
          <cell r="AL233" t="str">
            <v>K1</v>
          </cell>
          <cell r="AM233">
            <v>5343083</v>
          </cell>
          <cell r="AN233">
            <v>0</v>
          </cell>
          <cell r="AQ233">
            <v>0</v>
          </cell>
          <cell r="AS233">
            <v>31700</v>
          </cell>
          <cell r="AV233">
            <v>53430.83</v>
          </cell>
          <cell r="AW233">
            <v>106861.66</v>
          </cell>
          <cell r="AX233">
            <v>53430.83</v>
          </cell>
          <cell r="AY233">
            <v>245423</v>
          </cell>
          <cell r="AZ233">
            <v>5097660</v>
          </cell>
          <cell r="BA233">
            <v>0</v>
          </cell>
          <cell r="BB233">
            <v>245423</v>
          </cell>
          <cell r="BC233">
            <v>5097660</v>
          </cell>
        </row>
        <row r="234">
          <cell r="F234" t="str">
            <v>310718-003</v>
          </cell>
          <cell r="G234" t="str">
            <v>Kontrak 2</v>
          </cell>
          <cell r="H234" t="str">
            <v>Pelaksana</v>
          </cell>
          <cell r="I234" t="str">
            <v>Assembly</v>
          </cell>
          <cell r="J234">
            <v>43312</v>
          </cell>
          <cell r="K234" t="b">
            <v>1</v>
          </cell>
          <cell r="L234">
            <v>43312</v>
          </cell>
          <cell r="M234">
            <v>2</v>
          </cell>
          <cell r="N234">
            <v>9</v>
          </cell>
          <cell r="O234">
            <v>23</v>
          </cell>
          <cell r="Q234">
            <v>5343082</v>
          </cell>
          <cell r="R234">
            <v>4924046</v>
          </cell>
          <cell r="S234">
            <v>5343083</v>
          </cell>
          <cell r="T234">
            <v>0</v>
          </cell>
          <cell r="U234">
            <v>0</v>
          </cell>
          <cell r="V234">
            <v>0</v>
          </cell>
          <cell r="W234">
            <v>5343083</v>
          </cell>
          <cell r="X234">
            <v>5</v>
          </cell>
          <cell r="Z234">
            <v>16</v>
          </cell>
          <cell r="AB234">
            <v>21</v>
          </cell>
          <cell r="AC234">
            <v>1272162.6190476192</v>
          </cell>
          <cell r="AD234">
            <v>4070920.3809523811</v>
          </cell>
          <cell r="AE234">
            <v>5343083</v>
          </cell>
          <cell r="AF234">
            <v>0</v>
          </cell>
          <cell r="AG234">
            <v>5343083</v>
          </cell>
          <cell r="AH234" t="b">
            <v>1</v>
          </cell>
          <cell r="AK234">
            <v>5343083</v>
          </cell>
          <cell r="AL234" t="str">
            <v>K0</v>
          </cell>
          <cell r="AM234">
            <v>5343083</v>
          </cell>
          <cell r="AN234">
            <v>15604.584590750002</v>
          </cell>
          <cell r="AQ234">
            <v>0</v>
          </cell>
          <cell r="AR234">
            <v>38000</v>
          </cell>
          <cell r="AS234">
            <v>31700</v>
          </cell>
          <cell r="AU234">
            <v>10000</v>
          </cell>
          <cell r="AV234">
            <v>53430.83</v>
          </cell>
          <cell r="AW234">
            <v>106861.66</v>
          </cell>
          <cell r="AX234">
            <v>53430.83</v>
          </cell>
          <cell r="AY234">
            <v>309028</v>
          </cell>
          <cell r="AZ234">
            <v>5034055</v>
          </cell>
          <cell r="BA234">
            <v>15604.584590750002</v>
          </cell>
          <cell r="BB234">
            <v>293423</v>
          </cell>
          <cell r="BC234">
            <v>5049660</v>
          </cell>
        </row>
        <row r="235">
          <cell r="F235" t="str">
            <v>310718-005</v>
          </cell>
          <cell r="G235" t="str">
            <v>Kontrak 2</v>
          </cell>
          <cell r="H235" t="str">
            <v>Pelaksana</v>
          </cell>
          <cell r="I235" t="str">
            <v>Assembly</v>
          </cell>
          <cell r="J235">
            <v>43312</v>
          </cell>
          <cell r="K235" t="b">
            <v>1</v>
          </cell>
          <cell r="L235">
            <v>43312</v>
          </cell>
          <cell r="M235">
            <v>2</v>
          </cell>
          <cell r="N235">
            <v>9</v>
          </cell>
          <cell r="O235">
            <v>23</v>
          </cell>
          <cell r="Q235">
            <v>5343082</v>
          </cell>
          <cell r="R235">
            <v>4924046</v>
          </cell>
          <cell r="S235">
            <v>5343083</v>
          </cell>
          <cell r="T235">
            <v>0</v>
          </cell>
          <cell r="U235">
            <v>0</v>
          </cell>
          <cell r="V235">
            <v>0</v>
          </cell>
          <cell r="W235">
            <v>5343083</v>
          </cell>
          <cell r="X235">
            <v>5</v>
          </cell>
          <cell r="Z235">
            <v>16</v>
          </cell>
          <cell r="AB235">
            <v>21</v>
          </cell>
          <cell r="AC235">
            <v>1272162.6190476192</v>
          </cell>
          <cell r="AD235">
            <v>4070920.3809523811</v>
          </cell>
          <cell r="AE235">
            <v>5343083</v>
          </cell>
          <cell r="AF235">
            <v>0</v>
          </cell>
          <cell r="AG235">
            <v>5343083</v>
          </cell>
          <cell r="AH235" t="b">
            <v>1</v>
          </cell>
          <cell r="AK235">
            <v>5343083</v>
          </cell>
          <cell r="AL235" t="str">
            <v>K1</v>
          </cell>
          <cell r="AM235">
            <v>5343083</v>
          </cell>
          <cell r="AN235">
            <v>0</v>
          </cell>
          <cell r="AQ235">
            <v>0</v>
          </cell>
          <cell r="AR235">
            <v>38000</v>
          </cell>
          <cell r="AS235">
            <v>31700</v>
          </cell>
          <cell r="AU235">
            <v>10000</v>
          </cell>
          <cell r="AV235">
            <v>53430.83</v>
          </cell>
          <cell r="AW235">
            <v>106861.66</v>
          </cell>
          <cell r="AX235">
            <v>53430.83</v>
          </cell>
          <cell r="AY235">
            <v>293423</v>
          </cell>
          <cell r="AZ235">
            <v>5049660</v>
          </cell>
          <cell r="BA235">
            <v>0</v>
          </cell>
          <cell r="BB235">
            <v>293423</v>
          </cell>
          <cell r="BC235">
            <v>5049660</v>
          </cell>
        </row>
        <row r="236">
          <cell r="F236" t="str">
            <v>310718-007</v>
          </cell>
          <cell r="G236" t="str">
            <v>Kontrak 2</v>
          </cell>
          <cell r="H236" t="str">
            <v>Pelaksana</v>
          </cell>
          <cell r="I236" t="str">
            <v>Assembly</v>
          </cell>
          <cell r="J236">
            <v>43312</v>
          </cell>
          <cell r="K236" t="b">
            <v>1</v>
          </cell>
          <cell r="L236">
            <v>43312</v>
          </cell>
          <cell r="M236">
            <v>2</v>
          </cell>
          <cell r="N236">
            <v>9</v>
          </cell>
          <cell r="O236">
            <v>23</v>
          </cell>
          <cell r="Q236">
            <v>5343082</v>
          </cell>
          <cell r="R236">
            <v>4924046</v>
          </cell>
          <cell r="S236">
            <v>5343083</v>
          </cell>
          <cell r="T236">
            <v>0</v>
          </cell>
          <cell r="U236">
            <v>0</v>
          </cell>
          <cell r="V236">
            <v>0</v>
          </cell>
          <cell r="W236">
            <v>5343083</v>
          </cell>
          <cell r="X236">
            <v>5</v>
          </cell>
          <cell r="Z236">
            <v>16</v>
          </cell>
          <cell r="AB236">
            <v>21</v>
          </cell>
          <cell r="AC236">
            <v>1272162.6190476192</v>
          </cell>
          <cell r="AD236">
            <v>4070920.3809523811</v>
          </cell>
          <cell r="AE236">
            <v>5343083</v>
          </cell>
          <cell r="AF236">
            <v>0</v>
          </cell>
          <cell r="AG236">
            <v>5343083</v>
          </cell>
          <cell r="AH236" t="b">
            <v>1</v>
          </cell>
          <cell r="AK236">
            <v>5343083</v>
          </cell>
          <cell r="AL236" t="str">
            <v>K2</v>
          </cell>
          <cell r="AM236">
            <v>5343083</v>
          </cell>
          <cell r="AN236">
            <v>0</v>
          </cell>
          <cell r="AQ236">
            <v>0</v>
          </cell>
          <cell r="AR236">
            <v>38000</v>
          </cell>
          <cell r="AS236">
            <v>31700</v>
          </cell>
          <cell r="AU236">
            <v>10000</v>
          </cell>
          <cell r="AV236">
            <v>53430.83</v>
          </cell>
          <cell r="AW236">
            <v>106861.66</v>
          </cell>
          <cell r="AX236">
            <v>53430.83</v>
          </cell>
          <cell r="AY236">
            <v>293423</v>
          </cell>
          <cell r="AZ236">
            <v>5049660</v>
          </cell>
          <cell r="BA236">
            <v>0</v>
          </cell>
          <cell r="BB236">
            <v>293423</v>
          </cell>
          <cell r="BC236">
            <v>5049660</v>
          </cell>
        </row>
        <row r="237">
          <cell r="F237" t="str">
            <v>310718-008</v>
          </cell>
          <cell r="G237" t="str">
            <v>Kontrak 2</v>
          </cell>
          <cell r="H237" t="str">
            <v>Pelaksana</v>
          </cell>
          <cell r="I237" t="str">
            <v>Assembly</v>
          </cell>
          <cell r="J237">
            <v>43312</v>
          </cell>
          <cell r="K237" t="b">
            <v>1</v>
          </cell>
          <cell r="L237">
            <v>43312</v>
          </cell>
          <cell r="M237">
            <v>2</v>
          </cell>
          <cell r="N237">
            <v>9</v>
          </cell>
          <cell r="O237">
            <v>23</v>
          </cell>
          <cell r="Q237">
            <v>5343082</v>
          </cell>
          <cell r="R237">
            <v>4924046</v>
          </cell>
          <cell r="S237">
            <v>5343083</v>
          </cell>
          <cell r="T237">
            <v>0</v>
          </cell>
          <cell r="U237">
            <v>0</v>
          </cell>
          <cell r="V237">
            <v>0</v>
          </cell>
          <cell r="W237">
            <v>5343083</v>
          </cell>
          <cell r="X237">
            <v>5</v>
          </cell>
          <cell r="Z237">
            <v>16</v>
          </cell>
          <cell r="AB237">
            <v>21</v>
          </cell>
          <cell r="AC237">
            <v>1272162.6190476192</v>
          </cell>
          <cell r="AD237">
            <v>4070920.3809523811</v>
          </cell>
          <cell r="AE237">
            <v>5343083</v>
          </cell>
          <cell r="AF237">
            <v>0</v>
          </cell>
          <cell r="AG237">
            <v>5343083</v>
          </cell>
          <cell r="AH237" t="b">
            <v>1</v>
          </cell>
          <cell r="AK237">
            <v>5343083</v>
          </cell>
          <cell r="AL237" t="str">
            <v>K1</v>
          </cell>
          <cell r="AM237">
            <v>5343083</v>
          </cell>
          <cell r="AN237">
            <v>0</v>
          </cell>
          <cell r="AQ237">
            <v>0</v>
          </cell>
          <cell r="AR237">
            <v>38000</v>
          </cell>
          <cell r="AS237">
            <v>31700</v>
          </cell>
          <cell r="AU237">
            <v>10000</v>
          </cell>
          <cell r="AV237">
            <v>53430.83</v>
          </cell>
          <cell r="AW237">
            <v>106861.66</v>
          </cell>
          <cell r="AX237">
            <v>53430.83</v>
          </cell>
          <cell r="AY237">
            <v>293423</v>
          </cell>
          <cell r="AZ237">
            <v>5049660</v>
          </cell>
          <cell r="BA237">
            <v>0</v>
          </cell>
          <cell r="BB237">
            <v>293423</v>
          </cell>
          <cell r="BC237">
            <v>5049660</v>
          </cell>
        </row>
        <row r="238">
          <cell r="F238" t="str">
            <v>310718-009</v>
          </cell>
          <cell r="G238" t="str">
            <v>Kontrak 2</v>
          </cell>
          <cell r="H238" t="str">
            <v>Pelaksana</v>
          </cell>
          <cell r="I238" t="str">
            <v>Assembly</v>
          </cell>
          <cell r="J238">
            <v>43312</v>
          </cell>
          <cell r="K238" t="b">
            <v>1</v>
          </cell>
          <cell r="L238">
            <v>43312</v>
          </cell>
          <cell r="M238">
            <v>2</v>
          </cell>
          <cell r="N238">
            <v>9</v>
          </cell>
          <cell r="O238">
            <v>23</v>
          </cell>
          <cell r="Q238">
            <v>5343082</v>
          </cell>
          <cell r="R238">
            <v>4924046</v>
          </cell>
          <cell r="S238">
            <v>5343083</v>
          </cell>
          <cell r="T238">
            <v>0</v>
          </cell>
          <cell r="U238">
            <v>0</v>
          </cell>
          <cell r="V238">
            <v>0</v>
          </cell>
          <cell r="W238">
            <v>5343083</v>
          </cell>
          <cell r="X238">
            <v>5</v>
          </cell>
          <cell r="Z238">
            <v>16</v>
          </cell>
          <cell r="AB238">
            <v>21</v>
          </cell>
          <cell r="AC238">
            <v>1272162.6190476192</v>
          </cell>
          <cell r="AD238">
            <v>4070920.3809523811</v>
          </cell>
          <cell r="AE238">
            <v>5343083</v>
          </cell>
          <cell r="AF238">
            <v>0</v>
          </cell>
          <cell r="AG238">
            <v>5343083</v>
          </cell>
          <cell r="AH238" t="b">
            <v>1</v>
          </cell>
          <cell r="AK238">
            <v>5343083</v>
          </cell>
          <cell r="AL238" t="str">
            <v>K0</v>
          </cell>
          <cell r="AM238">
            <v>5343083</v>
          </cell>
          <cell r="AN238">
            <v>15604.584590750002</v>
          </cell>
          <cell r="AQ238">
            <v>0</v>
          </cell>
          <cell r="AR238">
            <v>38000</v>
          </cell>
          <cell r="AS238">
            <v>31700</v>
          </cell>
          <cell r="AU238">
            <v>10000</v>
          </cell>
          <cell r="AV238">
            <v>53430.83</v>
          </cell>
          <cell r="AW238">
            <v>106861.66</v>
          </cell>
          <cell r="AX238">
            <v>53430.83</v>
          </cell>
          <cell r="AY238">
            <v>309028</v>
          </cell>
          <cell r="AZ238">
            <v>5034055</v>
          </cell>
          <cell r="BA238">
            <v>15604.584590750002</v>
          </cell>
          <cell r="BB238">
            <v>293423</v>
          </cell>
          <cell r="BC238">
            <v>5049660</v>
          </cell>
        </row>
        <row r="239">
          <cell r="F239" t="str">
            <v>310718-010</v>
          </cell>
          <cell r="G239" t="str">
            <v>Kontrak 2</v>
          </cell>
          <cell r="H239" t="str">
            <v>Pelaksana</v>
          </cell>
          <cell r="I239" t="str">
            <v>Assembly</v>
          </cell>
          <cell r="J239">
            <v>43312</v>
          </cell>
          <cell r="K239" t="b">
            <v>1</v>
          </cell>
          <cell r="L239">
            <v>43312</v>
          </cell>
          <cell r="M239">
            <v>2</v>
          </cell>
          <cell r="N239">
            <v>9</v>
          </cell>
          <cell r="O239">
            <v>23</v>
          </cell>
          <cell r="Q239">
            <v>5343082</v>
          </cell>
          <cell r="R239">
            <v>4924046</v>
          </cell>
          <cell r="S239">
            <v>5343083</v>
          </cell>
          <cell r="T239">
            <v>0</v>
          </cell>
          <cell r="U239">
            <v>0</v>
          </cell>
          <cell r="V239">
            <v>0</v>
          </cell>
          <cell r="W239">
            <v>5343083</v>
          </cell>
          <cell r="X239">
            <v>5</v>
          </cell>
          <cell r="Z239">
            <v>16</v>
          </cell>
          <cell r="AB239">
            <v>21</v>
          </cell>
          <cell r="AC239">
            <v>1272162.6190476192</v>
          </cell>
          <cell r="AD239">
            <v>4070920.3809523811</v>
          </cell>
          <cell r="AE239">
            <v>5343083</v>
          </cell>
          <cell r="AF239">
            <v>0</v>
          </cell>
          <cell r="AG239">
            <v>5343083</v>
          </cell>
          <cell r="AH239" t="b">
            <v>1</v>
          </cell>
          <cell r="AK239">
            <v>5343083</v>
          </cell>
          <cell r="AL239" t="str">
            <v>TK</v>
          </cell>
          <cell r="AM239">
            <v>5343083</v>
          </cell>
          <cell r="AN239">
            <v>34354.584590750004</v>
          </cell>
          <cell r="AQ239">
            <v>0</v>
          </cell>
          <cell r="AR239">
            <v>38000</v>
          </cell>
          <cell r="AS239">
            <v>31700</v>
          </cell>
          <cell r="AU239">
            <v>10000</v>
          </cell>
          <cell r="AV239">
            <v>53430.83</v>
          </cell>
          <cell r="AW239">
            <v>106861.66</v>
          </cell>
          <cell r="AX239">
            <v>53430.83</v>
          </cell>
          <cell r="AY239">
            <v>327778</v>
          </cell>
          <cell r="AZ239">
            <v>5015305</v>
          </cell>
          <cell r="BA239">
            <v>34354.584590750004</v>
          </cell>
          <cell r="BB239">
            <v>293423</v>
          </cell>
          <cell r="BC239">
            <v>5049660</v>
          </cell>
        </row>
        <row r="240">
          <cell r="F240" t="str">
            <v>120918-004</v>
          </cell>
          <cell r="G240" t="str">
            <v>Kontrak 2</v>
          </cell>
          <cell r="H240" t="str">
            <v>Pelaksana</v>
          </cell>
          <cell r="I240" t="str">
            <v>Assembly</v>
          </cell>
          <cell r="J240">
            <v>43355</v>
          </cell>
          <cell r="K240" t="b">
            <v>1</v>
          </cell>
          <cell r="L240">
            <v>43355</v>
          </cell>
          <cell r="M240">
            <v>2</v>
          </cell>
          <cell r="N240">
            <v>8</v>
          </cell>
          <cell r="O240">
            <v>12</v>
          </cell>
          <cell r="Q240">
            <v>5343082</v>
          </cell>
          <cell r="R240">
            <v>4924046</v>
          </cell>
          <cell r="S240">
            <v>5343083</v>
          </cell>
          <cell r="T240">
            <v>0</v>
          </cell>
          <cell r="U240">
            <v>0</v>
          </cell>
          <cell r="V240">
            <v>0</v>
          </cell>
          <cell r="W240">
            <v>5343083</v>
          </cell>
          <cell r="X240">
            <v>5</v>
          </cell>
          <cell r="Z240">
            <v>16</v>
          </cell>
          <cell r="AB240">
            <v>21</v>
          </cell>
          <cell r="AC240">
            <v>1272162.6190476192</v>
          </cell>
          <cell r="AD240">
            <v>4070920.3809523811</v>
          </cell>
          <cell r="AE240">
            <v>5343083</v>
          </cell>
          <cell r="AF240">
            <v>0</v>
          </cell>
          <cell r="AG240">
            <v>5343083</v>
          </cell>
          <cell r="AH240" t="b">
            <v>1</v>
          </cell>
          <cell r="AK240">
            <v>5343083</v>
          </cell>
          <cell r="AL240" t="str">
            <v>TK</v>
          </cell>
          <cell r="AM240">
            <v>5343083</v>
          </cell>
          <cell r="AN240">
            <v>34354.584590750004</v>
          </cell>
          <cell r="AQ240">
            <v>0</v>
          </cell>
          <cell r="AR240">
            <v>38000</v>
          </cell>
          <cell r="AS240">
            <v>31700</v>
          </cell>
          <cell r="AV240">
            <v>53430.83</v>
          </cell>
          <cell r="AW240">
            <v>106861.66</v>
          </cell>
          <cell r="AX240">
            <v>53430.83</v>
          </cell>
          <cell r="AY240">
            <v>317778</v>
          </cell>
          <cell r="AZ240">
            <v>5025305</v>
          </cell>
          <cell r="BA240">
            <v>34354.584590750004</v>
          </cell>
          <cell r="BB240">
            <v>283423</v>
          </cell>
          <cell r="BC240">
            <v>5059660</v>
          </cell>
        </row>
        <row r="241">
          <cell r="F241" t="str">
            <v>231018-006</v>
          </cell>
          <cell r="G241" t="str">
            <v>Kontrak 2</v>
          </cell>
          <cell r="H241" t="str">
            <v>Pelaksana</v>
          </cell>
          <cell r="I241" t="str">
            <v>Assembly</v>
          </cell>
          <cell r="J241">
            <v>43396</v>
          </cell>
          <cell r="K241" t="b">
            <v>1</v>
          </cell>
          <cell r="L241">
            <v>43396</v>
          </cell>
          <cell r="M241">
            <v>2</v>
          </cell>
          <cell r="N241">
            <v>7</v>
          </cell>
          <cell r="O241">
            <v>1</v>
          </cell>
          <cell r="Q241">
            <v>5343082</v>
          </cell>
          <cell r="R241">
            <v>4924046</v>
          </cell>
          <cell r="S241">
            <v>5343083</v>
          </cell>
          <cell r="T241">
            <v>0</v>
          </cell>
          <cell r="U241">
            <v>0</v>
          </cell>
          <cell r="V241">
            <v>0</v>
          </cell>
          <cell r="W241">
            <v>5343083</v>
          </cell>
          <cell r="X241">
            <v>5</v>
          </cell>
          <cell r="Z241">
            <v>16</v>
          </cell>
          <cell r="AB241">
            <v>21</v>
          </cell>
          <cell r="AC241">
            <v>1272162.6190476192</v>
          </cell>
          <cell r="AD241">
            <v>4070920.3809523811</v>
          </cell>
          <cell r="AE241">
            <v>5343083</v>
          </cell>
          <cell r="AF241">
            <v>0</v>
          </cell>
          <cell r="AG241">
            <v>5343083</v>
          </cell>
          <cell r="AH241" t="b">
            <v>1</v>
          </cell>
          <cell r="AK241">
            <v>5343083</v>
          </cell>
          <cell r="AL241" t="str">
            <v>K1</v>
          </cell>
          <cell r="AM241">
            <v>5343083</v>
          </cell>
          <cell r="AN241">
            <v>0</v>
          </cell>
          <cell r="AQ241">
            <v>0</v>
          </cell>
          <cell r="AR241">
            <v>38000</v>
          </cell>
          <cell r="AS241">
            <v>31700</v>
          </cell>
          <cell r="AU241">
            <v>10000</v>
          </cell>
          <cell r="AV241">
            <v>53430.83</v>
          </cell>
          <cell r="AW241">
            <v>106861.66</v>
          </cell>
          <cell r="AX241">
            <v>53430.83</v>
          </cell>
          <cell r="AY241">
            <v>293423</v>
          </cell>
          <cell r="AZ241">
            <v>5049660</v>
          </cell>
          <cell r="BA241">
            <v>0</v>
          </cell>
          <cell r="BB241">
            <v>293423</v>
          </cell>
          <cell r="BC241">
            <v>5049660</v>
          </cell>
        </row>
        <row r="242">
          <cell r="F242" t="str">
            <v>231018-007</v>
          </cell>
          <cell r="G242" t="str">
            <v>Kontrak 2</v>
          </cell>
          <cell r="H242" t="str">
            <v>Pelaksana</v>
          </cell>
          <cell r="I242" t="str">
            <v>Assembly</v>
          </cell>
          <cell r="J242">
            <v>43396</v>
          </cell>
          <cell r="K242" t="b">
            <v>1</v>
          </cell>
          <cell r="L242">
            <v>43396</v>
          </cell>
          <cell r="M242">
            <v>2</v>
          </cell>
          <cell r="N242">
            <v>7</v>
          </cell>
          <cell r="O242">
            <v>1</v>
          </cell>
          <cell r="Q242">
            <v>5343082</v>
          </cell>
          <cell r="R242">
            <v>4924046</v>
          </cell>
          <cell r="S242">
            <v>5343083</v>
          </cell>
          <cell r="T242">
            <v>0</v>
          </cell>
          <cell r="U242">
            <v>0</v>
          </cell>
          <cell r="V242">
            <v>0</v>
          </cell>
          <cell r="W242">
            <v>5343083</v>
          </cell>
          <cell r="X242">
            <v>5</v>
          </cell>
          <cell r="Z242">
            <v>16</v>
          </cell>
          <cell r="AB242">
            <v>21</v>
          </cell>
          <cell r="AC242">
            <v>1272162.6190476192</v>
          </cell>
          <cell r="AD242">
            <v>4070920.3809523811</v>
          </cell>
          <cell r="AE242">
            <v>5343083</v>
          </cell>
          <cell r="AF242">
            <v>0</v>
          </cell>
          <cell r="AG242">
            <v>5343083</v>
          </cell>
          <cell r="AH242" t="b">
            <v>1</v>
          </cell>
          <cell r="AK242">
            <v>5343083</v>
          </cell>
          <cell r="AL242" t="str">
            <v>K1</v>
          </cell>
          <cell r="AM242">
            <v>5343083</v>
          </cell>
          <cell r="AN242">
            <v>0</v>
          </cell>
          <cell r="AQ242">
            <v>0</v>
          </cell>
          <cell r="AR242">
            <v>38000</v>
          </cell>
          <cell r="AS242">
            <v>31700</v>
          </cell>
          <cell r="AV242">
            <v>53430.83</v>
          </cell>
          <cell r="AW242">
            <v>106861.66</v>
          </cell>
          <cell r="AX242">
            <v>53430.83</v>
          </cell>
          <cell r="AY242">
            <v>283423</v>
          </cell>
          <cell r="AZ242">
            <v>5059660</v>
          </cell>
          <cell r="BA242">
            <v>0</v>
          </cell>
          <cell r="BB242">
            <v>283423</v>
          </cell>
          <cell r="BC242">
            <v>5059660</v>
          </cell>
        </row>
        <row r="243">
          <cell r="F243" t="str">
            <v>261018-004</v>
          </cell>
          <cell r="G243" t="str">
            <v>Kontrak 2</v>
          </cell>
          <cell r="H243" t="str">
            <v>Pelaksana</v>
          </cell>
          <cell r="I243" t="str">
            <v>Assembly</v>
          </cell>
          <cell r="J243">
            <v>43399</v>
          </cell>
          <cell r="K243" t="b">
            <v>1</v>
          </cell>
          <cell r="L243">
            <v>43399</v>
          </cell>
          <cell r="M243">
            <v>2</v>
          </cell>
          <cell r="N243">
            <v>6</v>
          </cell>
          <cell r="O243">
            <v>28</v>
          </cell>
          <cell r="Q243">
            <v>5343082</v>
          </cell>
          <cell r="R243">
            <v>4924046</v>
          </cell>
          <cell r="S243">
            <v>5343083</v>
          </cell>
          <cell r="T243">
            <v>0</v>
          </cell>
          <cell r="U243">
            <v>0</v>
          </cell>
          <cell r="V243">
            <v>0</v>
          </cell>
          <cell r="W243">
            <v>5343083</v>
          </cell>
          <cell r="X243">
            <v>5</v>
          </cell>
          <cell r="Z243">
            <v>16</v>
          </cell>
          <cell r="AB243">
            <v>21</v>
          </cell>
          <cell r="AC243">
            <v>1272162.6190476192</v>
          </cell>
          <cell r="AD243">
            <v>4070920.3809523811</v>
          </cell>
          <cell r="AE243">
            <v>5343083</v>
          </cell>
          <cell r="AF243">
            <v>0</v>
          </cell>
          <cell r="AG243">
            <v>5343083</v>
          </cell>
          <cell r="AH243" t="b">
            <v>1</v>
          </cell>
          <cell r="AK243">
            <v>5343083</v>
          </cell>
          <cell r="AL243" t="str">
            <v>K1</v>
          </cell>
          <cell r="AM243">
            <v>5343083</v>
          </cell>
          <cell r="AN243">
            <v>0</v>
          </cell>
          <cell r="AQ243">
            <v>0</v>
          </cell>
          <cell r="AR243">
            <v>38000</v>
          </cell>
          <cell r="AS243">
            <v>31700</v>
          </cell>
          <cell r="AV243">
            <v>53430.83</v>
          </cell>
          <cell r="AW243">
            <v>106861.66</v>
          </cell>
          <cell r="AX243">
            <v>53430.83</v>
          </cell>
          <cell r="AY243">
            <v>283423</v>
          </cell>
          <cell r="AZ243">
            <v>5059660</v>
          </cell>
          <cell r="BA243">
            <v>0</v>
          </cell>
          <cell r="BB243">
            <v>283423</v>
          </cell>
          <cell r="BC243">
            <v>5059660</v>
          </cell>
        </row>
        <row r="244">
          <cell r="F244" t="str">
            <v>261018-005</v>
          </cell>
          <cell r="G244" t="str">
            <v>Kontrak 2</v>
          </cell>
          <cell r="H244" t="str">
            <v>Pelaksana</v>
          </cell>
          <cell r="I244" t="str">
            <v>Assembly</v>
          </cell>
          <cell r="J244">
            <v>43399</v>
          </cell>
          <cell r="K244" t="b">
            <v>1</v>
          </cell>
          <cell r="L244">
            <v>43399</v>
          </cell>
          <cell r="M244">
            <v>2</v>
          </cell>
          <cell r="N244">
            <v>6</v>
          </cell>
          <cell r="O244">
            <v>28</v>
          </cell>
          <cell r="Q244">
            <v>5343082</v>
          </cell>
          <cell r="R244">
            <v>4924046</v>
          </cell>
          <cell r="S244">
            <v>5343083</v>
          </cell>
          <cell r="T244">
            <v>0</v>
          </cell>
          <cell r="U244">
            <v>0</v>
          </cell>
          <cell r="V244">
            <v>0</v>
          </cell>
          <cell r="W244">
            <v>5343083</v>
          </cell>
          <cell r="X244">
            <v>5</v>
          </cell>
          <cell r="Z244">
            <v>16</v>
          </cell>
          <cell r="AB244">
            <v>21</v>
          </cell>
          <cell r="AC244">
            <v>1272162.6190476192</v>
          </cell>
          <cell r="AD244">
            <v>4070920.3809523811</v>
          </cell>
          <cell r="AE244">
            <v>5343083</v>
          </cell>
          <cell r="AF244">
            <v>0</v>
          </cell>
          <cell r="AG244">
            <v>5343083</v>
          </cell>
          <cell r="AH244" t="b">
            <v>1</v>
          </cell>
          <cell r="AK244">
            <v>5343083</v>
          </cell>
          <cell r="AL244" t="str">
            <v>TK</v>
          </cell>
          <cell r="AM244">
            <v>5343083</v>
          </cell>
          <cell r="AN244">
            <v>34354.584590750004</v>
          </cell>
          <cell r="AQ244">
            <v>0</v>
          </cell>
          <cell r="AR244">
            <v>38000</v>
          </cell>
          <cell r="AS244">
            <v>31700</v>
          </cell>
          <cell r="AU244">
            <v>10000</v>
          </cell>
          <cell r="AV244">
            <v>53430.83</v>
          </cell>
          <cell r="AW244">
            <v>106861.66</v>
          </cell>
          <cell r="AX244">
            <v>53430.83</v>
          </cell>
          <cell r="AY244">
            <v>327778</v>
          </cell>
          <cell r="AZ244">
            <v>5015305</v>
          </cell>
          <cell r="BA244">
            <v>34354.584590750004</v>
          </cell>
          <cell r="BB244">
            <v>293423</v>
          </cell>
          <cell r="BC244">
            <v>5049660</v>
          </cell>
        </row>
        <row r="245">
          <cell r="F245" t="str">
            <v>261120-003</v>
          </cell>
          <cell r="G245" t="str">
            <v>Recall Kontrak 1</v>
          </cell>
          <cell r="H245" t="str">
            <v>Pelaksana</v>
          </cell>
          <cell r="I245" t="str">
            <v>Assembly</v>
          </cell>
          <cell r="J245">
            <v>44161</v>
          </cell>
          <cell r="K245" t="b">
            <v>1</v>
          </cell>
          <cell r="L245">
            <v>44161</v>
          </cell>
          <cell r="M245">
            <v>0</v>
          </cell>
          <cell r="N245">
            <v>5</v>
          </cell>
          <cell r="O245">
            <v>28</v>
          </cell>
          <cell r="Q245">
            <v>5343082</v>
          </cell>
          <cell r="R245">
            <v>4924046</v>
          </cell>
          <cell r="S245">
            <v>5343083</v>
          </cell>
          <cell r="T245">
            <v>0</v>
          </cell>
          <cell r="U245">
            <v>0</v>
          </cell>
          <cell r="V245">
            <v>0</v>
          </cell>
          <cell r="W245">
            <v>5343083</v>
          </cell>
          <cell r="X245">
            <v>5</v>
          </cell>
          <cell r="Z245">
            <v>16</v>
          </cell>
          <cell r="AB245">
            <v>21</v>
          </cell>
          <cell r="AC245">
            <v>1272162.6190476192</v>
          </cell>
          <cell r="AD245">
            <v>4070920.3809523811</v>
          </cell>
          <cell r="AE245">
            <v>5343083</v>
          </cell>
          <cell r="AF245">
            <v>0</v>
          </cell>
          <cell r="AG245">
            <v>5343083</v>
          </cell>
          <cell r="AH245" t="b">
            <v>1</v>
          </cell>
          <cell r="AK245">
            <v>5343083</v>
          </cell>
          <cell r="AL245" t="str">
            <v>K1</v>
          </cell>
          <cell r="AM245">
            <v>5343083</v>
          </cell>
          <cell r="AN245">
            <v>0</v>
          </cell>
          <cell r="AQ245">
            <v>0</v>
          </cell>
          <cell r="AR245">
            <v>38000</v>
          </cell>
          <cell r="AS245">
            <v>31700</v>
          </cell>
          <cell r="AV245">
            <v>53430.83</v>
          </cell>
          <cell r="AW245">
            <v>106861.66</v>
          </cell>
          <cell r="AX245">
            <v>53430.83</v>
          </cell>
          <cell r="AY245">
            <v>283423</v>
          </cell>
          <cell r="AZ245">
            <v>5059660</v>
          </cell>
          <cell r="BA245">
            <v>0</v>
          </cell>
          <cell r="BB245">
            <v>283423</v>
          </cell>
          <cell r="BC245">
            <v>5059660</v>
          </cell>
        </row>
        <row r="246">
          <cell r="F246" t="str">
            <v>231219-003</v>
          </cell>
          <cell r="G246" t="str">
            <v>Pembaharuan</v>
          </cell>
          <cell r="H246" t="str">
            <v>Pelaksana</v>
          </cell>
          <cell r="I246" t="str">
            <v>Assembly</v>
          </cell>
          <cell r="J246">
            <v>43822</v>
          </cell>
          <cell r="K246" t="b">
            <v>1</v>
          </cell>
          <cell r="L246">
            <v>43822</v>
          </cell>
          <cell r="M246">
            <v>1</v>
          </cell>
          <cell r="N246">
            <v>5</v>
          </cell>
          <cell r="O246">
            <v>1</v>
          </cell>
          <cell r="Q246">
            <v>5343082</v>
          </cell>
          <cell r="R246">
            <v>4924046</v>
          </cell>
          <cell r="S246">
            <v>5343083</v>
          </cell>
          <cell r="T246">
            <v>0</v>
          </cell>
          <cell r="U246">
            <v>0</v>
          </cell>
          <cell r="V246">
            <v>0</v>
          </cell>
          <cell r="W246">
            <v>5343083</v>
          </cell>
          <cell r="X246">
            <v>5</v>
          </cell>
          <cell r="Z246">
            <v>16</v>
          </cell>
          <cell r="AB246">
            <v>21</v>
          </cell>
          <cell r="AC246">
            <v>1272162.6190476192</v>
          </cell>
          <cell r="AD246">
            <v>4070920.3809523811</v>
          </cell>
          <cell r="AE246">
            <v>5343083</v>
          </cell>
          <cell r="AF246">
            <v>0</v>
          </cell>
          <cell r="AG246">
            <v>5343083</v>
          </cell>
          <cell r="AH246" t="b">
            <v>1</v>
          </cell>
          <cell r="AK246">
            <v>5343083</v>
          </cell>
          <cell r="AL246" t="str">
            <v>K1</v>
          </cell>
          <cell r="AM246">
            <v>5343083</v>
          </cell>
          <cell r="AN246">
            <v>0</v>
          </cell>
          <cell r="AQ246">
            <v>0</v>
          </cell>
          <cell r="AR246">
            <v>38000</v>
          </cell>
          <cell r="AS246">
            <v>31700</v>
          </cell>
          <cell r="AV246">
            <v>53430.83</v>
          </cell>
          <cell r="AW246">
            <v>106861.66</v>
          </cell>
          <cell r="AX246">
            <v>53430.83</v>
          </cell>
          <cell r="AY246">
            <v>283423</v>
          </cell>
          <cell r="AZ246">
            <v>5059660</v>
          </cell>
          <cell r="BA246">
            <v>0</v>
          </cell>
          <cell r="BB246">
            <v>283423</v>
          </cell>
          <cell r="BC246">
            <v>5059660</v>
          </cell>
        </row>
        <row r="247">
          <cell r="F247" t="str">
            <v>231219-005</v>
          </cell>
          <cell r="G247" t="str">
            <v>Pembaharuan</v>
          </cell>
          <cell r="H247" t="str">
            <v>Pelaksana</v>
          </cell>
          <cell r="I247" t="str">
            <v>Assembly</v>
          </cell>
          <cell r="J247">
            <v>43822</v>
          </cell>
          <cell r="K247" t="b">
            <v>1</v>
          </cell>
          <cell r="L247">
            <v>43822</v>
          </cell>
          <cell r="M247">
            <v>1</v>
          </cell>
          <cell r="N247">
            <v>5</v>
          </cell>
          <cell r="O247">
            <v>1</v>
          </cell>
          <cell r="Q247">
            <v>5343082</v>
          </cell>
          <cell r="R247">
            <v>4924046</v>
          </cell>
          <cell r="S247">
            <v>5343083</v>
          </cell>
          <cell r="T247">
            <v>0</v>
          </cell>
          <cell r="U247">
            <v>0</v>
          </cell>
          <cell r="V247">
            <v>0</v>
          </cell>
          <cell r="W247">
            <v>5343083</v>
          </cell>
          <cell r="X247">
            <v>5</v>
          </cell>
          <cell r="Z247">
            <v>16</v>
          </cell>
          <cell r="AB247">
            <v>21</v>
          </cell>
          <cell r="AC247">
            <v>1272162.6190476192</v>
          </cell>
          <cell r="AD247">
            <v>4070920.3809523811</v>
          </cell>
          <cell r="AE247">
            <v>5343083</v>
          </cell>
          <cell r="AF247">
            <v>0</v>
          </cell>
          <cell r="AG247">
            <v>5343083</v>
          </cell>
          <cell r="AH247" t="b">
            <v>1</v>
          </cell>
          <cell r="AK247">
            <v>5343083</v>
          </cell>
          <cell r="AL247" t="str">
            <v>K1</v>
          </cell>
          <cell r="AM247">
            <v>5343083</v>
          </cell>
          <cell r="AN247">
            <v>0</v>
          </cell>
          <cell r="AQ247">
            <v>0</v>
          </cell>
          <cell r="AR247">
            <v>38000</v>
          </cell>
          <cell r="AS247">
            <v>31700</v>
          </cell>
          <cell r="AV247">
            <v>53430.83</v>
          </cell>
          <cell r="AW247">
            <v>106861.66</v>
          </cell>
          <cell r="AX247">
            <v>53430.83</v>
          </cell>
          <cell r="AY247">
            <v>283423</v>
          </cell>
          <cell r="AZ247">
            <v>5059660</v>
          </cell>
          <cell r="BA247">
            <v>0</v>
          </cell>
          <cell r="BB247">
            <v>283423</v>
          </cell>
          <cell r="BC247">
            <v>5059660</v>
          </cell>
        </row>
        <row r="248">
          <cell r="F248" t="str">
            <v>231219-002</v>
          </cell>
          <cell r="G248" t="str">
            <v>Pembaharuan</v>
          </cell>
          <cell r="H248" t="str">
            <v>Pelaksana</v>
          </cell>
          <cell r="I248" t="str">
            <v>Assembly</v>
          </cell>
          <cell r="J248">
            <v>43822</v>
          </cell>
          <cell r="K248" t="b">
            <v>1</v>
          </cell>
          <cell r="L248">
            <v>43822</v>
          </cell>
          <cell r="M248">
            <v>1</v>
          </cell>
          <cell r="N248">
            <v>5</v>
          </cell>
          <cell r="O248">
            <v>1</v>
          </cell>
          <cell r="Q248">
            <v>5343082</v>
          </cell>
          <cell r="R248">
            <v>4924046</v>
          </cell>
          <cell r="S248">
            <v>5343083</v>
          </cell>
          <cell r="T248">
            <v>0</v>
          </cell>
          <cell r="U248">
            <v>0</v>
          </cell>
          <cell r="V248">
            <v>0</v>
          </cell>
          <cell r="W248">
            <v>5343083</v>
          </cell>
          <cell r="X248">
            <v>5</v>
          </cell>
          <cell r="Z248">
            <v>16</v>
          </cell>
          <cell r="AB248">
            <v>21</v>
          </cell>
          <cell r="AC248">
            <v>1272162.6190476192</v>
          </cell>
          <cell r="AD248">
            <v>4070920.3809523811</v>
          </cell>
          <cell r="AE248">
            <v>5343083</v>
          </cell>
          <cell r="AF248">
            <v>0</v>
          </cell>
          <cell r="AG248">
            <v>5343083</v>
          </cell>
          <cell r="AH248" t="b">
            <v>1</v>
          </cell>
          <cell r="AK248">
            <v>5343083</v>
          </cell>
          <cell r="AL248" t="str">
            <v>TK</v>
          </cell>
          <cell r="AM248">
            <v>5343083</v>
          </cell>
          <cell r="AN248">
            <v>34354.584590750004</v>
          </cell>
          <cell r="AQ248">
            <v>0</v>
          </cell>
          <cell r="AR248">
            <v>38000</v>
          </cell>
          <cell r="AS248">
            <v>31700</v>
          </cell>
          <cell r="AV248">
            <v>53430.83</v>
          </cell>
          <cell r="AW248">
            <v>106861.66</v>
          </cell>
          <cell r="AX248">
            <v>53430.83</v>
          </cell>
          <cell r="AY248">
            <v>317778</v>
          </cell>
          <cell r="AZ248">
            <v>5025305</v>
          </cell>
          <cell r="BA248">
            <v>34354.584590750004</v>
          </cell>
          <cell r="BB248">
            <v>283423</v>
          </cell>
          <cell r="BC248">
            <v>5059660</v>
          </cell>
        </row>
        <row r="249">
          <cell r="F249" t="str">
            <v>231219-001</v>
          </cell>
          <cell r="G249" t="str">
            <v>Pembaharuan</v>
          </cell>
          <cell r="H249" t="str">
            <v>Pelaksana</v>
          </cell>
          <cell r="I249" t="str">
            <v>Assembly</v>
          </cell>
          <cell r="J249">
            <v>43822</v>
          </cell>
          <cell r="K249" t="b">
            <v>1</v>
          </cell>
          <cell r="L249">
            <v>43822</v>
          </cell>
          <cell r="M249">
            <v>1</v>
          </cell>
          <cell r="N249">
            <v>5</v>
          </cell>
          <cell r="O249">
            <v>1</v>
          </cell>
          <cell r="Q249">
            <v>5343082</v>
          </cell>
          <cell r="R249">
            <v>4924046</v>
          </cell>
          <cell r="S249">
            <v>5343083</v>
          </cell>
          <cell r="T249">
            <v>0</v>
          </cell>
          <cell r="U249">
            <v>0</v>
          </cell>
          <cell r="V249">
            <v>0</v>
          </cell>
          <cell r="W249">
            <v>5343083</v>
          </cell>
          <cell r="X249">
            <v>5</v>
          </cell>
          <cell r="Z249">
            <v>16</v>
          </cell>
          <cell r="AB249">
            <v>21</v>
          </cell>
          <cell r="AC249">
            <v>1272162.6190476192</v>
          </cell>
          <cell r="AD249">
            <v>4070920.3809523811</v>
          </cell>
          <cell r="AE249">
            <v>5343083</v>
          </cell>
          <cell r="AF249">
            <v>0</v>
          </cell>
          <cell r="AG249">
            <v>5343083</v>
          </cell>
          <cell r="AH249" t="b">
            <v>1</v>
          </cell>
          <cell r="AK249">
            <v>5343083</v>
          </cell>
          <cell r="AL249" t="str">
            <v>K1</v>
          </cell>
          <cell r="AM249">
            <v>5343083</v>
          </cell>
          <cell r="AN249">
            <v>0</v>
          </cell>
          <cell r="AQ249">
            <v>0</v>
          </cell>
          <cell r="AR249">
            <v>38000</v>
          </cell>
          <cell r="AS249">
            <v>31700</v>
          </cell>
          <cell r="AV249">
            <v>53430.83</v>
          </cell>
          <cell r="AW249">
            <v>106861.66</v>
          </cell>
          <cell r="AX249">
            <v>53430.83</v>
          </cell>
          <cell r="AY249">
            <v>283423</v>
          </cell>
          <cell r="AZ249">
            <v>5059660</v>
          </cell>
          <cell r="BA249">
            <v>0</v>
          </cell>
          <cell r="BB249">
            <v>283423</v>
          </cell>
          <cell r="BC249">
            <v>5059660</v>
          </cell>
        </row>
        <row r="250">
          <cell r="F250" t="str">
            <v>200718-022</v>
          </cell>
          <cell r="G250" t="str">
            <v>Kontrak 2</v>
          </cell>
          <cell r="H250" t="str">
            <v>Pelaksana</v>
          </cell>
          <cell r="I250" t="str">
            <v>Assembly</v>
          </cell>
          <cell r="J250">
            <v>43301</v>
          </cell>
          <cell r="K250" t="b">
            <v>1</v>
          </cell>
          <cell r="L250">
            <v>43301</v>
          </cell>
          <cell r="M250">
            <v>2</v>
          </cell>
          <cell r="N250">
            <v>10</v>
          </cell>
          <cell r="O250">
            <v>4</v>
          </cell>
          <cell r="Q250">
            <v>5343082</v>
          </cell>
          <cell r="R250">
            <v>4924046</v>
          </cell>
          <cell r="S250">
            <v>5343083</v>
          </cell>
          <cell r="T250">
            <v>0</v>
          </cell>
          <cell r="U250">
            <v>0</v>
          </cell>
          <cell r="V250">
            <v>0</v>
          </cell>
          <cell r="W250">
            <v>5343083</v>
          </cell>
          <cell r="X250">
            <v>5</v>
          </cell>
          <cell r="Z250">
            <v>16</v>
          </cell>
          <cell r="AB250">
            <v>21</v>
          </cell>
          <cell r="AC250">
            <v>1272162.6190476192</v>
          </cell>
          <cell r="AD250">
            <v>4070920.3809523811</v>
          </cell>
          <cell r="AE250">
            <v>5343083</v>
          </cell>
          <cell r="AF250">
            <v>0</v>
          </cell>
          <cell r="AG250">
            <v>5343083</v>
          </cell>
          <cell r="AH250" t="b">
            <v>1</v>
          </cell>
          <cell r="AK250">
            <v>5343083</v>
          </cell>
          <cell r="AL250" t="str">
            <v>K1</v>
          </cell>
          <cell r="AM250">
            <v>5343083</v>
          </cell>
          <cell r="AN250">
            <v>0</v>
          </cell>
          <cell r="AQ250">
            <v>0</v>
          </cell>
          <cell r="AS250">
            <v>31700</v>
          </cell>
          <cell r="AV250">
            <v>53430.83</v>
          </cell>
          <cell r="AW250">
            <v>106861.66</v>
          </cell>
          <cell r="AX250">
            <v>53430.83</v>
          </cell>
          <cell r="AY250">
            <v>245423</v>
          </cell>
          <cell r="AZ250">
            <v>5097660</v>
          </cell>
          <cell r="BA250">
            <v>0</v>
          </cell>
          <cell r="BB250">
            <v>245423</v>
          </cell>
          <cell r="BC250">
            <v>5097660</v>
          </cell>
        </row>
        <row r="251">
          <cell r="F251" t="str">
            <v>040121-002</v>
          </cell>
          <cell r="G251" t="str">
            <v>Recall Kontrak 1</v>
          </cell>
          <cell r="H251" t="str">
            <v>Pelaksana</v>
          </cell>
          <cell r="I251" t="str">
            <v>Assembly</v>
          </cell>
          <cell r="J251" t="str">
            <v>04 Januari 2021</v>
          </cell>
          <cell r="K251" t="b">
            <v>0</v>
          </cell>
          <cell r="L251">
            <v>44200</v>
          </cell>
          <cell r="M251">
            <v>0</v>
          </cell>
          <cell r="N251">
            <v>4</v>
          </cell>
          <cell r="O251">
            <v>20</v>
          </cell>
          <cell r="Q251">
            <v>5343082</v>
          </cell>
          <cell r="R251">
            <v>4924046</v>
          </cell>
          <cell r="S251">
            <v>5343083</v>
          </cell>
          <cell r="T251">
            <v>0</v>
          </cell>
          <cell r="U251">
            <v>0</v>
          </cell>
          <cell r="V251">
            <v>0</v>
          </cell>
          <cell r="W251">
            <v>5343083</v>
          </cell>
          <cell r="X251">
            <v>5</v>
          </cell>
          <cell r="Z251">
            <v>16</v>
          </cell>
          <cell r="AB251">
            <v>21</v>
          </cell>
          <cell r="AC251">
            <v>1272162.6190476192</v>
          </cell>
          <cell r="AD251">
            <v>4070920.3809523811</v>
          </cell>
          <cell r="AE251">
            <v>5343083</v>
          </cell>
          <cell r="AF251">
            <v>0</v>
          </cell>
          <cell r="AG251">
            <v>5343083</v>
          </cell>
          <cell r="AH251" t="b">
            <v>1</v>
          </cell>
          <cell r="AK251">
            <v>5343083</v>
          </cell>
          <cell r="AL251" t="str">
            <v>K0</v>
          </cell>
          <cell r="AM251">
            <v>5343083</v>
          </cell>
          <cell r="AN251">
            <v>15604.584590750002</v>
          </cell>
          <cell r="AQ251">
            <v>0</v>
          </cell>
          <cell r="AR251">
            <v>38000</v>
          </cell>
          <cell r="AS251">
            <v>31700</v>
          </cell>
          <cell r="AV251">
            <v>53430.83</v>
          </cell>
          <cell r="AW251">
            <v>106861.66</v>
          </cell>
          <cell r="AX251">
            <v>53430.83</v>
          </cell>
          <cell r="AY251">
            <v>299028</v>
          </cell>
          <cell r="AZ251">
            <v>5044055</v>
          </cell>
          <cell r="BA251">
            <v>15604.584590750002</v>
          </cell>
          <cell r="BB251">
            <v>283423</v>
          </cell>
          <cell r="BC251">
            <v>5059660</v>
          </cell>
        </row>
        <row r="252">
          <cell r="F252" t="str">
            <v>150519-003</v>
          </cell>
          <cell r="G252" t="str">
            <v>Kontrak 2</v>
          </cell>
          <cell r="H252" t="str">
            <v>Pelaksana</v>
          </cell>
          <cell r="I252" t="str">
            <v>Assembly</v>
          </cell>
          <cell r="J252" t="str">
            <v>15 Mei 2019</v>
          </cell>
          <cell r="K252" t="b">
            <v>0</v>
          </cell>
          <cell r="L252">
            <v>43600</v>
          </cell>
          <cell r="M252">
            <v>2</v>
          </cell>
          <cell r="N252">
            <v>0</v>
          </cell>
          <cell r="O252">
            <v>9</v>
          </cell>
          <cell r="Q252">
            <v>5343082</v>
          </cell>
          <cell r="R252">
            <v>4924046</v>
          </cell>
          <cell r="S252">
            <v>5343083</v>
          </cell>
          <cell r="T252">
            <v>0</v>
          </cell>
          <cell r="U252">
            <v>0</v>
          </cell>
          <cell r="V252">
            <v>0</v>
          </cell>
          <cell r="W252">
            <v>5343083</v>
          </cell>
          <cell r="X252">
            <v>5</v>
          </cell>
          <cell r="Z252">
            <v>16</v>
          </cell>
          <cell r="AB252">
            <v>21</v>
          </cell>
          <cell r="AC252">
            <v>1272162.6190476192</v>
          </cell>
          <cell r="AD252">
            <v>4070920.3809523811</v>
          </cell>
          <cell r="AE252">
            <v>5343083</v>
          </cell>
          <cell r="AF252">
            <v>0</v>
          </cell>
          <cell r="AG252">
            <v>5343083</v>
          </cell>
          <cell r="AH252" t="b">
            <v>1</v>
          </cell>
          <cell r="AK252">
            <v>5343083</v>
          </cell>
          <cell r="AL252" t="str">
            <v>K0</v>
          </cell>
          <cell r="AM252">
            <v>5343083</v>
          </cell>
          <cell r="AN252">
            <v>15604.584590750002</v>
          </cell>
          <cell r="AQ252">
            <v>0</v>
          </cell>
          <cell r="AS252">
            <v>31700</v>
          </cell>
          <cell r="AV252">
            <v>53430.83</v>
          </cell>
          <cell r="AW252">
            <v>106861.66</v>
          </cell>
          <cell r="AX252">
            <v>53430.83</v>
          </cell>
          <cell r="AY252">
            <v>261028</v>
          </cell>
          <cell r="AZ252">
            <v>5082055</v>
          </cell>
          <cell r="BA252">
            <v>15604.584590750002</v>
          </cell>
          <cell r="BB252">
            <v>245423</v>
          </cell>
          <cell r="BC252">
            <v>5097660</v>
          </cell>
        </row>
        <row r="253">
          <cell r="F253" t="str">
            <v>150519-004</v>
          </cell>
          <cell r="G253" t="str">
            <v>Kontrak 2</v>
          </cell>
          <cell r="H253" t="str">
            <v>Pelaksana</v>
          </cell>
          <cell r="I253" t="str">
            <v>Assembly</v>
          </cell>
          <cell r="J253" t="str">
            <v>15 Mei 2019</v>
          </cell>
          <cell r="K253" t="b">
            <v>0</v>
          </cell>
          <cell r="L253">
            <v>43600</v>
          </cell>
          <cell r="M253">
            <v>2</v>
          </cell>
          <cell r="N253">
            <v>0</v>
          </cell>
          <cell r="O253">
            <v>9</v>
          </cell>
          <cell r="Q253">
            <v>5343082</v>
          </cell>
          <cell r="R253">
            <v>4924046</v>
          </cell>
          <cell r="S253">
            <v>5343083</v>
          </cell>
          <cell r="T253">
            <v>0</v>
          </cell>
          <cell r="U253">
            <v>0</v>
          </cell>
          <cell r="V253">
            <v>0</v>
          </cell>
          <cell r="W253">
            <v>5343083</v>
          </cell>
          <cell r="X253">
            <v>5</v>
          </cell>
          <cell r="Z253">
            <v>16</v>
          </cell>
          <cell r="AB253">
            <v>21</v>
          </cell>
          <cell r="AC253">
            <v>1272162.6190476192</v>
          </cell>
          <cell r="AD253">
            <v>4070920.3809523811</v>
          </cell>
          <cell r="AE253">
            <v>5343083</v>
          </cell>
          <cell r="AF253">
            <v>0</v>
          </cell>
          <cell r="AG253">
            <v>5343083</v>
          </cell>
          <cell r="AH253" t="b">
            <v>1</v>
          </cell>
          <cell r="AK253">
            <v>5343083</v>
          </cell>
          <cell r="AL253" t="str">
            <v>TK</v>
          </cell>
          <cell r="AM253">
            <v>5343083</v>
          </cell>
          <cell r="AN253">
            <v>34354.584590750004</v>
          </cell>
          <cell r="AQ253">
            <v>0</v>
          </cell>
          <cell r="AS253">
            <v>31700</v>
          </cell>
          <cell r="AV253">
            <v>53430.83</v>
          </cell>
          <cell r="AW253">
            <v>106861.66</v>
          </cell>
          <cell r="AX253">
            <v>53430.83</v>
          </cell>
          <cell r="AY253">
            <v>279778</v>
          </cell>
          <cell r="AZ253">
            <v>5063305</v>
          </cell>
          <cell r="BA253">
            <v>34354.584590750004</v>
          </cell>
          <cell r="BB253">
            <v>245423</v>
          </cell>
          <cell r="BC253">
            <v>5097660</v>
          </cell>
        </row>
        <row r="254">
          <cell r="F254" t="str">
            <v>200619-006</v>
          </cell>
          <cell r="G254" t="str">
            <v>Kontrak 2</v>
          </cell>
          <cell r="H254" t="str">
            <v>Pelaksana</v>
          </cell>
          <cell r="I254" t="str">
            <v>Assembly</v>
          </cell>
          <cell r="J254" t="str">
            <v>20 Juni 2019</v>
          </cell>
          <cell r="K254" t="b">
            <v>0</v>
          </cell>
          <cell r="L254">
            <v>43636</v>
          </cell>
          <cell r="M254">
            <v>1</v>
          </cell>
          <cell r="N254">
            <v>11</v>
          </cell>
          <cell r="O254">
            <v>4</v>
          </cell>
          <cell r="Q254">
            <v>5343082</v>
          </cell>
          <cell r="R254">
            <v>4924046</v>
          </cell>
          <cell r="S254">
            <v>5343083</v>
          </cell>
          <cell r="T254">
            <v>0</v>
          </cell>
          <cell r="U254">
            <v>0</v>
          </cell>
          <cell r="V254">
            <v>0</v>
          </cell>
          <cell r="W254">
            <v>5343083</v>
          </cell>
          <cell r="X254">
            <v>5</v>
          </cell>
          <cell r="Z254">
            <v>16</v>
          </cell>
          <cell r="AB254">
            <v>21</v>
          </cell>
          <cell r="AC254">
            <v>1272162.6190476192</v>
          </cell>
          <cell r="AD254">
            <v>4070920.3809523811</v>
          </cell>
          <cell r="AE254">
            <v>5343083</v>
          </cell>
          <cell r="AF254">
            <v>0</v>
          </cell>
          <cell r="AG254">
            <v>5343083</v>
          </cell>
          <cell r="AH254" t="b">
            <v>1</v>
          </cell>
          <cell r="AK254">
            <v>5343083</v>
          </cell>
          <cell r="AL254" t="str">
            <v>TK</v>
          </cell>
          <cell r="AM254">
            <v>5343083</v>
          </cell>
          <cell r="AN254">
            <v>34354.584590750004</v>
          </cell>
          <cell r="AQ254">
            <v>0</v>
          </cell>
          <cell r="AS254">
            <v>31700</v>
          </cell>
          <cell r="AV254">
            <v>53430.83</v>
          </cell>
          <cell r="AW254">
            <v>106861.66</v>
          </cell>
          <cell r="AX254">
            <v>53430.83</v>
          </cell>
          <cell r="AY254">
            <v>279778</v>
          </cell>
          <cell r="AZ254">
            <v>5063305</v>
          </cell>
          <cell r="BA254">
            <v>34354.584590750004</v>
          </cell>
          <cell r="BB254">
            <v>245423</v>
          </cell>
          <cell r="BC254">
            <v>5097660</v>
          </cell>
        </row>
        <row r="255">
          <cell r="F255" t="str">
            <v>010719-002</v>
          </cell>
          <cell r="G255" t="str">
            <v>Kontrak 2</v>
          </cell>
          <cell r="H255" t="str">
            <v>Pelaksana</v>
          </cell>
          <cell r="I255" t="str">
            <v>Assembly</v>
          </cell>
          <cell r="J255" t="str">
            <v>01 Juli 2019</v>
          </cell>
          <cell r="K255" t="b">
            <v>0</v>
          </cell>
          <cell r="L255">
            <v>43647</v>
          </cell>
          <cell r="M255">
            <v>1</v>
          </cell>
          <cell r="N255">
            <v>10</v>
          </cell>
          <cell r="O255">
            <v>23</v>
          </cell>
          <cell r="Q255">
            <v>5343082</v>
          </cell>
          <cell r="R255">
            <v>4924046</v>
          </cell>
          <cell r="S255">
            <v>5343083</v>
          </cell>
          <cell r="T255">
            <v>0</v>
          </cell>
          <cell r="U255">
            <v>0</v>
          </cell>
          <cell r="V255">
            <v>0</v>
          </cell>
          <cell r="W255">
            <v>5343083</v>
          </cell>
          <cell r="X255">
            <v>5</v>
          </cell>
          <cell r="Z255">
            <v>16</v>
          </cell>
          <cell r="AB255">
            <v>21</v>
          </cell>
          <cell r="AC255">
            <v>1272162.6190476192</v>
          </cell>
          <cell r="AD255">
            <v>4070920.3809523811</v>
          </cell>
          <cell r="AE255">
            <v>5343083</v>
          </cell>
          <cell r="AF255">
            <v>0</v>
          </cell>
          <cell r="AG255">
            <v>5343083</v>
          </cell>
          <cell r="AH255" t="b">
            <v>1</v>
          </cell>
          <cell r="AK255">
            <v>5343083</v>
          </cell>
          <cell r="AL255" t="str">
            <v>K0</v>
          </cell>
          <cell r="AM255">
            <v>5343083</v>
          </cell>
          <cell r="AN255">
            <v>15604.584590750002</v>
          </cell>
          <cell r="AQ255">
            <v>0</v>
          </cell>
          <cell r="AR255">
            <v>38000</v>
          </cell>
          <cell r="AS255">
            <v>31700</v>
          </cell>
          <cell r="AV255">
            <v>53430.83</v>
          </cell>
          <cell r="AW255">
            <v>106861.66</v>
          </cell>
          <cell r="AX255">
            <v>53430.83</v>
          </cell>
          <cell r="AY255">
            <v>299028</v>
          </cell>
          <cell r="AZ255">
            <v>5044055</v>
          </cell>
          <cell r="BA255">
            <v>15604.584590750002</v>
          </cell>
          <cell r="BB255">
            <v>283423</v>
          </cell>
          <cell r="BC255">
            <v>5059660</v>
          </cell>
        </row>
        <row r="256">
          <cell r="F256" t="str">
            <v>120719-003</v>
          </cell>
          <cell r="G256" t="str">
            <v>Kontrak 2</v>
          </cell>
          <cell r="H256" t="str">
            <v>Pelaksana</v>
          </cell>
          <cell r="I256" t="str">
            <v>Assembly</v>
          </cell>
          <cell r="J256" t="str">
            <v>12 Juli 2019</v>
          </cell>
          <cell r="K256" t="b">
            <v>0</v>
          </cell>
          <cell r="L256">
            <v>43658</v>
          </cell>
          <cell r="M256">
            <v>1</v>
          </cell>
          <cell r="N256">
            <v>10</v>
          </cell>
          <cell r="O256">
            <v>12</v>
          </cell>
          <cell r="Q256">
            <v>5343082</v>
          </cell>
          <cell r="R256">
            <v>4924046</v>
          </cell>
          <cell r="S256">
            <v>5343083</v>
          </cell>
          <cell r="T256">
            <v>0</v>
          </cell>
          <cell r="U256">
            <v>0</v>
          </cell>
          <cell r="V256">
            <v>0</v>
          </cell>
          <cell r="W256">
            <v>5343083</v>
          </cell>
          <cell r="X256">
            <v>5</v>
          </cell>
          <cell r="Z256">
            <v>16</v>
          </cell>
          <cell r="AB256">
            <v>21</v>
          </cell>
          <cell r="AC256">
            <v>1272162.6190476192</v>
          </cell>
          <cell r="AD256">
            <v>4070920.3809523811</v>
          </cell>
          <cell r="AE256">
            <v>5343083</v>
          </cell>
          <cell r="AF256">
            <v>0</v>
          </cell>
          <cell r="AG256">
            <v>5343083</v>
          </cell>
          <cell r="AH256" t="b">
            <v>1</v>
          </cell>
          <cell r="AK256">
            <v>5343083</v>
          </cell>
          <cell r="AL256" t="str">
            <v>K0</v>
          </cell>
          <cell r="AM256">
            <v>5343083</v>
          </cell>
          <cell r="AN256">
            <v>15604.584590750002</v>
          </cell>
          <cell r="AQ256">
            <v>0</v>
          </cell>
          <cell r="AR256">
            <v>38000</v>
          </cell>
          <cell r="AS256">
            <v>31700</v>
          </cell>
          <cell r="AV256">
            <v>53430.83</v>
          </cell>
          <cell r="AW256">
            <v>106861.66</v>
          </cell>
          <cell r="AX256">
            <v>53430.83</v>
          </cell>
          <cell r="AY256">
            <v>299028</v>
          </cell>
          <cell r="AZ256">
            <v>5044055</v>
          </cell>
          <cell r="BA256">
            <v>15604.584590750002</v>
          </cell>
          <cell r="BB256">
            <v>283423</v>
          </cell>
          <cell r="BC256">
            <v>5059660</v>
          </cell>
        </row>
        <row r="257">
          <cell r="F257" t="str">
            <v>120719-005</v>
          </cell>
          <cell r="G257" t="str">
            <v>Kontrak 2</v>
          </cell>
          <cell r="H257" t="str">
            <v>Pelaksana</v>
          </cell>
          <cell r="I257" t="str">
            <v>Assembly</v>
          </cell>
          <cell r="J257" t="str">
            <v>12 Juli 2019</v>
          </cell>
          <cell r="K257" t="b">
            <v>0</v>
          </cell>
          <cell r="L257">
            <v>43658</v>
          </cell>
          <cell r="M257">
            <v>1</v>
          </cell>
          <cell r="N257">
            <v>10</v>
          </cell>
          <cell r="O257">
            <v>12</v>
          </cell>
          <cell r="Q257">
            <v>5343082</v>
          </cell>
          <cell r="R257">
            <v>4924046</v>
          </cell>
          <cell r="S257">
            <v>5343083</v>
          </cell>
          <cell r="T257">
            <v>0</v>
          </cell>
          <cell r="U257">
            <v>0</v>
          </cell>
          <cell r="V257">
            <v>0</v>
          </cell>
          <cell r="W257">
            <v>5343083</v>
          </cell>
          <cell r="X257">
            <v>5</v>
          </cell>
          <cell r="Z257">
            <v>16</v>
          </cell>
          <cell r="AB257">
            <v>21</v>
          </cell>
          <cell r="AC257">
            <v>1272162.6190476192</v>
          </cell>
          <cell r="AD257">
            <v>4070920.3809523811</v>
          </cell>
          <cell r="AE257">
            <v>5343083</v>
          </cell>
          <cell r="AF257">
            <v>0</v>
          </cell>
          <cell r="AG257">
            <v>5343083</v>
          </cell>
          <cell r="AH257" t="b">
            <v>1</v>
          </cell>
          <cell r="AK257">
            <v>5343083</v>
          </cell>
          <cell r="AL257" t="str">
            <v>K1</v>
          </cell>
          <cell r="AM257">
            <v>5343083</v>
          </cell>
          <cell r="AN257">
            <v>0</v>
          </cell>
          <cell r="AQ257">
            <v>0</v>
          </cell>
          <cell r="AR257">
            <v>38000</v>
          </cell>
          <cell r="AS257">
            <v>31700</v>
          </cell>
          <cell r="AV257">
            <v>53430.83</v>
          </cell>
          <cell r="AW257">
            <v>106861.66</v>
          </cell>
          <cell r="AX257">
            <v>53430.83</v>
          </cell>
          <cell r="AY257">
            <v>283423</v>
          </cell>
          <cell r="AZ257">
            <v>5059660</v>
          </cell>
          <cell r="BA257">
            <v>0</v>
          </cell>
          <cell r="BB257">
            <v>283423</v>
          </cell>
          <cell r="BC257">
            <v>5059660</v>
          </cell>
        </row>
        <row r="258">
          <cell r="F258" t="str">
            <v>200819-002</v>
          </cell>
          <cell r="G258" t="str">
            <v>Kontrak 2</v>
          </cell>
          <cell r="H258" t="str">
            <v>Pelaksana</v>
          </cell>
          <cell r="I258" t="str">
            <v>Assembly</v>
          </cell>
          <cell r="J258" t="str">
            <v>20 Agustus 2019</v>
          </cell>
          <cell r="K258" t="b">
            <v>0</v>
          </cell>
          <cell r="L258">
            <v>43697</v>
          </cell>
          <cell r="M258">
            <v>1</v>
          </cell>
          <cell r="N258">
            <v>9</v>
          </cell>
          <cell r="O258">
            <v>4</v>
          </cell>
          <cell r="Q258">
            <v>5343082</v>
          </cell>
          <cell r="R258">
            <v>4924046</v>
          </cell>
          <cell r="S258">
            <v>5343083</v>
          </cell>
          <cell r="T258">
            <v>0</v>
          </cell>
          <cell r="U258">
            <v>0</v>
          </cell>
          <cell r="V258">
            <v>0</v>
          </cell>
          <cell r="W258">
            <v>5343083</v>
          </cell>
          <cell r="X258">
            <v>5</v>
          </cell>
          <cell r="Z258">
            <v>16</v>
          </cell>
          <cell r="AB258">
            <v>21</v>
          </cell>
          <cell r="AC258">
            <v>1272162.6190476192</v>
          </cell>
          <cell r="AD258">
            <v>4070920.3809523811</v>
          </cell>
          <cell r="AE258">
            <v>5343083</v>
          </cell>
          <cell r="AF258">
            <v>0</v>
          </cell>
          <cell r="AG258">
            <v>5343083</v>
          </cell>
          <cell r="AH258" t="b">
            <v>1</v>
          </cell>
          <cell r="AK258">
            <v>5343083</v>
          </cell>
          <cell r="AL258" t="str">
            <v>K1</v>
          </cell>
          <cell r="AM258">
            <v>5343083</v>
          </cell>
          <cell r="AN258">
            <v>0</v>
          </cell>
          <cell r="AQ258">
            <v>0</v>
          </cell>
          <cell r="AR258">
            <v>38000</v>
          </cell>
          <cell r="AS258">
            <v>31700</v>
          </cell>
          <cell r="AV258">
            <v>53430.83</v>
          </cell>
          <cell r="AW258">
            <v>106861.66</v>
          </cell>
          <cell r="AX258">
            <v>53430.83</v>
          </cell>
          <cell r="AY258">
            <v>283423</v>
          </cell>
          <cell r="AZ258">
            <v>5059660</v>
          </cell>
          <cell r="BA258">
            <v>0</v>
          </cell>
          <cell r="BB258">
            <v>283423</v>
          </cell>
          <cell r="BC258">
            <v>5059660</v>
          </cell>
        </row>
        <row r="259">
          <cell r="F259" t="str">
            <v>200819-004</v>
          </cell>
          <cell r="G259" t="str">
            <v>Kontrak 2</v>
          </cell>
          <cell r="H259" t="str">
            <v>Pelaksana</v>
          </cell>
          <cell r="I259" t="str">
            <v>Assembly</v>
          </cell>
          <cell r="J259" t="str">
            <v>20 Agustus 2019</v>
          </cell>
          <cell r="K259" t="b">
            <v>0</v>
          </cell>
          <cell r="L259">
            <v>43697</v>
          </cell>
          <cell r="M259">
            <v>1</v>
          </cell>
          <cell r="N259">
            <v>9</v>
          </cell>
          <cell r="O259">
            <v>4</v>
          </cell>
          <cell r="Q259">
            <v>5343082</v>
          </cell>
          <cell r="R259">
            <v>4924046</v>
          </cell>
          <cell r="S259">
            <v>5343083</v>
          </cell>
          <cell r="T259">
            <v>0</v>
          </cell>
          <cell r="U259">
            <v>0</v>
          </cell>
          <cell r="V259">
            <v>0</v>
          </cell>
          <cell r="W259">
            <v>5343083</v>
          </cell>
          <cell r="X259">
            <v>5</v>
          </cell>
          <cell r="Z259">
            <v>16</v>
          </cell>
          <cell r="AB259">
            <v>21</v>
          </cell>
          <cell r="AC259">
            <v>1272162.6190476192</v>
          </cell>
          <cell r="AD259">
            <v>4070920.3809523811</v>
          </cell>
          <cell r="AE259">
            <v>5343083</v>
          </cell>
          <cell r="AF259">
            <v>0</v>
          </cell>
          <cell r="AG259">
            <v>5343083</v>
          </cell>
          <cell r="AH259" t="b">
            <v>1</v>
          </cell>
          <cell r="AK259">
            <v>5343083</v>
          </cell>
          <cell r="AL259" t="str">
            <v>TK</v>
          </cell>
          <cell r="AM259">
            <v>5343083</v>
          </cell>
          <cell r="AN259">
            <v>34354.584590750004</v>
          </cell>
          <cell r="AQ259">
            <v>0</v>
          </cell>
          <cell r="AR259">
            <v>38000</v>
          </cell>
          <cell r="AS259">
            <v>31700</v>
          </cell>
          <cell r="AV259">
            <v>53430.83</v>
          </cell>
          <cell r="AW259">
            <v>106861.66</v>
          </cell>
          <cell r="AX259">
            <v>53430.83</v>
          </cell>
          <cell r="AY259">
            <v>317778</v>
          </cell>
          <cell r="AZ259">
            <v>5025305</v>
          </cell>
          <cell r="BA259">
            <v>34354.584590750004</v>
          </cell>
          <cell r="BB259">
            <v>283423</v>
          </cell>
          <cell r="BC259">
            <v>5059660</v>
          </cell>
        </row>
        <row r="260">
          <cell r="F260" t="str">
            <v>230819-007</v>
          </cell>
          <cell r="G260" t="str">
            <v>Kontrak 2</v>
          </cell>
          <cell r="H260" t="str">
            <v>Pelaksana</v>
          </cell>
          <cell r="I260" t="str">
            <v>Assembly</v>
          </cell>
          <cell r="J260" t="str">
            <v>23 Agustus 2019</v>
          </cell>
          <cell r="K260" t="b">
            <v>0</v>
          </cell>
          <cell r="L260">
            <v>43700</v>
          </cell>
          <cell r="M260">
            <v>1</v>
          </cell>
          <cell r="N260">
            <v>9</v>
          </cell>
          <cell r="O260">
            <v>1</v>
          </cell>
          <cell r="Q260">
            <v>5343082</v>
          </cell>
          <cell r="R260">
            <v>4924046</v>
          </cell>
          <cell r="S260">
            <v>5343083</v>
          </cell>
          <cell r="T260">
            <v>0</v>
          </cell>
          <cell r="U260">
            <v>0</v>
          </cell>
          <cell r="V260">
            <v>0</v>
          </cell>
          <cell r="W260">
            <v>5343083</v>
          </cell>
          <cell r="X260">
            <v>5</v>
          </cell>
          <cell r="Z260">
            <v>16</v>
          </cell>
          <cell r="AB260">
            <v>21</v>
          </cell>
          <cell r="AC260">
            <v>1272162.6190476192</v>
          </cell>
          <cell r="AD260">
            <v>4070920.3809523811</v>
          </cell>
          <cell r="AE260">
            <v>5343083</v>
          </cell>
          <cell r="AF260">
            <v>0</v>
          </cell>
          <cell r="AG260">
            <v>5343083</v>
          </cell>
          <cell r="AH260" t="b">
            <v>1</v>
          </cell>
          <cell r="AK260">
            <v>5343083</v>
          </cell>
          <cell r="AL260" t="str">
            <v>TK</v>
          </cell>
          <cell r="AM260">
            <v>5343083</v>
          </cell>
          <cell r="AN260">
            <v>34354.584590750004</v>
          </cell>
          <cell r="AQ260">
            <v>0</v>
          </cell>
          <cell r="AS260">
            <v>31700</v>
          </cell>
          <cell r="AV260">
            <v>53430.83</v>
          </cell>
          <cell r="AW260">
            <v>106861.66</v>
          </cell>
          <cell r="AX260">
            <v>53430.83</v>
          </cell>
          <cell r="AY260">
            <v>279778</v>
          </cell>
          <cell r="AZ260">
            <v>5063305</v>
          </cell>
          <cell r="BA260">
            <v>34354.584590750004</v>
          </cell>
          <cell r="BB260">
            <v>245423</v>
          </cell>
          <cell r="BC260">
            <v>5097660</v>
          </cell>
        </row>
        <row r="261">
          <cell r="F261" t="str">
            <v>200819-006</v>
          </cell>
          <cell r="G261" t="str">
            <v>Kontrak 2</v>
          </cell>
          <cell r="H261" t="str">
            <v>Pelaksana</v>
          </cell>
          <cell r="I261" t="str">
            <v>Assembly</v>
          </cell>
          <cell r="J261" t="str">
            <v>20 Agustus 2019</v>
          </cell>
          <cell r="K261" t="b">
            <v>0</v>
          </cell>
          <cell r="L261">
            <v>43697</v>
          </cell>
          <cell r="M261">
            <v>1</v>
          </cell>
          <cell r="N261">
            <v>9</v>
          </cell>
          <cell r="O261">
            <v>4</v>
          </cell>
          <cell r="Q261">
            <v>5343082</v>
          </cell>
          <cell r="R261">
            <v>4924046</v>
          </cell>
          <cell r="S261">
            <v>5343083</v>
          </cell>
          <cell r="T261">
            <v>0</v>
          </cell>
          <cell r="U261">
            <v>0</v>
          </cell>
          <cell r="V261">
            <v>0</v>
          </cell>
          <cell r="W261">
            <v>5343083</v>
          </cell>
          <cell r="X261">
            <v>5</v>
          </cell>
          <cell r="Z261">
            <v>16</v>
          </cell>
          <cell r="AB261">
            <v>21</v>
          </cell>
          <cell r="AC261">
            <v>1272162.6190476192</v>
          </cell>
          <cell r="AD261">
            <v>4070920.3809523811</v>
          </cell>
          <cell r="AE261">
            <v>5343083</v>
          </cell>
          <cell r="AF261">
            <v>0</v>
          </cell>
          <cell r="AG261">
            <v>5343083</v>
          </cell>
          <cell r="AH261" t="b">
            <v>1</v>
          </cell>
          <cell r="AK261">
            <v>5343083</v>
          </cell>
          <cell r="AL261" t="str">
            <v>TK</v>
          </cell>
          <cell r="AM261">
            <v>5343083</v>
          </cell>
          <cell r="AN261">
            <v>34354.584590750004</v>
          </cell>
          <cell r="AQ261">
            <v>0</v>
          </cell>
          <cell r="AR261">
            <v>38000</v>
          </cell>
          <cell r="AV261">
            <v>53430.83</v>
          </cell>
          <cell r="AW261">
            <v>106861.66</v>
          </cell>
          <cell r="AX261">
            <v>53430.83</v>
          </cell>
          <cell r="AY261">
            <v>286078</v>
          </cell>
          <cell r="AZ261">
            <v>5057005</v>
          </cell>
          <cell r="BA261">
            <v>34354.584590750004</v>
          </cell>
          <cell r="BB261">
            <v>251723</v>
          </cell>
          <cell r="BC261">
            <v>5091360</v>
          </cell>
        </row>
        <row r="262">
          <cell r="F262" t="str">
            <v>111219-001</v>
          </cell>
          <cell r="G262" t="str">
            <v>Pembaharuan</v>
          </cell>
          <cell r="H262" t="str">
            <v>Pelaksana</v>
          </cell>
          <cell r="I262" t="str">
            <v>Assembly</v>
          </cell>
          <cell r="J262">
            <v>43810</v>
          </cell>
          <cell r="K262" t="b">
            <v>1</v>
          </cell>
          <cell r="L262">
            <v>43810</v>
          </cell>
          <cell r="M262">
            <v>1</v>
          </cell>
          <cell r="N262">
            <v>5</v>
          </cell>
          <cell r="O262">
            <v>13</v>
          </cell>
          <cell r="Q262">
            <v>5343082</v>
          </cell>
          <cell r="R262">
            <v>4924046</v>
          </cell>
          <cell r="S262">
            <v>5343083</v>
          </cell>
          <cell r="T262">
            <v>0</v>
          </cell>
          <cell r="U262">
            <v>0</v>
          </cell>
          <cell r="V262">
            <v>0</v>
          </cell>
          <cell r="W262">
            <v>5343083</v>
          </cell>
          <cell r="X262">
            <v>5</v>
          </cell>
          <cell r="Z262">
            <v>16</v>
          </cell>
          <cell r="AB262">
            <v>21</v>
          </cell>
          <cell r="AC262">
            <v>1272162.6190476192</v>
          </cell>
          <cell r="AD262">
            <v>4070920.3809523811</v>
          </cell>
          <cell r="AE262">
            <v>5343083</v>
          </cell>
          <cell r="AF262">
            <v>0</v>
          </cell>
          <cell r="AG262">
            <v>5343083</v>
          </cell>
          <cell r="AH262" t="b">
            <v>1</v>
          </cell>
          <cell r="AK262">
            <v>5343083</v>
          </cell>
          <cell r="AL262" t="str">
            <v>TK</v>
          </cell>
          <cell r="AM262">
            <v>5343083</v>
          </cell>
          <cell r="AN262">
            <v>34354.584590750004</v>
          </cell>
          <cell r="AQ262">
            <v>0</v>
          </cell>
          <cell r="AR262">
            <v>38000</v>
          </cell>
          <cell r="AS262">
            <v>31700</v>
          </cell>
          <cell r="AV262">
            <v>53430.83</v>
          </cell>
          <cell r="AW262">
            <v>106861.66</v>
          </cell>
          <cell r="AX262">
            <v>53430.83</v>
          </cell>
          <cell r="AY262">
            <v>317778</v>
          </cell>
          <cell r="AZ262">
            <v>5025305</v>
          </cell>
          <cell r="BA262">
            <v>34354.584590750004</v>
          </cell>
          <cell r="BB262">
            <v>283423</v>
          </cell>
          <cell r="BC262">
            <v>5059660</v>
          </cell>
        </row>
        <row r="263">
          <cell r="F263" t="str">
            <v>251017-010</v>
          </cell>
          <cell r="G263" t="str">
            <v>Pembaharuan</v>
          </cell>
          <cell r="H263" t="str">
            <v>Pelaksana</v>
          </cell>
          <cell r="I263" t="str">
            <v>Assembly</v>
          </cell>
          <cell r="J263">
            <v>43033</v>
          </cell>
          <cell r="K263" t="b">
            <v>1</v>
          </cell>
          <cell r="L263">
            <v>43033</v>
          </cell>
          <cell r="M263">
            <v>3</v>
          </cell>
          <cell r="N263">
            <v>6</v>
          </cell>
          <cell r="O263">
            <v>29</v>
          </cell>
          <cell r="Q263">
            <v>5343082</v>
          </cell>
          <cell r="R263">
            <v>4924046</v>
          </cell>
          <cell r="S263">
            <v>5343083</v>
          </cell>
          <cell r="T263">
            <v>0</v>
          </cell>
          <cell r="U263">
            <v>0</v>
          </cell>
          <cell r="V263">
            <v>0</v>
          </cell>
          <cell r="W263">
            <v>5343083</v>
          </cell>
          <cell r="X263">
            <v>5</v>
          </cell>
          <cell r="Z263">
            <v>16</v>
          </cell>
          <cell r="AB263">
            <v>21</v>
          </cell>
          <cell r="AC263">
            <v>1272162.6190476192</v>
          </cell>
          <cell r="AD263">
            <v>4070920.3809523811</v>
          </cell>
          <cell r="AE263">
            <v>5343083</v>
          </cell>
          <cell r="AF263">
            <v>0</v>
          </cell>
          <cell r="AG263">
            <v>5343083</v>
          </cell>
          <cell r="AH263" t="b">
            <v>1</v>
          </cell>
          <cell r="AK263">
            <v>5343083</v>
          </cell>
          <cell r="AL263" t="str">
            <v>K0</v>
          </cell>
          <cell r="AM263">
            <v>5343083</v>
          </cell>
          <cell r="AN263">
            <v>15604.584590750002</v>
          </cell>
          <cell r="AQ263">
            <v>0</v>
          </cell>
          <cell r="AR263">
            <v>38000</v>
          </cell>
          <cell r="AS263">
            <v>31700</v>
          </cell>
          <cell r="AV263">
            <v>53430.83</v>
          </cell>
          <cell r="AW263">
            <v>106861.66</v>
          </cell>
          <cell r="AX263">
            <v>53430.83</v>
          </cell>
          <cell r="AY263">
            <v>299028</v>
          </cell>
          <cell r="AZ263">
            <v>5044055</v>
          </cell>
          <cell r="BA263">
            <v>15604.584590750002</v>
          </cell>
          <cell r="BB263">
            <v>283423</v>
          </cell>
          <cell r="BC263">
            <v>5059660</v>
          </cell>
        </row>
        <row r="264">
          <cell r="F264" t="str">
            <v>100919-002</v>
          </cell>
          <cell r="G264" t="str">
            <v>Kontrak 2</v>
          </cell>
          <cell r="H264" t="str">
            <v>Pelaksana</v>
          </cell>
          <cell r="I264" t="str">
            <v>Assembly</v>
          </cell>
          <cell r="J264">
            <v>43718</v>
          </cell>
          <cell r="K264" t="b">
            <v>1</v>
          </cell>
          <cell r="L264">
            <v>43718</v>
          </cell>
          <cell r="M264">
            <v>1</v>
          </cell>
          <cell r="N264">
            <v>8</v>
          </cell>
          <cell r="O264">
            <v>14</v>
          </cell>
          <cell r="Q264">
            <v>5343082</v>
          </cell>
          <cell r="R264">
            <v>4924046</v>
          </cell>
          <cell r="S264">
            <v>5343083</v>
          </cell>
          <cell r="T264">
            <v>0</v>
          </cell>
          <cell r="U264">
            <v>0</v>
          </cell>
          <cell r="V264">
            <v>0</v>
          </cell>
          <cell r="W264">
            <v>5343083</v>
          </cell>
          <cell r="X264">
            <v>5</v>
          </cell>
          <cell r="Z264">
            <v>16</v>
          </cell>
          <cell r="AB264">
            <v>21</v>
          </cell>
          <cell r="AC264">
            <v>1272162.6190476192</v>
          </cell>
          <cell r="AD264">
            <v>4070920.3809523811</v>
          </cell>
          <cell r="AE264">
            <v>5343083</v>
          </cell>
          <cell r="AF264">
            <v>0</v>
          </cell>
          <cell r="AG264">
            <v>5343083</v>
          </cell>
          <cell r="AH264" t="b">
            <v>1</v>
          </cell>
          <cell r="AK264">
            <v>5343083</v>
          </cell>
          <cell r="AL264" t="str">
            <v>K1</v>
          </cell>
          <cell r="AM264">
            <v>5343083</v>
          </cell>
          <cell r="AN264">
            <v>0</v>
          </cell>
          <cell r="AQ264">
            <v>0</v>
          </cell>
          <cell r="AR264">
            <v>38000</v>
          </cell>
          <cell r="AS264">
            <v>31700</v>
          </cell>
          <cell r="AV264">
            <v>53430.83</v>
          </cell>
          <cell r="AW264">
            <v>106861.66</v>
          </cell>
          <cell r="AX264">
            <v>53430.83</v>
          </cell>
          <cell r="AY264">
            <v>283423</v>
          </cell>
          <cell r="AZ264">
            <v>5059660</v>
          </cell>
          <cell r="BA264">
            <v>0</v>
          </cell>
          <cell r="BB264">
            <v>283423</v>
          </cell>
          <cell r="BC264">
            <v>5059660</v>
          </cell>
        </row>
        <row r="265">
          <cell r="F265" t="str">
            <v>150816-005</v>
          </cell>
          <cell r="G265" t="str">
            <v>Tetap</v>
          </cell>
          <cell r="H265" t="str">
            <v>Pelaksana</v>
          </cell>
          <cell r="I265" t="str">
            <v>Assembly</v>
          </cell>
          <cell r="J265">
            <v>42597</v>
          </cell>
          <cell r="K265" t="b">
            <v>1</v>
          </cell>
          <cell r="L265">
            <v>42597</v>
          </cell>
          <cell r="M265">
            <v>4</v>
          </cell>
          <cell r="N265">
            <v>9</v>
          </cell>
          <cell r="O265">
            <v>9</v>
          </cell>
          <cell r="Q265">
            <v>5343082</v>
          </cell>
          <cell r="R265">
            <v>4924046</v>
          </cell>
          <cell r="S265">
            <v>5343083</v>
          </cell>
          <cell r="T265">
            <v>0</v>
          </cell>
          <cell r="U265">
            <v>0</v>
          </cell>
          <cell r="V265">
            <v>0</v>
          </cell>
          <cell r="W265">
            <v>5343083</v>
          </cell>
          <cell r="X265">
            <v>5</v>
          </cell>
          <cell r="Z265">
            <v>16</v>
          </cell>
          <cell r="AB265">
            <v>21</v>
          </cell>
          <cell r="AC265">
            <v>1272162.6190476192</v>
          </cell>
          <cell r="AD265">
            <v>4070920.3809523811</v>
          </cell>
          <cell r="AE265">
            <v>5343083</v>
          </cell>
          <cell r="AF265">
            <v>0</v>
          </cell>
          <cell r="AG265">
            <v>5343083</v>
          </cell>
          <cell r="AH265" t="b">
            <v>1</v>
          </cell>
          <cell r="AK265">
            <v>5343083</v>
          </cell>
          <cell r="AL265" t="str">
            <v>K0</v>
          </cell>
          <cell r="AM265">
            <v>5343083</v>
          </cell>
          <cell r="AN265">
            <v>15604.584590750002</v>
          </cell>
          <cell r="AQ265">
            <v>0</v>
          </cell>
          <cell r="AR265">
            <v>38000</v>
          </cell>
          <cell r="AS265">
            <v>31700</v>
          </cell>
          <cell r="AU265">
            <v>10000</v>
          </cell>
          <cell r="AV265">
            <v>53430.83</v>
          </cell>
          <cell r="AW265">
            <v>106861.66</v>
          </cell>
          <cell r="AX265">
            <v>53430.83</v>
          </cell>
          <cell r="AY265">
            <v>309028</v>
          </cell>
          <cell r="AZ265">
            <v>5034055</v>
          </cell>
          <cell r="BA265">
            <v>15604.584590750002</v>
          </cell>
          <cell r="BB265">
            <v>293423</v>
          </cell>
          <cell r="BC265">
            <v>5049660</v>
          </cell>
        </row>
        <row r="266">
          <cell r="F266" t="str">
            <v>040814-164</v>
          </cell>
          <cell r="G266" t="str">
            <v>Tetap</v>
          </cell>
          <cell r="H266" t="str">
            <v>Pelaksana</v>
          </cell>
          <cell r="I266" t="str">
            <v>Assembly</v>
          </cell>
          <cell r="J266">
            <v>41855</v>
          </cell>
          <cell r="K266" t="b">
            <v>1</v>
          </cell>
          <cell r="L266">
            <v>41855</v>
          </cell>
          <cell r="M266">
            <v>6</v>
          </cell>
          <cell r="N266">
            <v>9</v>
          </cell>
          <cell r="O266">
            <v>20</v>
          </cell>
          <cell r="Q266">
            <v>5343082</v>
          </cell>
          <cell r="R266">
            <v>4924046</v>
          </cell>
          <cell r="S266">
            <v>5343083</v>
          </cell>
          <cell r="T266">
            <v>0</v>
          </cell>
          <cell r="U266">
            <v>0</v>
          </cell>
          <cell r="V266">
            <v>0</v>
          </cell>
          <cell r="W266">
            <v>5343083</v>
          </cell>
          <cell r="X266">
            <v>5</v>
          </cell>
          <cell r="Z266">
            <v>16</v>
          </cell>
          <cell r="AB266">
            <v>21</v>
          </cell>
          <cell r="AC266">
            <v>1272162.6190476192</v>
          </cell>
          <cell r="AD266">
            <v>4070920.3809523811</v>
          </cell>
          <cell r="AE266">
            <v>5343083</v>
          </cell>
          <cell r="AF266">
            <v>0</v>
          </cell>
          <cell r="AG266">
            <v>5343083</v>
          </cell>
          <cell r="AH266" t="b">
            <v>1</v>
          </cell>
          <cell r="AK266">
            <v>5343083</v>
          </cell>
          <cell r="AL266" t="str">
            <v>TK</v>
          </cell>
          <cell r="AM266">
            <v>5343083</v>
          </cell>
          <cell r="AN266">
            <v>34354.584590750004</v>
          </cell>
          <cell r="AQ266">
            <v>0</v>
          </cell>
          <cell r="AR266">
            <v>38000</v>
          </cell>
          <cell r="AS266">
            <v>31700</v>
          </cell>
          <cell r="AU266">
            <v>10000</v>
          </cell>
          <cell r="AV266">
            <v>53430.83</v>
          </cell>
          <cell r="AW266">
            <v>106861.66</v>
          </cell>
          <cell r="AX266">
            <v>53430.83</v>
          </cell>
          <cell r="AY266">
            <v>327778</v>
          </cell>
          <cell r="AZ266">
            <v>5015305</v>
          </cell>
          <cell r="BA266">
            <v>34354.584590750004</v>
          </cell>
          <cell r="BB266">
            <v>293423</v>
          </cell>
          <cell r="BC266">
            <v>5049660</v>
          </cell>
        </row>
        <row r="267">
          <cell r="F267" t="str">
            <v>100919-003</v>
          </cell>
          <cell r="G267" t="str">
            <v>Kontrak 2</v>
          </cell>
          <cell r="H267" t="str">
            <v>Pelaksana</v>
          </cell>
          <cell r="I267" t="str">
            <v>Assembly</v>
          </cell>
          <cell r="J267">
            <v>43718</v>
          </cell>
          <cell r="K267" t="b">
            <v>1</v>
          </cell>
          <cell r="L267">
            <v>43718</v>
          </cell>
          <cell r="M267">
            <v>1</v>
          </cell>
          <cell r="N267">
            <v>8</v>
          </cell>
          <cell r="O267">
            <v>14</v>
          </cell>
          <cell r="Q267">
            <v>5343082</v>
          </cell>
          <cell r="R267">
            <v>4924046</v>
          </cell>
          <cell r="S267">
            <v>5343083</v>
          </cell>
          <cell r="T267">
            <v>0</v>
          </cell>
          <cell r="U267">
            <v>0</v>
          </cell>
          <cell r="V267">
            <v>0</v>
          </cell>
          <cell r="W267">
            <v>5343083</v>
          </cell>
          <cell r="X267">
            <v>5</v>
          </cell>
          <cell r="Z267">
            <v>16</v>
          </cell>
          <cell r="AB267">
            <v>21</v>
          </cell>
          <cell r="AC267">
            <v>1272162.6190476192</v>
          </cell>
          <cell r="AD267">
            <v>4070920.3809523811</v>
          </cell>
          <cell r="AE267">
            <v>5343083</v>
          </cell>
          <cell r="AF267">
            <v>0</v>
          </cell>
          <cell r="AG267">
            <v>5343083</v>
          </cell>
          <cell r="AH267" t="b">
            <v>1</v>
          </cell>
          <cell r="AK267">
            <v>5343083</v>
          </cell>
          <cell r="AL267" t="str">
            <v>TK</v>
          </cell>
          <cell r="AM267">
            <v>5343083</v>
          </cell>
          <cell r="AN267">
            <v>34354.584590750004</v>
          </cell>
          <cell r="AQ267">
            <v>0</v>
          </cell>
          <cell r="AR267">
            <v>38000</v>
          </cell>
          <cell r="AS267">
            <v>31700</v>
          </cell>
          <cell r="AV267">
            <v>53430.83</v>
          </cell>
          <cell r="AW267">
            <v>106861.66</v>
          </cell>
          <cell r="AX267">
            <v>53430.83</v>
          </cell>
          <cell r="AY267">
            <v>317778</v>
          </cell>
          <cell r="AZ267">
            <v>5025305</v>
          </cell>
          <cell r="BA267">
            <v>34354.584590750004</v>
          </cell>
          <cell r="BB267">
            <v>283423</v>
          </cell>
          <cell r="BC267">
            <v>5059660</v>
          </cell>
        </row>
        <row r="268">
          <cell r="F268" t="str">
            <v>290318-001</v>
          </cell>
          <cell r="G268" t="str">
            <v>Pembaharuan</v>
          </cell>
          <cell r="H268" t="str">
            <v>Pelaksana</v>
          </cell>
          <cell r="I268" t="str">
            <v>Assembly</v>
          </cell>
          <cell r="J268">
            <v>43188</v>
          </cell>
          <cell r="K268" t="b">
            <v>1</v>
          </cell>
          <cell r="L268">
            <v>43188</v>
          </cell>
          <cell r="M268">
            <v>3</v>
          </cell>
          <cell r="N268">
            <v>1</v>
          </cell>
          <cell r="O268">
            <v>25</v>
          </cell>
          <cell r="Q268">
            <v>5343082</v>
          </cell>
          <cell r="R268">
            <v>4924046</v>
          </cell>
          <cell r="S268">
            <v>5343083</v>
          </cell>
          <cell r="T268">
            <v>0</v>
          </cell>
          <cell r="U268">
            <v>0</v>
          </cell>
          <cell r="V268">
            <v>0</v>
          </cell>
          <cell r="W268">
            <v>5343083</v>
          </cell>
          <cell r="X268">
            <v>5</v>
          </cell>
          <cell r="Z268">
            <v>16</v>
          </cell>
          <cell r="AB268">
            <v>21</v>
          </cell>
          <cell r="AC268">
            <v>1272162.6190476192</v>
          </cell>
          <cell r="AD268">
            <v>4070920.3809523811</v>
          </cell>
          <cell r="AE268">
            <v>5343083</v>
          </cell>
          <cell r="AF268">
            <v>0</v>
          </cell>
          <cell r="AG268">
            <v>5343083</v>
          </cell>
          <cell r="AH268" t="b">
            <v>1</v>
          </cell>
          <cell r="AK268">
            <v>5343083</v>
          </cell>
          <cell r="AL268" t="str">
            <v>K1</v>
          </cell>
          <cell r="AM268">
            <v>5343083</v>
          </cell>
          <cell r="AN268">
            <v>0</v>
          </cell>
          <cell r="AQ268">
            <v>0</v>
          </cell>
          <cell r="AR268">
            <v>38000</v>
          </cell>
          <cell r="AS268">
            <v>31700</v>
          </cell>
          <cell r="AV268">
            <v>53430.83</v>
          </cell>
          <cell r="AW268">
            <v>106861.66</v>
          </cell>
          <cell r="AX268">
            <v>53430.83</v>
          </cell>
          <cell r="AY268">
            <v>283423</v>
          </cell>
          <cell r="AZ268">
            <v>5059660</v>
          </cell>
          <cell r="BA268">
            <v>0</v>
          </cell>
          <cell r="BB268">
            <v>283423</v>
          </cell>
          <cell r="BC268">
            <v>5059660</v>
          </cell>
        </row>
        <row r="269">
          <cell r="F269" t="str">
            <v>090320-004</v>
          </cell>
          <cell r="G269" t="str">
            <v>Pembaharuan</v>
          </cell>
          <cell r="H269" t="str">
            <v>Pelaksana</v>
          </cell>
          <cell r="I269" t="str">
            <v>Assembly</v>
          </cell>
          <cell r="J269">
            <v>43899</v>
          </cell>
          <cell r="K269" t="b">
            <v>1</v>
          </cell>
          <cell r="L269">
            <v>43899</v>
          </cell>
          <cell r="M269">
            <v>1</v>
          </cell>
          <cell r="N269">
            <v>2</v>
          </cell>
          <cell r="O269">
            <v>15</v>
          </cell>
          <cell r="Q269">
            <v>5343082</v>
          </cell>
          <cell r="R269">
            <v>4924046</v>
          </cell>
          <cell r="S269">
            <v>5343083</v>
          </cell>
          <cell r="T269">
            <v>0</v>
          </cell>
          <cell r="U269">
            <v>0</v>
          </cell>
          <cell r="V269">
            <v>0</v>
          </cell>
          <cell r="W269">
            <v>5343083</v>
          </cell>
          <cell r="X269">
            <v>5</v>
          </cell>
          <cell r="Z269">
            <v>16</v>
          </cell>
          <cell r="AB269">
            <v>21</v>
          </cell>
          <cell r="AC269">
            <v>1272162.6190476192</v>
          </cell>
          <cell r="AD269">
            <v>4070920.3809523811</v>
          </cell>
          <cell r="AE269">
            <v>5343083</v>
          </cell>
          <cell r="AF269">
            <v>0</v>
          </cell>
          <cell r="AG269">
            <v>5343083</v>
          </cell>
          <cell r="AH269" t="b">
            <v>1</v>
          </cell>
          <cell r="AK269">
            <v>5343083</v>
          </cell>
          <cell r="AL269" t="str">
            <v>K1</v>
          </cell>
          <cell r="AM269">
            <v>5343083</v>
          </cell>
          <cell r="AN269">
            <v>0</v>
          </cell>
          <cell r="AQ269">
            <v>0</v>
          </cell>
          <cell r="AR269">
            <v>38000</v>
          </cell>
          <cell r="AS269">
            <v>31700</v>
          </cell>
          <cell r="AV269">
            <v>53430.83</v>
          </cell>
          <cell r="AW269">
            <v>106861.66</v>
          </cell>
          <cell r="AX269">
            <v>53430.83</v>
          </cell>
          <cell r="AY269">
            <v>283423</v>
          </cell>
          <cell r="AZ269">
            <v>5059660</v>
          </cell>
          <cell r="BA269">
            <v>0</v>
          </cell>
          <cell r="BB269">
            <v>283423</v>
          </cell>
          <cell r="BC269">
            <v>5059660</v>
          </cell>
        </row>
        <row r="270">
          <cell r="F270" t="str">
            <v>071220-001</v>
          </cell>
          <cell r="G270" t="str">
            <v>Recall Kontrak 1</v>
          </cell>
          <cell r="H270" t="str">
            <v>Pelaksana</v>
          </cell>
          <cell r="I270" t="str">
            <v>Assembly</v>
          </cell>
          <cell r="J270" t="str">
            <v>07 Desember 2020</v>
          </cell>
          <cell r="K270" t="b">
            <v>0</v>
          </cell>
          <cell r="L270">
            <v>44172</v>
          </cell>
          <cell r="M270">
            <v>0</v>
          </cell>
          <cell r="N270">
            <v>5</v>
          </cell>
          <cell r="O270">
            <v>17</v>
          </cell>
          <cell r="Q270">
            <v>5343082</v>
          </cell>
          <cell r="R270">
            <v>4924046</v>
          </cell>
          <cell r="S270">
            <v>5343083</v>
          </cell>
          <cell r="T270">
            <v>0</v>
          </cell>
          <cell r="U270">
            <v>0</v>
          </cell>
          <cell r="V270">
            <v>0</v>
          </cell>
          <cell r="W270">
            <v>5343083</v>
          </cell>
          <cell r="X270">
            <v>5</v>
          </cell>
          <cell r="Z270">
            <v>16</v>
          </cell>
          <cell r="AB270">
            <v>21</v>
          </cell>
          <cell r="AC270">
            <v>1272162.6190476192</v>
          </cell>
          <cell r="AD270">
            <v>4070920.3809523811</v>
          </cell>
          <cell r="AE270">
            <v>5343083</v>
          </cell>
          <cell r="AF270">
            <v>0</v>
          </cell>
          <cell r="AG270">
            <v>5343083</v>
          </cell>
          <cell r="AH270" t="b">
            <v>1</v>
          </cell>
          <cell r="AK270">
            <v>5343083</v>
          </cell>
          <cell r="AL270" t="str">
            <v>K1</v>
          </cell>
          <cell r="AM270">
            <v>5343083</v>
          </cell>
          <cell r="AN270">
            <v>0</v>
          </cell>
          <cell r="AQ270">
            <v>0</v>
          </cell>
          <cell r="AR270">
            <v>38000</v>
          </cell>
          <cell r="AS270">
            <v>31700</v>
          </cell>
          <cell r="AV270">
            <v>53430.83</v>
          </cell>
          <cell r="AW270">
            <v>106861.66</v>
          </cell>
          <cell r="AX270">
            <v>53430.83</v>
          </cell>
          <cell r="AY270">
            <v>283423</v>
          </cell>
          <cell r="AZ270">
            <v>5059660</v>
          </cell>
          <cell r="BA270">
            <v>0</v>
          </cell>
          <cell r="BB270">
            <v>283423</v>
          </cell>
          <cell r="BC270">
            <v>5059660</v>
          </cell>
        </row>
        <row r="271">
          <cell r="F271" t="str">
            <v>260121-005</v>
          </cell>
          <cell r="G271" t="str">
            <v>Pembaharuan</v>
          </cell>
          <cell r="H271" t="str">
            <v>Pelaksana</v>
          </cell>
          <cell r="I271" t="str">
            <v>Assembly</v>
          </cell>
          <cell r="J271" t="str">
            <v>26 Januari 2021</v>
          </cell>
          <cell r="K271" t="b">
            <v>0</v>
          </cell>
          <cell r="L271">
            <v>44222</v>
          </cell>
          <cell r="M271">
            <v>0</v>
          </cell>
          <cell r="N271">
            <v>3</v>
          </cell>
          <cell r="O271">
            <v>28</v>
          </cell>
          <cell r="Q271">
            <v>5343082</v>
          </cell>
          <cell r="R271">
            <v>4924046</v>
          </cell>
          <cell r="S271">
            <v>5343083</v>
          </cell>
          <cell r="T271">
            <v>0</v>
          </cell>
          <cell r="U271">
            <v>0</v>
          </cell>
          <cell r="V271">
            <v>0</v>
          </cell>
          <cell r="W271">
            <v>5343083</v>
          </cell>
          <cell r="X271">
            <v>5</v>
          </cell>
          <cell r="Z271">
            <v>16</v>
          </cell>
          <cell r="AB271">
            <v>21</v>
          </cell>
          <cell r="AC271">
            <v>1272162.6190476192</v>
          </cell>
          <cell r="AD271">
            <v>4070920.3809523811</v>
          </cell>
          <cell r="AE271">
            <v>5343083</v>
          </cell>
          <cell r="AF271">
            <v>0</v>
          </cell>
          <cell r="AG271">
            <v>5343083</v>
          </cell>
          <cell r="AH271" t="b">
            <v>1</v>
          </cell>
          <cell r="AK271">
            <v>5343083</v>
          </cell>
          <cell r="AL271" t="str">
            <v>K1</v>
          </cell>
          <cell r="AM271">
            <v>5343083</v>
          </cell>
          <cell r="AN271">
            <v>0</v>
          </cell>
          <cell r="AQ271">
            <v>0</v>
          </cell>
          <cell r="AS271">
            <v>31700</v>
          </cell>
          <cell r="AV271">
            <v>53430.83</v>
          </cell>
          <cell r="AW271">
            <v>106861.66</v>
          </cell>
          <cell r="AX271">
            <v>53430.83</v>
          </cell>
          <cell r="AY271">
            <v>245423</v>
          </cell>
          <cell r="AZ271">
            <v>5097660</v>
          </cell>
          <cell r="BA271">
            <v>0</v>
          </cell>
          <cell r="BB271">
            <v>245423</v>
          </cell>
          <cell r="BC271">
            <v>5097660</v>
          </cell>
        </row>
        <row r="272">
          <cell r="F272" t="str">
            <v>200718-009</v>
          </cell>
          <cell r="G272" t="str">
            <v>Kontrak 2</v>
          </cell>
          <cell r="H272" t="str">
            <v>Pelaksana</v>
          </cell>
          <cell r="I272" t="str">
            <v>Assembly</v>
          </cell>
          <cell r="J272">
            <v>43301</v>
          </cell>
          <cell r="K272" t="b">
            <v>1</v>
          </cell>
          <cell r="L272">
            <v>43301</v>
          </cell>
          <cell r="M272">
            <v>2</v>
          </cell>
          <cell r="N272">
            <v>10</v>
          </cell>
          <cell r="O272">
            <v>4</v>
          </cell>
          <cell r="Q272">
            <v>5343082</v>
          </cell>
          <cell r="R272">
            <v>4924046</v>
          </cell>
          <cell r="S272">
            <v>5343083</v>
          </cell>
          <cell r="T272">
            <v>0</v>
          </cell>
          <cell r="U272">
            <v>0</v>
          </cell>
          <cell r="V272">
            <v>0</v>
          </cell>
          <cell r="W272">
            <v>5343083</v>
          </cell>
          <cell r="X272">
            <v>5</v>
          </cell>
          <cell r="Z272">
            <v>16</v>
          </cell>
          <cell r="AB272">
            <v>21</v>
          </cell>
          <cell r="AC272">
            <v>1272162.6190476192</v>
          </cell>
          <cell r="AD272">
            <v>4070920.3809523811</v>
          </cell>
          <cell r="AE272">
            <v>5343083</v>
          </cell>
          <cell r="AF272">
            <v>0</v>
          </cell>
          <cell r="AG272">
            <v>5343083</v>
          </cell>
          <cell r="AH272" t="b">
            <v>1</v>
          </cell>
          <cell r="AK272">
            <v>5343083</v>
          </cell>
          <cell r="AL272" t="str">
            <v>TK</v>
          </cell>
          <cell r="AM272">
            <v>5343083</v>
          </cell>
          <cell r="AN272">
            <v>34354.584590750004</v>
          </cell>
          <cell r="AQ272">
            <v>0</v>
          </cell>
          <cell r="AS272">
            <v>31700</v>
          </cell>
          <cell r="AV272">
            <v>53430.83</v>
          </cell>
          <cell r="AW272">
            <v>106861.66</v>
          </cell>
          <cell r="AX272">
            <v>53430.83</v>
          </cell>
          <cell r="AY272">
            <v>279778</v>
          </cell>
          <cell r="AZ272">
            <v>5063305</v>
          </cell>
          <cell r="BA272">
            <v>34354.584590750004</v>
          </cell>
          <cell r="BB272">
            <v>245423</v>
          </cell>
          <cell r="BC272">
            <v>5097660</v>
          </cell>
        </row>
        <row r="273">
          <cell r="F273" t="str">
            <v>260121-006</v>
          </cell>
          <cell r="G273" t="str">
            <v>Pembaharuan</v>
          </cell>
          <cell r="H273" t="str">
            <v>Pelaksana</v>
          </cell>
          <cell r="I273" t="str">
            <v>Assembly</v>
          </cell>
          <cell r="J273" t="str">
            <v>26 Januari 2021</v>
          </cell>
          <cell r="K273" t="b">
            <v>0</v>
          </cell>
          <cell r="L273">
            <v>44222</v>
          </cell>
          <cell r="M273">
            <v>0</v>
          </cell>
          <cell r="N273">
            <v>3</v>
          </cell>
          <cell r="O273">
            <v>28</v>
          </cell>
          <cell r="Q273">
            <v>5343082</v>
          </cell>
          <cell r="R273">
            <v>4924046</v>
          </cell>
          <cell r="S273">
            <v>5343083</v>
          </cell>
          <cell r="T273">
            <v>0</v>
          </cell>
          <cell r="U273">
            <v>0</v>
          </cell>
          <cell r="V273">
            <v>0</v>
          </cell>
          <cell r="W273">
            <v>5343083</v>
          </cell>
          <cell r="X273">
            <v>5</v>
          </cell>
          <cell r="Z273">
            <v>16</v>
          </cell>
          <cell r="AB273">
            <v>21</v>
          </cell>
          <cell r="AC273">
            <v>1272162.6190476192</v>
          </cell>
          <cell r="AD273">
            <v>4070920.3809523811</v>
          </cell>
          <cell r="AE273">
            <v>5343083</v>
          </cell>
          <cell r="AF273">
            <v>0</v>
          </cell>
          <cell r="AG273">
            <v>5343083</v>
          </cell>
          <cell r="AH273" t="b">
            <v>1</v>
          </cell>
          <cell r="AK273">
            <v>5343083</v>
          </cell>
          <cell r="AL273" t="str">
            <v>TK</v>
          </cell>
          <cell r="AM273">
            <v>5343083</v>
          </cell>
          <cell r="AN273">
            <v>34354.584590750004</v>
          </cell>
          <cell r="AQ273">
            <v>0</v>
          </cell>
          <cell r="AV273">
            <v>53430.83</v>
          </cell>
          <cell r="AW273">
            <v>106861.66</v>
          </cell>
          <cell r="AX273">
            <v>53430.83</v>
          </cell>
          <cell r="AY273">
            <v>248078</v>
          </cell>
          <cell r="AZ273">
            <v>5095005</v>
          </cell>
          <cell r="BA273">
            <v>34354.584590750004</v>
          </cell>
          <cell r="BB273">
            <v>213723</v>
          </cell>
          <cell r="BC273">
            <v>5129360</v>
          </cell>
        </row>
        <row r="274">
          <cell r="F274" t="str">
            <v>210318-002</v>
          </cell>
          <cell r="G274" t="str">
            <v>Pembaharuan</v>
          </cell>
          <cell r="H274" t="str">
            <v>Pelaksana</v>
          </cell>
          <cell r="I274" t="str">
            <v>Assembly</v>
          </cell>
          <cell r="J274">
            <v>43180</v>
          </cell>
          <cell r="K274" t="b">
            <v>1</v>
          </cell>
          <cell r="L274">
            <v>43180</v>
          </cell>
          <cell r="M274">
            <v>3</v>
          </cell>
          <cell r="N274">
            <v>2</v>
          </cell>
          <cell r="O274">
            <v>3</v>
          </cell>
          <cell r="Q274">
            <v>5343082</v>
          </cell>
          <cell r="R274">
            <v>4924046</v>
          </cell>
          <cell r="S274">
            <v>5343083</v>
          </cell>
          <cell r="T274">
            <v>0</v>
          </cell>
          <cell r="U274">
            <v>0</v>
          </cell>
          <cell r="V274">
            <v>0</v>
          </cell>
          <cell r="W274">
            <v>5343083</v>
          </cell>
          <cell r="X274">
            <v>5</v>
          </cell>
          <cell r="Z274">
            <v>16</v>
          </cell>
          <cell r="AB274">
            <v>21</v>
          </cell>
          <cell r="AC274">
            <v>1272162.6190476192</v>
          </cell>
          <cell r="AD274">
            <v>4070920.3809523811</v>
          </cell>
          <cell r="AE274">
            <v>5343083</v>
          </cell>
          <cell r="AF274">
            <v>0</v>
          </cell>
          <cell r="AG274">
            <v>5343083</v>
          </cell>
          <cell r="AH274" t="b">
            <v>1</v>
          </cell>
          <cell r="AK274">
            <v>5343083</v>
          </cell>
          <cell r="AL274" t="str">
            <v>K2</v>
          </cell>
          <cell r="AM274">
            <v>5343083</v>
          </cell>
          <cell r="AN274">
            <v>0</v>
          </cell>
          <cell r="AQ274">
            <v>0</v>
          </cell>
          <cell r="AS274">
            <v>31700</v>
          </cell>
          <cell r="AV274">
            <v>53430.83</v>
          </cell>
          <cell r="AW274">
            <v>106861.66</v>
          </cell>
          <cell r="AX274">
            <v>53430.83</v>
          </cell>
          <cell r="AY274">
            <v>245423</v>
          </cell>
          <cell r="AZ274">
            <v>5097660</v>
          </cell>
          <cell r="BA274">
            <v>0</v>
          </cell>
          <cell r="BB274">
            <v>245423</v>
          </cell>
          <cell r="BC274">
            <v>5097660</v>
          </cell>
        </row>
        <row r="275">
          <cell r="F275" t="str">
            <v>310718-004</v>
          </cell>
          <cell r="G275" t="str">
            <v>Kontrak 2</v>
          </cell>
          <cell r="H275" t="str">
            <v>Pelaksana</v>
          </cell>
          <cell r="I275" t="str">
            <v>Assembly</v>
          </cell>
          <cell r="J275">
            <v>43312</v>
          </cell>
          <cell r="K275" t="b">
            <v>1</v>
          </cell>
          <cell r="L275">
            <v>43312</v>
          </cell>
          <cell r="M275">
            <v>2</v>
          </cell>
          <cell r="N275">
            <v>9</v>
          </cell>
          <cell r="O275">
            <v>23</v>
          </cell>
          <cell r="Q275">
            <v>5343082</v>
          </cell>
          <cell r="R275">
            <v>4924046</v>
          </cell>
          <cell r="S275">
            <v>5343083</v>
          </cell>
          <cell r="T275">
            <v>0</v>
          </cell>
          <cell r="U275">
            <v>0</v>
          </cell>
          <cell r="V275">
            <v>0</v>
          </cell>
          <cell r="W275">
            <v>5343083</v>
          </cell>
          <cell r="X275">
            <v>5</v>
          </cell>
          <cell r="Z275">
            <v>16</v>
          </cell>
          <cell r="AB275">
            <v>21</v>
          </cell>
          <cell r="AC275">
            <v>1272162.6190476192</v>
          </cell>
          <cell r="AD275">
            <v>4070920.3809523811</v>
          </cell>
          <cell r="AE275">
            <v>5343083</v>
          </cell>
          <cell r="AF275">
            <v>0</v>
          </cell>
          <cell r="AG275">
            <v>5343083</v>
          </cell>
          <cell r="AH275" t="b">
            <v>1</v>
          </cell>
          <cell r="AK275">
            <v>5343083</v>
          </cell>
          <cell r="AL275" t="str">
            <v>K1</v>
          </cell>
          <cell r="AM275">
            <v>5343083</v>
          </cell>
          <cell r="AN275">
            <v>0</v>
          </cell>
          <cell r="AQ275">
            <v>0</v>
          </cell>
          <cell r="AR275">
            <v>38000</v>
          </cell>
          <cell r="AS275">
            <v>31700</v>
          </cell>
          <cell r="AU275">
            <v>10000</v>
          </cell>
          <cell r="AV275">
            <v>53430.83</v>
          </cell>
          <cell r="AW275">
            <v>106861.66</v>
          </cell>
          <cell r="AX275">
            <v>53430.83</v>
          </cell>
          <cell r="AY275">
            <v>293423</v>
          </cell>
          <cell r="AZ275">
            <v>5049660</v>
          </cell>
          <cell r="BA275">
            <v>0</v>
          </cell>
          <cell r="BB275">
            <v>293423</v>
          </cell>
          <cell r="BC275">
            <v>5049660</v>
          </cell>
        </row>
        <row r="276">
          <cell r="F276" t="str">
            <v>150319-002</v>
          </cell>
          <cell r="G276" t="str">
            <v>Kontrak 2</v>
          </cell>
          <cell r="H276" t="str">
            <v>Pelaksana</v>
          </cell>
          <cell r="I276" t="str">
            <v>Assembly</v>
          </cell>
          <cell r="J276" t="str">
            <v>15 Maret 2019</v>
          </cell>
          <cell r="K276" t="b">
            <v>0</v>
          </cell>
          <cell r="L276">
            <v>43539</v>
          </cell>
          <cell r="M276">
            <v>2</v>
          </cell>
          <cell r="N276">
            <v>2</v>
          </cell>
          <cell r="O276">
            <v>9</v>
          </cell>
          <cell r="Q276">
            <v>5343082</v>
          </cell>
          <cell r="R276">
            <v>4924046</v>
          </cell>
          <cell r="S276">
            <v>5343083</v>
          </cell>
          <cell r="T276">
            <v>0</v>
          </cell>
          <cell r="U276">
            <v>0</v>
          </cell>
          <cell r="V276">
            <v>0</v>
          </cell>
          <cell r="W276">
            <v>5343083</v>
          </cell>
          <cell r="X276">
            <v>5</v>
          </cell>
          <cell r="Z276">
            <v>16</v>
          </cell>
          <cell r="AB276">
            <v>21</v>
          </cell>
          <cell r="AC276">
            <v>1272162.6190476192</v>
          </cell>
          <cell r="AD276">
            <v>4070920.3809523811</v>
          </cell>
          <cell r="AE276">
            <v>5343083</v>
          </cell>
          <cell r="AF276">
            <v>0</v>
          </cell>
          <cell r="AG276">
            <v>5343083</v>
          </cell>
          <cell r="AH276" t="b">
            <v>1</v>
          </cell>
          <cell r="AK276">
            <v>5343083</v>
          </cell>
          <cell r="AL276" t="str">
            <v>TK</v>
          </cell>
          <cell r="AM276">
            <v>5343083</v>
          </cell>
          <cell r="AN276">
            <v>34354.584590750004</v>
          </cell>
          <cell r="AQ276">
            <v>0</v>
          </cell>
          <cell r="AR276">
            <v>38000</v>
          </cell>
          <cell r="AS276">
            <v>31700</v>
          </cell>
          <cell r="AV276">
            <v>53430.83</v>
          </cell>
          <cell r="AW276">
            <v>106861.66</v>
          </cell>
          <cell r="AX276">
            <v>53430.83</v>
          </cell>
          <cell r="AY276">
            <v>317778</v>
          </cell>
          <cell r="AZ276">
            <v>5025305</v>
          </cell>
          <cell r="BA276">
            <v>34354.584590750004</v>
          </cell>
          <cell r="BB276">
            <v>283423</v>
          </cell>
          <cell r="BC276">
            <v>5059660</v>
          </cell>
        </row>
        <row r="277">
          <cell r="F277" t="str">
            <v>120719-004</v>
          </cell>
          <cell r="G277" t="str">
            <v>Kontrak 2</v>
          </cell>
          <cell r="H277" t="str">
            <v>Pelaksana</v>
          </cell>
          <cell r="I277" t="str">
            <v>Assembly</v>
          </cell>
          <cell r="J277" t="str">
            <v>12 Juli 2019</v>
          </cell>
          <cell r="K277" t="b">
            <v>0</v>
          </cell>
          <cell r="L277">
            <v>43658</v>
          </cell>
          <cell r="M277">
            <v>1</v>
          </cell>
          <cell r="N277">
            <v>10</v>
          </cell>
          <cell r="O277">
            <v>12</v>
          </cell>
          <cell r="Q277">
            <v>5343082</v>
          </cell>
          <cell r="R277">
            <v>4924046</v>
          </cell>
          <cell r="S277">
            <v>5343083</v>
          </cell>
          <cell r="T277">
            <v>0</v>
          </cell>
          <cell r="U277">
            <v>0</v>
          </cell>
          <cell r="V277">
            <v>0</v>
          </cell>
          <cell r="W277">
            <v>5343083</v>
          </cell>
          <cell r="X277">
            <v>5</v>
          </cell>
          <cell r="Z277">
            <v>16</v>
          </cell>
          <cell r="AB277">
            <v>21</v>
          </cell>
          <cell r="AC277">
            <v>1272162.6190476192</v>
          </cell>
          <cell r="AD277">
            <v>4070920.3809523811</v>
          </cell>
          <cell r="AE277">
            <v>5343083</v>
          </cell>
          <cell r="AF277">
            <v>0</v>
          </cell>
          <cell r="AG277">
            <v>5343083</v>
          </cell>
          <cell r="AH277" t="b">
            <v>1</v>
          </cell>
          <cell r="AK277">
            <v>5343083</v>
          </cell>
          <cell r="AL277" t="str">
            <v>K0</v>
          </cell>
          <cell r="AM277">
            <v>5343083</v>
          </cell>
          <cell r="AN277">
            <v>15604.584590750002</v>
          </cell>
          <cell r="AQ277">
            <v>0</v>
          </cell>
          <cell r="AR277">
            <v>38000</v>
          </cell>
          <cell r="AS277">
            <v>31700</v>
          </cell>
          <cell r="AV277">
            <v>53430.83</v>
          </cell>
          <cell r="AW277">
            <v>106861.66</v>
          </cell>
          <cell r="AX277">
            <v>53430.83</v>
          </cell>
          <cell r="AY277">
            <v>299028</v>
          </cell>
          <cell r="AZ277">
            <v>5044055</v>
          </cell>
          <cell r="BA277">
            <v>15604.584590750002</v>
          </cell>
          <cell r="BB277">
            <v>283423</v>
          </cell>
          <cell r="BC277">
            <v>5059660</v>
          </cell>
        </row>
        <row r="278">
          <cell r="F278" t="str">
            <v>160718-014</v>
          </cell>
          <cell r="G278" t="str">
            <v>Kontrak 2</v>
          </cell>
          <cell r="H278" t="str">
            <v>Pelaksana</v>
          </cell>
          <cell r="I278" t="str">
            <v>Assembly</v>
          </cell>
          <cell r="J278">
            <v>43297</v>
          </cell>
          <cell r="K278" t="b">
            <v>1</v>
          </cell>
          <cell r="L278">
            <v>43297</v>
          </cell>
          <cell r="M278">
            <v>2</v>
          </cell>
          <cell r="N278">
            <v>10</v>
          </cell>
          <cell r="O278">
            <v>8</v>
          </cell>
          <cell r="Q278">
            <v>5343082</v>
          </cell>
          <cell r="R278">
            <v>4924046</v>
          </cell>
          <cell r="S278">
            <v>5343083</v>
          </cell>
          <cell r="T278">
            <v>0</v>
          </cell>
          <cell r="U278">
            <v>0</v>
          </cell>
          <cell r="V278">
            <v>0</v>
          </cell>
          <cell r="W278">
            <v>5343083</v>
          </cell>
          <cell r="X278">
            <v>5</v>
          </cell>
          <cell r="Z278">
            <v>16</v>
          </cell>
          <cell r="AB278">
            <v>21</v>
          </cell>
          <cell r="AC278">
            <v>1272162.6190476192</v>
          </cell>
          <cell r="AD278">
            <v>4070920.3809523811</v>
          </cell>
          <cell r="AE278">
            <v>5343083</v>
          </cell>
          <cell r="AF278">
            <v>0</v>
          </cell>
          <cell r="AG278">
            <v>5343083</v>
          </cell>
          <cell r="AH278" t="b">
            <v>1</v>
          </cell>
          <cell r="AK278">
            <v>5343083</v>
          </cell>
          <cell r="AL278" t="str">
            <v>K0</v>
          </cell>
          <cell r="AM278">
            <v>5343083</v>
          </cell>
          <cell r="AN278">
            <v>15604.584590750002</v>
          </cell>
          <cell r="AQ278">
            <v>0</v>
          </cell>
          <cell r="AR278">
            <v>38000</v>
          </cell>
          <cell r="AS278">
            <v>31700</v>
          </cell>
          <cell r="AU278">
            <v>10000</v>
          </cell>
          <cell r="AV278">
            <v>106861.66</v>
          </cell>
          <cell r="AW278">
            <v>106861.66</v>
          </cell>
          <cell r="AX278">
            <v>53430.83</v>
          </cell>
          <cell r="AY278">
            <v>362459</v>
          </cell>
          <cell r="AZ278">
            <v>4980624</v>
          </cell>
          <cell r="BA278">
            <v>15604.584590750002</v>
          </cell>
          <cell r="BB278">
            <v>346854</v>
          </cell>
          <cell r="BC278">
            <v>4996229</v>
          </cell>
        </row>
        <row r="279">
          <cell r="F279" t="str">
            <v>270121-005</v>
          </cell>
          <cell r="G279" t="str">
            <v>Pembaharuan</v>
          </cell>
          <cell r="H279" t="str">
            <v>Pelaksana</v>
          </cell>
          <cell r="I279" t="str">
            <v>Assembly</v>
          </cell>
          <cell r="J279" t="str">
            <v>27 Januari 2021</v>
          </cell>
          <cell r="K279" t="b">
            <v>0</v>
          </cell>
          <cell r="L279">
            <v>44223</v>
          </cell>
          <cell r="M279">
            <v>0</v>
          </cell>
          <cell r="N279">
            <v>3</v>
          </cell>
          <cell r="O279">
            <v>27</v>
          </cell>
          <cell r="Q279">
            <v>5343082</v>
          </cell>
          <cell r="R279">
            <v>4924046</v>
          </cell>
          <cell r="S279">
            <v>5343083</v>
          </cell>
          <cell r="T279">
            <v>0</v>
          </cell>
          <cell r="U279">
            <v>0</v>
          </cell>
          <cell r="V279">
            <v>0</v>
          </cell>
          <cell r="W279">
            <v>5343083</v>
          </cell>
          <cell r="X279">
            <v>5</v>
          </cell>
          <cell r="Z279">
            <v>16</v>
          </cell>
          <cell r="AB279">
            <v>21</v>
          </cell>
          <cell r="AC279">
            <v>1272162.6190476192</v>
          </cell>
          <cell r="AD279">
            <v>4070920.3809523811</v>
          </cell>
          <cell r="AE279">
            <v>5343083</v>
          </cell>
          <cell r="AF279">
            <v>0</v>
          </cell>
          <cell r="AG279">
            <v>5343083</v>
          </cell>
          <cell r="AH279" t="b">
            <v>1</v>
          </cell>
          <cell r="AK279">
            <v>5343083</v>
          </cell>
          <cell r="AL279" t="str">
            <v>K0</v>
          </cell>
          <cell r="AM279">
            <v>5343083</v>
          </cell>
          <cell r="AN279">
            <v>15604.584590750002</v>
          </cell>
          <cell r="AQ279">
            <v>0</v>
          </cell>
          <cell r="AS279">
            <v>31700</v>
          </cell>
          <cell r="AV279">
            <v>53430.83</v>
          </cell>
          <cell r="AW279">
            <v>106861.66</v>
          </cell>
          <cell r="AX279">
            <v>53430.83</v>
          </cell>
          <cell r="AY279">
            <v>261028</v>
          </cell>
          <cell r="AZ279">
            <v>5082055</v>
          </cell>
          <cell r="BA279">
            <v>15604.584590750002</v>
          </cell>
          <cell r="BB279">
            <v>245423</v>
          </cell>
          <cell r="BC279">
            <v>5097660</v>
          </cell>
        </row>
        <row r="280">
          <cell r="F280" t="str">
            <v>311219-001</v>
          </cell>
          <cell r="G280" t="str">
            <v>Kontrak 1</v>
          </cell>
          <cell r="H280" t="str">
            <v>Pelaksana</v>
          </cell>
          <cell r="I280" t="str">
            <v>Assembly</v>
          </cell>
          <cell r="J280">
            <v>43830</v>
          </cell>
          <cell r="K280" t="b">
            <v>1</v>
          </cell>
          <cell r="L280">
            <v>43830</v>
          </cell>
          <cell r="M280">
            <v>1</v>
          </cell>
          <cell r="N280">
            <v>4</v>
          </cell>
          <cell r="O280">
            <v>23</v>
          </cell>
          <cell r="Q280">
            <v>5343082</v>
          </cell>
          <cell r="R280">
            <v>4924046</v>
          </cell>
          <cell r="S280">
            <v>5343083</v>
          </cell>
          <cell r="T280">
            <v>0</v>
          </cell>
          <cell r="U280">
            <v>0</v>
          </cell>
          <cell r="V280">
            <v>0</v>
          </cell>
          <cell r="W280">
            <v>5343083</v>
          </cell>
          <cell r="X280">
            <v>5</v>
          </cell>
          <cell r="Z280">
            <v>16</v>
          </cell>
          <cell r="AB280">
            <v>21</v>
          </cell>
          <cell r="AC280">
            <v>1272162.6190476192</v>
          </cell>
          <cell r="AD280">
            <v>4070920.3809523811</v>
          </cell>
          <cell r="AE280">
            <v>5343083</v>
          </cell>
          <cell r="AF280">
            <v>0</v>
          </cell>
          <cell r="AG280">
            <v>5343083</v>
          </cell>
          <cell r="AH280" t="b">
            <v>1</v>
          </cell>
          <cell r="AK280">
            <v>5343083</v>
          </cell>
          <cell r="AL280" t="str">
            <v>TK</v>
          </cell>
          <cell r="AM280">
            <v>4834218</v>
          </cell>
          <cell r="AN280">
            <v>10183.497090750001</v>
          </cell>
          <cell r="AP280">
            <v>2</v>
          </cell>
          <cell r="AQ280">
            <v>508865</v>
          </cell>
          <cell r="AR280">
            <v>38000</v>
          </cell>
          <cell r="AS280">
            <v>31700</v>
          </cell>
          <cell r="AV280">
            <v>53430.83</v>
          </cell>
          <cell r="AW280">
            <v>106861.66</v>
          </cell>
          <cell r="AX280">
            <v>53430.83</v>
          </cell>
          <cell r="AY280">
            <v>802472</v>
          </cell>
          <cell r="AZ280">
            <v>4540611</v>
          </cell>
          <cell r="BA280">
            <v>10183.497090750001</v>
          </cell>
          <cell r="BB280">
            <v>792288</v>
          </cell>
          <cell r="BC280">
            <v>4550795</v>
          </cell>
        </row>
        <row r="281">
          <cell r="F281" t="str">
            <v>080920-007</v>
          </cell>
          <cell r="G281" t="str">
            <v>Pembaharuan</v>
          </cell>
          <cell r="H281" t="str">
            <v>Pelaksana</v>
          </cell>
          <cell r="I281" t="str">
            <v>Assembly</v>
          </cell>
          <cell r="J281">
            <v>44082</v>
          </cell>
          <cell r="K281" t="b">
            <v>1</v>
          </cell>
          <cell r="L281">
            <v>44082</v>
          </cell>
          <cell r="M281">
            <v>0</v>
          </cell>
          <cell r="N281">
            <v>8</v>
          </cell>
          <cell r="O281">
            <v>16</v>
          </cell>
          <cell r="Q281">
            <v>5343082</v>
          </cell>
          <cell r="R281">
            <v>4924046</v>
          </cell>
          <cell r="S281">
            <v>5343083</v>
          </cell>
          <cell r="T281">
            <v>0</v>
          </cell>
          <cell r="U281">
            <v>0</v>
          </cell>
          <cell r="V281">
            <v>0</v>
          </cell>
          <cell r="W281">
            <v>5343083</v>
          </cell>
          <cell r="X281">
            <v>5</v>
          </cell>
          <cell r="Z281">
            <v>16</v>
          </cell>
          <cell r="AB281">
            <v>21</v>
          </cell>
          <cell r="AC281">
            <v>1272162.6190476192</v>
          </cell>
          <cell r="AD281">
            <v>4070920.3809523811</v>
          </cell>
          <cell r="AE281">
            <v>5343083</v>
          </cell>
          <cell r="AF281">
            <v>0</v>
          </cell>
          <cell r="AG281">
            <v>5343083</v>
          </cell>
          <cell r="AH281" t="b">
            <v>1</v>
          </cell>
          <cell r="AK281">
            <v>5343083</v>
          </cell>
          <cell r="AL281" t="str">
            <v>K1</v>
          </cell>
          <cell r="AM281">
            <v>5343083</v>
          </cell>
          <cell r="AN281">
            <v>0</v>
          </cell>
          <cell r="AQ281">
            <v>0</v>
          </cell>
          <cell r="AR281">
            <v>38000</v>
          </cell>
          <cell r="AS281">
            <v>31700</v>
          </cell>
          <cell r="AU281">
            <v>10000</v>
          </cell>
          <cell r="AV281">
            <v>53430.83</v>
          </cell>
          <cell r="AW281">
            <v>106861.66</v>
          </cell>
          <cell r="AX281">
            <v>53430.83</v>
          </cell>
          <cell r="AY281">
            <v>293423</v>
          </cell>
          <cell r="AZ281">
            <v>5049660</v>
          </cell>
          <cell r="BA281">
            <v>0</v>
          </cell>
          <cell r="BB281">
            <v>293423</v>
          </cell>
          <cell r="BC281">
            <v>5049660</v>
          </cell>
        </row>
        <row r="282">
          <cell r="F282" t="str">
            <v>280318-026</v>
          </cell>
          <cell r="G282" t="str">
            <v>Kontrak 2</v>
          </cell>
          <cell r="H282" t="str">
            <v>Pelaksana</v>
          </cell>
          <cell r="I282" t="str">
            <v>Assembly</v>
          </cell>
          <cell r="J282">
            <v>43187</v>
          </cell>
          <cell r="K282" t="b">
            <v>1</v>
          </cell>
          <cell r="L282">
            <v>43187</v>
          </cell>
          <cell r="M282">
            <v>3</v>
          </cell>
          <cell r="N282">
            <v>1</v>
          </cell>
          <cell r="O282">
            <v>26</v>
          </cell>
          <cell r="Q282">
            <v>5343082</v>
          </cell>
          <cell r="R282">
            <v>4924046</v>
          </cell>
          <cell r="S282">
            <v>5343083</v>
          </cell>
          <cell r="T282">
            <v>0</v>
          </cell>
          <cell r="U282">
            <v>0</v>
          </cell>
          <cell r="V282">
            <v>0</v>
          </cell>
          <cell r="W282">
            <v>5343083</v>
          </cell>
          <cell r="X282">
            <v>5</v>
          </cell>
          <cell r="Z282">
            <v>16</v>
          </cell>
          <cell r="AB282">
            <v>21</v>
          </cell>
          <cell r="AC282">
            <v>1272162.6190476192</v>
          </cell>
          <cell r="AD282">
            <v>4070920.3809523811</v>
          </cell>
          <cell r="AE282">
            <v>5343083</v>
          </cell>
          <cell r="AF282">
            <v>0</v>
          </cell>
          <cell r="AG282">
            <v>5343083</v>
          </cell>
          <cell r="AH282" t="b">
            <v>1</v>
          </cell>
          <cell r="AK282">
            <v>5343083</v>
          </cell>
          <cell r="AL282" t="str">
            <v>K0</v>
          </cell>
          <cell r="AM282">
            <v>254433</v>
          </cell>
          <cell r="AN282">
            <v>0</v>
          </cell>
          <cell r="AP282">
            <v>20</v>
          </cell>
          <cell r="AQ282">
            <v>5088650</v>
          </cell>
          <cell r="AR282">
            <v>38000</v>
          </cell>
          <cell r="AV282">
            <v>53430.83</v>
          </cell>
          <cell r="AW282">
            <v>106861.66</v>
          </cell>
          <cell r="AX282">
            <v>53430.83</v>
          </cell>
          <cell r="AY282">
            <v>5340373</v>
          </cell>
          <cell r="AZ282">
            <v>2710</v>
          </cell>
          <cell r="BA282">
            <v>0</v>
          </cell>
          <cell r="BB282">
            <v>5340373</v>
          </cell>
          <cell r="BC282">
            <v>2710</v>
          </cell>
        </row>
        <row r="283">
          <cell r="F283" t="str">
            <v>261120-001</v>
          </cell>
          <cell r="G283" t="str">
            <v>Recall Kontrak 1</v>
          </cell>
          <cell r="H283" t="str">
            <v>Pelaksana</v>
          </cell>
          <cell r="I283" t="str">
            <v>Assembly</v>
          </cell>
          <cell r="J283">
            <v>44161</v>
          </cell>
          <cell r="K283" t="b">
            <v>1</v>
          </cell>
          <cell r="L283">
            <v>44161</v>
          </cell>
          <cell r="M283">
            <v>0</v>
          </cell>
          <cell r="N283">
            <v>5</v>
          </cell>
          <cell r="O283">
            <v>28</v>
          </cell>
          <cell r="Q283">
            <v>5343082</v>
          </cell>
          <cell r="R283">
            <v>4924046</v>
          </cell>
          <cell r="S283">
            <v>5343083</v>
          </cell>
          <cell r="T283">
            <v>0</v>
          </cell>
          <cell r="U283">
            <v>0</v>
          </cell>
          <cell r="V283">
            <v>0</v>
          </cell>
          <cell r="W283">
            <v>5343083</v>
          </cell>
          <cell r="X283">
            <v>5</v>
          </cell>
          <cell r="Z283">
            <v>16</v>
          </cell>
          <cell r="AB283">
            <v>21</v>
          </cell>
          <cell r="AC283">
            <v>1272162.6190476192</v>
          </cell>
          <cell r="AD283">
            <v>4070920.3809523811</v>
          </cell>
          <cell r="AE283">
            <v>5343083</v>
          </cell>
          <cell r="AF283">
            <v>0</v>
          </cell>
          <cell r="AG283">
            <v>5343083</v>
          </cell>
          <cell r="AH283" t="b">
            <v>1</v>
          </cell>
          <cell r="AK283">
            <v>5343083</v>
          </cell>
          <cell r="AL283" t="str">
            <v>K1</v>
          </cell>
          <cell r="AM283">
            <v>5343083</v>
          </cell>
          <cell r="AN283">
            <v>0</v>
          </cell>
          <cell r="AQ283">
            <v>0</v>
          </cell>
          <cell r="AR283">
            <v>38000</v>
          </cell>
          <cell r="AS283">
            <v>31700</v>
          </cell>
          <cell r="AV283">
            <v>53430.83</v>
          </cell>
          <cell r="AW283">
            <v>106861.66</v>
          </cell>
          <cell r="AX283">
            <v>53430.83</v>
          </cell>
          <cell r="AY283">
            <v>283423</v>
          </cell>
          <cell r="AZ283">
            <v>5059660</v>
          </cell>
          <cell r="BA283">
            <v>0</v>
          </cell>
          <cell r="BB283">
            <v>283423</v>
          </cell>
          <cell r="BC283">
            <v>5059660</v>
          </cell>
        </row>
        <row r="284">
          <cell r="F284" t="str">
            <v>270121-001</v>
          </cell>
          <cell r="G284" t="str">
            <v>Pembaharuan</v>
          </cell>
          <cell r="H284" t="str">
            <v>Pelaksana</v>
          </cell>
          <cell r="I284" t="str">
            <v>Assembly</v>
          </cell>
          <cell r="J284" t="str">
            <v>27 Januari 2021</v>
          </cell>
          <cell r="K284" t="b">
            <v>0</v>
          </cell>
          <cell r="L284">
            <v>44223</v>
          </cell>
          <cell r="M284">
            <v>0</v>
          </cell>
          <cell r="N284">
            <v>3</v>
          </cell>
          <cell r="O284">
            <v>27</v>
          </cell>
          <cell r="Q284">
            <v>5343082</v>
          </cell>
          <cell r="R284">
            <v>4924046</v>
          </cell>
          <cell r="S284">
            <v>5343083</v>
          </cell>
          <cell r="T284">
            <v>0</v>
          </cell>
          <cell r="U284">
            <v>0</v>
          </cell>
          <cell r="V284">
            <v>0</v>
          </cell>
          <cell r="W284">
            <v>5343083</v>
          </cell>
          <cell r="X284">
            <v>5</v>
          </cell>
          <cell r="Z284">
            <v>16</v>
          </cell>
          <cell r="AB284">
            <v>21</v>
          </cell>
          <cell r="AC284">
            <v>1272162.6190476192</v>
          </cell>
          <cell r="AD284">
            <v>4070920.3809523811</v>
          </cell>
          <cell r="AE284">
            <v>5343083</v>
          </cell>
          <cell r="AF284">
            <v>0</v>
          </cell>
          <cell r="AG284">
            <v>5343083</v>
          </cell>
          <cell r="AH284" t="b">
            <v>1</v>
          </cell>
          <cell r="AK284">
            <v>5343083</v>
          </cell>
          <cell r="AL284" t="str">
            <v>TK</v>
          </cell>
          <cell r="AM284">
            <v>5343083</v>
          </cell>
          <cell r="AN284">
            <v>34354.584590750004</v>
          </cell>
          <cell r="AQ284">
            <v>0</v>
          </cell>
          <cell r="AS284">
            <v>31700</v>
          </cell>
          <cell r="AV284">
            <v>53430.83</v>
          </cell>
          <cell r="AW284">
            <v>106861.66</v>
          </cell>
          <cell r="AX284">
            <v>53430.83</v>
          </cell>
          <cell r="AY284">
            <v>279778</v>
          </cell>
          <cell r="AZ284">
            <v>5063305</v>
          </cell>
          <cell r="BA284">
            <v>34354.584590750004</v>
          </cell>
          <cell r="BB284">
            <v>245423</v>
          </cell>
          <cell r="BC284">
            <v>5097660</v>
          </cell>
        </row>
        <row r="285">
          <cell r="F285" t="str">
            <v>080920-009</v>
          </cell>
          <cell r="G285" t="str">
            <v>Pembaharuan</v>
          </cell>
          <cell r="H285" t="str">
            <v>Pelaksana</v>
          </cell>
          <cell r="I285" t="str">
            <v>Assembly</v>
          </cell>
          <cell r="J285">
            <v>44082</v>
          </cell>
          <cell r="K285" t="b">
            <v>1</v>
          </cell>
          <cell r="L285">
            <v>44082</v>
          </cell>
          <cell r="M285">
            <v>0</v>
          </cell>
          <cell r="N285">
            <v>8</v>
          </cell>
          <cell r="O285">
            <v>16</v>
          </cell>
          <cell r="Q285">
            <v>5343082</v>
          </cell>
          <cell r="R285">
            <v>4924046</v>
          </cell>
          <cell r="S285">
            <v>5343083</v>
          </cell>
          <cell r="T285">
            <v>0</v>
          </cell>
          <cell r="U285">
            <v>0</v>
          </cell>
          <cell r="V285">
            <v>0</v>
          </cell>
          <cell r="W285">
            <v>5343083</v>
          </cell>
          <cell r="X285">
            <v>5</v>
          </cell>
          <cell r="Z285">
            <v>16</v>
          </cell>
          <cell r="AB285">
            <v>21</v>
          </cell>
          <cell r="AC285">
            <v>1272162.6190476192</v>
          </cell>
          <cell r="AD285">
            <v>4070920.3809523811</v>
          </cell>
          <cell r="AE285">
            <v>5343083</v>
          </cell>
          <cell r="AF285">
            <v>0</v>
          </cell>
          <cell r="AG285">
            <v>5343083</v>
          </cell>
          <cell r="AH285" t="b">
            <v>1</v>
          </cell>
          <cell r="AK285">
            <v>5343083</v>
          </cell>
          <cell r="AL285" t="str">
            <v>K1</v>
          </cell>
          <cell r="AM285">
            <v>5343083</v>
          </cell>
          <cell r="AN285">
            <v>0</v>
          </cell>
          <cell r="AQ285">
            <v>0</v>
          </cell>
          <cell r="AR285">
            <v>38000</v>
          </cell>
          <cell r="AS285">
            <v>31700</v>
          </cell>
          <cell r="AU285">
            <v>10000</v>
          </cell>
          <cell r="AV285">
            <v>53430.83</v>
          </cell>
          <cell r="AW285">
            <v>106861.66</v>
          </cell>
          <cell r="AX285">
            <v>53430.83</v>
          </cell>
          <cell r="AY285">
            <v>293423</v>
          </cell>
          <cell r="AZ285">
            <v>5049660</v>
          </cell>
          <cell r="BA285">
            <v>0</v>
          </cell>
          <cell r="BB285">
            <v>293423</v>
          </cell>
          <cell r="BC285">
            <v>5049660</v>
          </cell>
        </row>
        <row r="286">
          <cell r="F286" t="str">
            <v>200718-017</v>
          </cell>
          <cell r="G286" t="str">
            <v>Kontrak 2</v>
          </cell>
          <cell r="H286" t="str">
            <v>Pelaksana</v>
          </cell>
          <cell r="I286" t="str">
            <v>Assembly</v>
          </cell>
          <cell r="J286">
            <v>43301</v>
          </cell>
          <cell r="K286" t="b">
            <v>1</v>
          </cell>
          <cell r="L286">
            <v>43301</v>
          </cell>
          <cell r="M286">
            <v>2</v>
          </cell>
          <cell r="N286">
            <v>10</v>
          </cell>
          <cell r="O286">
            <v>4</v>
          </cell>
          <cell r="Q286">
            <v>5343082</v>
          </cell>
          <cell r="R286">
            <v>4924046</v>
          </cell>
          <cell r="S286">
            <v>5343083</v>
          </cell>
          <cell r="T286">
            <v>0</v>
          </cell>
          <cell r="U286">
            <v>0</v>
          </cell>
          <cell r="V286">
            <v>0</v>
          </cell>
          <cell r="W286">
            <v>5343083</v>
          </cell>
          <cell r="X286">
            <v>5</v>
          </cell>
          <cell r="Z286">
            <v>16</v>
          </cell>
          <cell r="AB286">
            <v>21</v>
          </cell>
          <cell r="AC286">
            <v>1272162.6190476192</v>
          </cell>
          <cell r="AD286">
            <v>4070920.3809523811</v>
          </cell>
          <cell r="AE286">
            <v>5343083</v>
          </cell>
          <cell r="AF286">
            <v>0</v>
          </cell>
          <cell r="AG286">
            <v>5343083</v>
          </cell>
          <cell r="AH286" t="b">
            <v>1</v>
          </cell>
          <cell r="AK286">
            <v>5343083</v>
          </cell>
          <cell r="AL286" t="str">
            <v>K0</v>
          </cell>
          <cell r="AM286">
            <v>5343083</v>
          </cell>
          <cell r="AN286">
            <v>15604.584590750002</v>
          </cell>
          <cell r="AQ286">
            <v>0</v>
          </cell>
          <cell r="AS286">
            <v>31700</v>
          </cell>
          <cell r="AU286">
            <v>10000</v>
          </cell>
          <cell r="AV286">
            <v>53430.83</v>
          </cell>
          <cell r="AW286">
            <v>106861.66</v>
          </cell>
          <cell r="AX286">
            <v>53430.83</v>
          </cell>
          <cell r="AY286">
            <v>271028</v>
          </cell>
          <cell r="AZ286">
            <v>5072055</v>
          </cell>
          <cell r="BA286">
            <v>15604.584590750002</v>
          </cell>
          <cell r="BB286">
            <v>255423</v>
          </cell>
          <cell r="BC286">
            <v>5087660</v>
          </cell>
        </row>
        <row r="287">
          <cell r="F287" t="str">
            <v>251017-003</v>
          </cell>
          <cell r="G287" t="str">
            <v>Pembaharuan</v>
          </cell>
          <cell r="H287" t="str">
            <v>Pelaksana</v>
          </cell>
          <cell r="I287" t="str">
            <v>Assembly</v>
          </cell>
          <cell r="J287">
            <v>43033</v>
          </cell>
          <cell r="K287" t="b">
            <v>1</v>
          </cell>
          <cell r="L287">
            <v>43033</v>
          </cell>
          <cell r="M287">
            <v>3</v>
          </cell>
          <cell r="N287">
            <v>6</v>
          </cell>
          <cell r="O287">
            <v>29</v>
          </cell>
          <cell r="Q287">
            <v>5343082</v>
          </cell>
          <cell r="R287">
            <v>4924046</v>
          </cell>
          <cell r="S287">
            <v>5343083</v>
          </cell>
          <cell r="T287">
            <v>0</v>
          </cell>
          <cell r="U287">
            <v>0</v>
          </cell>
          <cell r="V287">
            <v>0</v>
          </cell>
          <cell r="W287">
            <v>5343083</v>
          </cell>
          <cell r="X287">
            <v>5</v>
          </cell>
          <cell r="Z287">
            <v>16</v>
          </cell>
          <cell r="AB287">
            <v>21</v>
          </cell>
          <cell r="AC287">
            <v>1272162.6190476192</v>
          </cell>
          <cell r="AD287">
            <v>4070920.3809523811</v>
          </cell>
          <cell r="AE287">
            <v>5343083</v>
          </cell>
          <cell r="AF287">
            <v>0</v>
          </cell>
          <cell r="AG287">
            <v>5343083</v>
          </cell>
          <cell r="AH287" t="b">
            <v>1</v>
          </cell>
          <cell r="AK287">
            <v>5343083</v>
          </cell>
          <cell r="AL287" t="str">
            <v>TK</v>
          </cell>
          <cell r="AM287">
            <v>5343083</v>
          </cell>
          <cell r="AN287">
            <v>34354.584590750004</v>
          </cell>
          <cell r="AQ287">
            <v>0</v>
          </cell>
          <cell r="AR287">
            <v>38000</v>
          </cell>
          <cell r="AS287">
            <v>31700</v>
          </cell>
          <cell r="AV287">
            <v>53430.83</v>
          </cell>
          <cell r="AW287">
            <v>106861.66</v>
          </cell>
          <cell r="AX287">
            <v>53430.83</v>
          </cell>
          <cell r="AY287">
            <v>317778</v>
          </cell>
          <cell r="AZ287">
            <v>5025305</v>
          </cell>
          <cell r="BA287">
            <v>34354.584590750004</v>
          </cell>
          <cell r="BB287">
            <v>283423</v>
          </cell>
          <cell r="BC287">
            <v>5059660</v>
          </cell>
        </row>
        <row r="288">
          <cell r="F288" t="str">
            <v>061020-002</v>
          </cell>
          <cell r="G288" t="str">
            <v>Pembaharuan</v>
          </cell>
          <cell r="H288" t="str">
            <v>Pelaksana</v>
          </cell>
          <cell r="I288" t="str">
            <v>Assembly</v>
          </cell>
          <cell r="J288" t="str">
            <v>06 Oktober 2020</v>
          </cell>
          <cell r="K288" t="b">
            <v>0</v>
          </cell>
          <cell r="L288">
            <v>44110</v>
          </cell>
          <cell r="M288">
            <v>0</v>
          </cell>
          <cell r="N288">
            <v>7</v>
          </cell>
          <cell r="O288">
            <v>18</v>
          </cell>
          <cell r="Q288">
            <v>5343082</v>
          </cell>
          <cell r="R288">
            <v>4924046</v>
          </cell>
          <cell r="S288">
            <v>5343083</v>
          </cell>
          <cell r="T288">
            <v>0</v>
          </cell>
          <cell r="U288">
            <v>0</v>
          </cell>
          <cell r="V288">
            <v>0</v>
          </cell>
          <cell r="W288">
            <v>5343083</v>
          </cell>
          <cell r="X288">
            <v>5</v>
          </cell>
          <cell r="Z288">
            <v>16</v>
          </cell>
          <cell r="AB288">
            <v>21</v>
          </cell>
          <cell r="AC288">
            <v>1272162.6190476192</v>
          </cell>
          <cell r="AD288">
            <v>4070920.3809523811</v>
          </cell>
          <cell r="AE288">
            <v>5343083</v>
          </cell>
          <cell r="AF288">
            <v>0</v>
          </cell>
          <cell r="AG288">
            <v>5343083</v>
          </cell>
          <cell r="AH288" t="b">
            <v>1</v>
          </cell>
          <cell r="AK288">
            <v>5343083</v>
          </cell>
          <cell r="AL288" t="str">
            <v>TK</v>
          </cell>
          <cell r="AM288">
            <v>5343083</v>
          </cell>
          <cell r="AN288">
            <v>34354.584590750004</v>
          </cell>
          <cell r="AQ288">
            <v>0</v>
          </cell>
          <cell r="AR288">
            <v>38000</v>
          </cell>
          <cell r="AS288">
            <v>31700</v>
          </cell>
          <cell r="AU288">
            <v>10000</v>
          </cell>
          <cell r="AV288">
            <v>53430.83</v>
          </cell>
          <cell r="AW288">
            <v>106861.66</v>
          </cell>
          <cell r="AX288">
            <v>53430.83</v>
          </cell>
          <cell r="AY288">
            <v>327778</v>
          </cell>
          <cell r="AZ288">
            <v>5015305</v>
          </cell>
          <cell r="BA288">
            <v>34354.584590750004</v>
          </cell>
          <cell r="BB288">
            <v>293423</v>
          </cell>
          <cell r="BC288">
            <v>5049660</v>
          </cell>
        </row>
        <row r="289">
          <cell r="F289" t="str">
            <v>071220-002</v>
          </cell>
          <cell r="G289" t="str">
            <v>Recall Kontrak 1</v>
          </cell>
          <cell r="H289" t="str">
            <v>Pelaksana</v>
          </cell>
          <cell r="I289" t="str">
            <v>Assembly</v>
          </cell>
          <cell r="J289" t="str">
            <v>07 Desember 2020</v>
          </cell>
          <cell r="K289" t="b">
            <v>0</v>
          </cell>
          <cell r="L289">
            <v>44172</v>
          </cell>
          <cell r="M289">
            <v>0</v>
          </cell>
          <cell r="N289">
            <v>5</v>
          </cell>
          <cell r="O289">
            <v>17</v>
          </cell>
          <cell r="Q289">
            <v>5343082</v>
          </cell>
          <cell r="R289">
            <v>4924046</v>
          </cell>
          <cell r="S289">
            <v>5343083</v>
          </cell>
          <cell r="T289">
            <v>0</v>
          </cell>
          <cell r="U289">
            <v>0</v>
          </cell>
          <cell r="V289">
            <v>0</v>
          </cell>
          <cell r="W289">
            <v>5343083</v>
          </cell>
          <cell r="X289">
            <v>5</v>
          </cell>
          <cell r="Z289">
            <v>16</v>
          </cell>
          <cell r="AB289">
            <v>21</v>
          </cell>
          <cell r="AC289">
            <v>1272162.6190476192</v>
          </cell>
          <cell r="AD289">
            <v>4070920.3809523811</v>
          </cell>
          <cell r="AE289">
            <v>5343083</v>
          </cell>
          <cell r="AF289">
            <v>0</v>
          </cell>
          <cell r="AG289">
            <v>5343083</v>
          </cell>
          <cell r="AH289" t="b">
            <v>1</v>
          </cell>
          <cell r="AK289">
            <v>5343083</v>
          </cell>
          <cell r="AL289" t="str">
            <v>K1</v>
          </cell>
          <cell r="AM289">
            <v>1272163</v>
          </cell>
          <cell r="AN289">
            <v>0</v>
          </cell>
          <cell r="AP289">
            <v>16</v>
          </cell>
          <cell r="AQ289">
            <v>4070920</v>
          </cell>
          <cell r="AR289">
            <v>38000</v>
          </cell>
          <cell r="AV289">
            <v>53430.83</v>
          </cell>
          <cell r="AW289">
            <v>106861.66</v>
          </cell>
          <cell r="AX289">
            <v>53430.83</v>
          </cell>
          <cell r="AY289">
            <v>4322643</v>
          </cell>
          <cell r="AZ289">
            <v>1020440</v>
          </cell>
          <cell r="BA289">
            <v>0</v>
          </cell>
          <cell r="BB289">
            <v>4322643</v>
          </cell>
          <cell r="BC289">
            <v>1020440</v>
          </cell>
        </row>
        <row r="290">
          <cell r="F290" t="str">
            <v>251017-008</v>
          </cell>
          <cell r="G290" t="str">
            <v>Pembaharuan</v>
          </cell>
          <cell r="H290" t="str">
            <v>Pelaksana</v>
          </cell>
          <cell r="I290" t="str">
            <v>Assembly</v>
          </cell>
          <cell r="J290">
            <v>43033</v>
          </cell>
          <cell r="K290" t="b">
            <v>1</v>
          </cell>
          <cell r="L290">
            <v>43033</v>
          </cell>
          <cell r="M290">
            <v>3</v>
          </cell>
          <cell r="N290">
            <v>6</v>
          </cell>
          <cell r="O290">
            <v>29</v>
          </cell>
          <cell r="Q290">
            <v>5343082</v>
          </cell>
          <cell r="R290">
            <v>4924046</v>
          </cell>
          <cell r="S290">
            <v>5343083</v>
          </cell>
          <cell r="T290">
            <v>0</v>
          </cell>
          <cell r="U290">
            <v>0</v>
          </cell>
          <cell r="V290">
            <v>0</v>
          </cell>
          <cell r="W290">
            <v>5343083</v>
          </cell>
          <cell r="X290">
            <v>5</v>
          </cell>
          <cell r="Z290">
            <v>16</v>
          </cell>
          <cell r="AB290">
            <v>21</v>
          </cell>
          <cell r="AC290">
            <v>1272162.6190476192</v>
          </cell>
          <cell r="AD290">
            <v>4070920.3809523811</v>
          </cell>
          <cell r="AE290">
            <v>5343083</v>
          </cell>
          <cell r="AF290">
            <v>0</v>
          </cell>
          <cell r="AG290">
            <v>5343083</v>
          </cell>
          <cell r="AH290" t="b">
            <v>1</v>
          </cell>
          <cell r="AK290">
            <v>5343083</v>
          </cell>
          <cell r="AL290" t="str">
            <v>K0</v>
          </cell>
          <cell r="AM290">
            <v>5343083</v>
          </cell>
          <cell r="AN290">
            <v>15604.584590750002</v>
          </cell>
          <cell r="AQ290">
            <v>0</v>
          </cell>
          <cell r="AR290">
            <v>38000</v>
          </cell>
          <cell r="AS290">
            <v>31700</v>
          </cell>
          <cell r="AV290">
            <v>53430.83</v>
          </cell>
          <cell r="AW290">
            <v>106861.66</v>
          </cell>
          <cell r="AX290">
            <v>53430.83</v>
          </cell>
          <cell r="AY290">
            <v>299028</v>
          </cell>
          <cell r="AZ290">
            <v>5044055</v>
          </cell>
          <cell r="BA290">
            <v>15604.584590750002</v>
          </cell>
          <cell r="BB290">
            <v>283423</v>
          </cell>
          <cell r="BC290">
            <v>5059660</v>
          </cell>
        </row>
        <row r="291">
          <cell r="F291" t="str">
            <v>071220-005</v>
          </cell>
          <cell r="G291" t="str">
            <v>Pembaharuan</v>
          </cell>
          <cell r="H291" t="str">
            <v>Pelaksana</v>
          </cell>
          <cell r="I291" t="str">
            <v>Assembly</v>
          </cell>
          <cell r="J291" t="str">
            <v>07 Desember 2020</v>
          </cell>
          <cell r="K291" t="b">
            <v>0</v>
          </cell>
          <cell r="L291">
            <v>44172</v>
          </cell>
          <cell r="M291">
            <v>0</v>
          </cell>
          <cell r="N291">
            <v>5</v>
          </cell>
          <cell r="O291">
            <v>17</v>
          </cell>
          <cell r="Q291">
            <v>5343082</v>
          </cell>
          <cell r="R291">
            <v>4924046</v>
          </cell>
          <cell r="S291">
            <v>5343083</v>
          </cell>
          <cell r="T291">
            <v>0</v>
          </cell>
          <cell r="U291">
            <v>0</v>
          </cell>
          <cell r="V291">
            <v>0</v>
          </cell>
          <cell r="W291">
            <v>5343083</v>
          </cell>
          <cell r="X291">
            <v>5</v>
          </cell>
          <cell r="Z291">
            <v>16</v>
          </cell>
          <cell r="AB291">
            <v>21</v>
          </cell>
          <cell r="AC291">
            <v>1272162.6190476192</v>
          </cell>
          <cell r="AD291">
            <v>4070920.3809523811</v>
          </cell>
          <cell r="AE291">
            <v>5343083</v>
          </cell>
          <cell r="AF291">
            <v>0</v>
          </cell>
          <cell r="AG291">
            <v>5343083</v>
          </cell>
          <cell r="AH291" t="b">
            <v>1</v>
          </cell>
          <cell r="AK291">
            <v>5343083</v>
          </cell>
          <cell r="AL291" t="str">
            <v>TK</v>
          </cell>
          <cell r="AM291">
            <v>5343083</v>
          </cell>
          <cell r="AN291">
            <v>34354.584590750004</v>
          </cell>
          <cell r="AQ291">
            <v>0</v>
          </cell>
          <cell r="AR291">
            <v>38000</v>
          </cell>
          <cell r="AS291">
            <v>31700</v>
          </cell>
          <cell r="AU291">
            <v>10000</v>
          </cell>
          <cell r="AV291">
            <v>53430.83</v>
          </cell>
          <cell r="AW291">
            <v>106861.66</v>
          </cell>
          <cell r="AX291">
            <v>53430.83</v>
          </cell>
          <cell r="AY291">
            <v>327778</v>
          </cell>
          <cell r="AZ291">
            <v>5015305</v>
          </cell>
          <cell r="BA291">
            <v>34354.584590750004</v>
          </cell>
          <cell r="BB291">
            <v>293423</v>
          </cell>
          <cell r="BC291">
            <v>5049660</v>
          </cell>
        </row>
        <row r="292">
          <cell r="F292" t="str">
            <v>150319-001</v>
          </cell>
          <cell r="G292" t="str">
            <v>Kontrak 2</v>
          </cell>
          <cell r="H292" t="str">
            <v>Pelaksana</v>
          </cell>
          <cell r="I292" t="str">
            <v>Assembly</v>
          </cell>
          <cell r="J292" t="str">
            <v>15 Maret 2019</v>
          </cell>
          <cell r="K292" t="b">
            <v>0</v>
          </cell>
          <cell r="L292">
            <v>43539</v>
          </cell>
          <cell r="M292">
            <v>2</v>
          </cell>
          <cell r="N292">
            <v>2</v>
          </cell>
          <cell r="O292">
            <v>9</v>
          </cell>
          <cell r="Q292">
            <v>5343082</v>
          </cell>
          <cell r="R292">
            <v>4924046</v>
          </cell>
          <cell r="S292">
            <v>5343083</v>
          </cell>
          <cell r="T292">
            <v>0</v>
          </cell>
          <cell r="U292">
            <v>0</v>
          </cell>
          <cell r="V292">
            <v>0</v>
          </cell>
          <cell r="W292">
            <v>5343083</v>
          </cell>
          <cell r="X292">
            <v>5</v>
          </cell>
          <cell r="Z292">
            <v>16</v>
          </cell>
          <cell r="AB292">
            <v>21</v>
          </cell>
          <cell r="AC292">
            <v>1272162.6190476192</v>
          </cell>
          <cell r="AD292">
            <v>4070920.3809523811</v>
          </cell>
          <cell r="AE292">
            <v>5343083</v>
          </cell>
          <cell r="AF292">
            <v>0</v>
          </cell>
          <cell r="AG292">
            <v>5343083</v>
          </cell>
          <cell r="AH292" t="b">
            <v>1</v>
          </cell>
          <cell r="AK292">
            <v>5343083</v>
          </cell>
          <cell r="AL292" t="str">
            <v>K0</v>
          </cell>
          <cell r="AM292">
            <v>5343083</v>
          </cell>
          <cell r="AN292">
            <v>15604.584590750002</v>
          </cell>
          <cell r="AQ292">
            <v>0</v>
          </cell>
          <cell r="AR292">
            <v>38000</v>
          </cell>
          <cell r="AS292">
            <v>31700</v>
          </cell>
          <cell r="AV292">
            <v>53430.83</v>
          </cell>
          <cell r="AW292">
            <v>106861.66</v>
          </cell>
          <cell r="AX292">
            <v>53430.83</v>
          </cell>
          <cell r="AY292">
            <v>299028</v>
          </cell>
          <cell r="AZ292">
            <v>5044055</v>
          </cell>
          <cell r="BA292">
            <v>15604.584590750002</v>
          </cell>
          <cell r="BB292">
            <v>283423</v>
          </cell>
          <cell r="BC292">
            <v>5059660</v>
          </cell>
        </row>
        <row r="293">
          <cell r="F293" t="str">
            <v>310718-001</v>
          </cell>
          <cell r="G293" t="str">
            <v>Kontrak 2</v>
          </cell>
          <cell r="H293" t="str">
            <v>Pelaksana</v>
          </cell>
          <cell r="I293" t="str">
            <v>Assembly</v>
          </cell>
          <cell r="J293">
            <v>43312</v>
          </cell>
          <cell r="K293" t="b">
            <v>1</v>
          </cell>
          <cell r="L293">
            <v>43312</v>
          </cell>
          <cell r="M293">
            <v>2</v>
          </cell>
          <cell r="N293">
            <v>9</v>
          </cell>
          <cell r="O293">
            <v>23</v>
          </cell>
          <cell r="Q293">
            <v>5343082</v>
          </cell>
          <cell r="R293">
            <v>4924046</v>
          </cell>
          <cell r="S293">
            <v>5343083</v>
          </cell>
          <cell r="T293">
            <v>0</v>
          </cell>
          <cell r="U293">
            <v>0</v>
          </cell>
          <cell r="V293">
            <v>0</v>
          </cell>
          <cell r="W293">
            <v>5343083</v>
          </cell>
          <cell r="X293">
            <v>5</v>
          </cell>
          <cell r="Z293">
            <v>16</v>
          </cell>
          <cell r="AB293">
            <v>21</v>
          </cell>
          <cell r="AC293">
            <v>1272162.6190476192</v>
          </cell>
          <cell r="AD293">
            <v>4070920.3809523811</v>
          </cell>
          <cell r="AE293">
            <v>5343083</v>
          </cell>
          <cell r="AF293">
            <v>0</v>
          </cell>
          <cell r="AG293">
            <v>5343083</v>
          </cell>
          <cell r="AH293" t="b">
            <v>1</v>
          </cell>
          <cell r="AK293">
            <v>5343083</v>
          </cell>
          <cell r="AL293" t="str">
            <v>K1</v>
          </cell>
          <cell r="AM293">
            <v>5343083</v>
          </cell>
          <cell r="AN293">
            <v>0</v>
          </cell>
          <cell r="AQ293">
            <v>0</v>
          </cell>
          <cell r="AR293">
            <v>38000</v>
          </cell>
          <cell r="AS293">
            <v>31700</v>
          </cell>
          <cell r="AU293">
            <v>10000</v>
          </cell>
          <cell r="AV293">
            <v>53430.83</v>
          </cell>
          <cell r="AW293">
            <v>106861.66</v>
          </cell>
          <cell r="AX293">
            <v>53430.83</v>
          </cell>
          <cell r="AY293">
            <v>293423</v>
          </cell>
          <cell r="AZ293">
            <v>5049660</v>
          </cell>
          <cell r="BA293">
            <v>0</v>
          </cell>
          <cell r="BB293">
            <v>293423</v>
          </cell>
          <cell r="BC293">
            <v>5049660</v>
          </cell>
        </row>
        <row r="294">
          <cell r="F294" t="str">
            <v>080920-002</v>
          </cell>
          <cell r="G294" t="str">
            <v>Pembaharuan</v>
          </cell>
          <cell r="H294" t="str">
            <v>Pelaksana</v>
          </cell>
          <cell r="I294" t="str">
            <v>Assembly</v>
          </cell>
          <cell r="J294">
            <v>44082</v>
          </cell>
          <cell r="K294" t="b">
            <v>1</v>
          </cell>
          <cell r="L294">
            <v>44082</v>
          </cell>
          <cell r="M294">
            <v>0</v>
          </cell>
          <cell r="N294">
            <v>8</v>
          </cell>
          <cell r="O294">
            <v>16</v>
          </cell>
          <cell r="Q294">
            <v>5343082</v>
          </cell>
          <cell r="R294">
            <v>4924046</v>
          </cell>
          <cell r="S294">
            <v>5343083</v>
          </cell>
          <cell r="T294">
            <v>0</v>
          </cell>
          <cell r="U294">
            <v>0</v>
          </cell>
          <cell r="V294">
            <v>0</v>
          </cell>
          <cell r="W294">
            <v>5343083</v>
          </cell>
          <cell r="X294">
            <v>5</v>
          </cell>
          <cell r="Z294">
            <v>16</v>
          </cell>
          <cell r="AB294">
            <v>21</v>
          </cell>
          <cell r="AC294">
            <v>1272162.6190476192</v>
          </cell>
          <cell r="AD294">
            <v>4070920.3809523811</v>
          </cell>
          <cell r="AE294">
            <v>5343083</v>
          </cell>
          <cell r="AF294">
            <v>0</v>
          </cell>
          <cell r="AG294">
            <v>5343083</v>
          </cell>
          <cell r="AH294" t="b">
            <v>1</v>
          </cell>
          <cell r="AK294">
            <v>5343083</v>
          </cell>
          <cell r="AL294" t="str">
            <v>K1</v>
          </cell>
          <cell r="AM294">
            <v>5343083</v>
          </cell>
          <cell r="AN294">
            <v>0</v>
          </cell>
          <cell r="AQ294">
            <v>0</v>
          </cell>
          <cell r="AS294">
            <v>31700</v>
          </cell>
          <cell r="AU294">
            <v>10000</v>
          </cell>
          <cell r="AV294">
            <v>53430.83</v>
          </cell>
          <cell r="AW294">
            <v>106861.66</v>
          </cell>
          <cell r="AX294">
            <v>53430.83</v>
          </cell>
          <cell r="AY294">
            <v>255423</v>
          </cell>
          <cell r="AZ294">
            <v>5087660</v>
          </cell>
          <cell r="BA294">
            <v>0</v>
          </cell>
          <cell r="BB294">
            <v>255423</v>
          </cell>
          <cell r="BC294">
            <v>5087660</v>
          </cell>
        </row>
        <row r="295">
          <cell r="F295" t="str">
            <v>251017-014</v>
          </cell>
          <cell r="G295" t="str">
            <v>Pembaharuan</v>
          </cell>
          <cell r="H295" t="str">
            <v>Pelaksana</v>
          </cell>
          <cell r="I295" t="str">
            <v>Assembly</v>
          </cell>
          <cell r="J295">
            <v>43033</v>
          </cell>
          <cell r="K295" t="b">
            <v>1</v>
          </cell>
          <cell r="L295">
            <v>43033</v>
          </cell>
          <cell r="M295">
            <v>3</v>
          </cell>
          <cell r="N295">
            <v>6</v>
          </cell>
          <cell r="O295">
            <v>29</v>
          </cell>
          <cell r="Q295">
            <v>5343082</v>
          </cell>
          <cell r="R295">
            <v>4924046</v>
          </cell>
          <cell r="S295">
            <v>5343083</v>
          </cell>
          <cell r="T295">
            <v>0</v>
          </cell>
          <cell r="U295">
            <v>0</v>
          </cell>
          <cell r="V295">
            <v>0</v>
          </cell>
          <cell r="W295">
            <v>5343083</v>
          </cell>
          <cell r="X295">
            <v>5</v>
          </cell>
          <cell r="Z295">
            <v>16</v>
          </cell>
          <cell r="AB295">
            <v>21</v>
          </cell>
          <cell r="AC295">
            <v>1272162.6190476192</v>
          </cell>
          <cell r="AD295">
            <v>4070920.3809523811</v>
          </cell>
          <cell r="AE295">
            <v>5343083</v>
          </cell>
          <cell r="AF295">
            <v>0</v>
          </cell>
          <cell r="AG295">
            <v>5343083</v>
          </cell>
          <cell r="AH295" t="b">
            <v>1</v>
          </cell>
          <cell r="AK295">
            <v>5343083</v>
          </cell>
          <cell r="AL295" t="str">
            <v>TK</v>
          </cell>
          <cell r="AM295">
            <v>5343083</v>
          </cell>
          <cell r="AN295">
            <v>34354.584590750004</v>
          </cell>
          <cell r="AQ295">
            <v>0</v>
          </cell>
          <cell r="AR295">
            <v>38000</v>
          </cell>
          <cell r="AS295">
            <v>31700</v>
          </cell>
          <cell r="AU295">
            <v>10000</v>
          </cell>
          <cell r="AV295">
            <v>53430.83</v>
          </cell>
          <cell r="AW295">
            <v>106861.66</v>
          </cell>
          <cell r="AX295">
            <v>53430.83</v>
          </cell>
          <cell r="AY295">
            <v>327778</v>
          </cell>
          <cell r="AZ295">
            <v>5015305</v>
          </cell>
          <cell r="BA295">
            <v>34354.584590750004</v>
          </cell>
          <cell r="BB295">
            <v>293423</v>
          </cell>
          <cell r="BC295">
            <v>5049660</v>
          </cell>
        </row>
        <row r="296">
          <cell r="F296" t="str">
            <v>251017-011</v>
          </cell>
          <cell r="G296" t="str">
            <v>Pembaharuan</v>
          </cell>
          <cell r="H296" t="str">
            <v>Pelaksana</v>
          </cell>
          <cell r="I296" t="str">
            <v>Assembly</v>
          </cell>
          <cell r="J296">
            <v>43033</v>
          </cell>
          <cell r="K296" t="b">
            <v>1</v>
          </cell>
          <cell r="L296">
            <v>43033</v>
          </cell>
          <cell r="M296">
            <v>3</v>
          </cell>
          <cell r="N296">
            <v>6</v>
          </cell>
          <cell r="O296">
            <v>29</v>
          </cell>
          <cell r="Q296">
            <v>5343082</v>
          </cell>
          <cell r="R296">
            <v>4924046</v>
          </cell>
          <cell r="S296">
            <v>5343083</v>
          </cell>
          <cell r="T296">
            <v>0</v>
          </cell>
          <cell r="U296">
            <v>0</v>
          </cell>
          <cell r="V296">
            <v>0</v>
          </cell>
          <cell r="W296">
            <v>5343083</v>
          </cell>
          <cell r="X296">
            <v>5</v>
          </cell>
          <cell r="Z296">
            <v>16</v>
          </cell>
          <cell r="AB296">
            <v>21</v>
          </cell>
          <cell r="AC296">
            <v>1272162.6190476192</v>
          </cell>
          <cell r="AD296">
            <v>4070920.3809523811</v>
          </cell>
          <cell r="AE296">
            <v>5343083</v>
          </cell>
          <cell r="AF296">
            <v>0</v>
          </cell>
          <cell r="AG296">
            <v>5343083</v>
          </cell>
          <cell r="AH296" t="b">
            <v>1</v>
          </cell>
          <cell r="AK296">
            <v>5343083</v>
          </cell>
          <cell r="AL296" t="str">
            <v>TK1</v>
          </cell>
          <cell r="AM296">
            <v>5343083</v>
          </cell>
          <cell r="AN296">
            <v>15604.584590750002</v>
          </cell>
          <cell r="AQ296">
            <v>0</v>
          </cell>
          <cell r="AR296">
            <v>38000</v>
          </cell>
          <cell r="AS296">
            <v>31700</v>
          </cell>
          <cell r="AV296">
            <v>53430.83</v>
          </cell>
          <cell r="AW296">
            <v>106861.66</v>
          </cell>
          <cell r="AX296">
            <v>53430.83</v>
          </cell>
          <cell r="AY296">
            <v>299028</v>
          </cell>
          <cell r="AZ296">
            <v>5044055</v>
          </cell>
          <cell r="BA296">
            <v>15604.584590750002</v>
          </cell>
          <cell r="BB296">
            <v>283423</v>
          </cell>
          <cell r="BC296">
            <v>5059660</v>
          </cell>
        </row>
        <row r="297">
          <cell r="F297" t="str">
            <v>080920-004</v>
          </cell>
          <cell r="G297" t="str">
            <v>Pembaharuan</v>
          </cell>
          <cell r="H297" t="str">
            <v>Pelaksana</v>
          </cell>
          <cell r="I297" t="str">
            <v>Assembly</v>
          </cell>
          <cell r="J297">
            <v>44082</v>
          </cell>
          <cell r="K297" t="b">
            <v>1</v>
          </cell>
          <cell r="L297">
            <v>44082</v>
          </cell>
          <cell r="M297">
            <v>0</v>
          </cell>
          <cell r="N297">
            <v>8</v>
          </cell>
          <cell r="O297">
            <v>16</v>
          </cell>
          <cell r="Q297">
            <v>5343082</v>
          </cell>
          <cell r="R297">
            <v>4924046</v>
          </cell>
          <cell r="S297">
            <v>5343083</v>
          </cell>
          <cell r="T297">
            <v>0</v>
          </cell>
          <cell r="U297">
            <v>0</v>
          </cell>
          <cell r="V297">
            <v>0</v>
          </cell>
          <cell r="W297">
            <v>5343083</v>
          </cell>
          <cell r="X297">
            <v>5</v>
          </cell>
          <cell r="Z297">
            <v>16</v>
          </cell>
          <cell r="AB297">
            <v>21</v>
          </cell>
          <cell r="AC297">
            <v>1272162.6190476192</v>
          </cell>
          <cell r="AD297">
            <v>4070920.3809523811</v>
          </cell>
          <cell r="AE297">
            <v>5343083</v>
          </cell>
          <cell r="AF297">
            <v>0</v>
          </cell>
          <cell r="AG297">
            <v>5343083</v>
          </cell>
          <cell r="AH297" t="b">
            <v>1</v>
          </cell>
          <cell r="AK297">
            <v>5343083</v>
          </cell>
          <cell r="AL297" t="str">
            <v>TK</v>
          </cell>
          <cell r="AM297">
            <v>5343083</v>
          </cell>
          <cell r="AN297">
            <v>34354.584590750004</v>
          </cell>
          <cell r="AQ297">
            <v>0</v>
          </cell>
          <cell r="AR297">
            <v>38000</v>
          </cell>
          <cell r="AS297">
            <v>31700</v>
          </cell>
          <cell r="AU297">
            <v>10000</v>
          </cell>
          <cell r="AV297">
            <v>53430.83</v>
          </cell>
          <cell r="AW297">
            <v>106861.66</v>
          </cell>
          <cell r="AX297">
            <v>53430.83</v>
          </cell>
          <cell r="AY297">
            <v>327778</v>
          </cell>
          <cell r="AZ297">
            <v>5015305</v>
          </cell>
          <cell r="BA297">
            <v>34354.584590750004</v>
          </cell>
          <cell r="BB297">
            <v>293423</v>
          </cell>
          <cell r="BC297">
            <v>5049660</v>
          </cell>
        </row>
        <row r="298">
          <cell r="F298" t="str">
            <v>080920-008</v>
          </cell>
          <cell r="G298" t="str">
            <v>Pembaharuan</v>
          </cell>
          <cell r="H298" t="str">
            <v>Pelaksana</v>
          </cell>
          <cell r="I298" t="str">
            <v>Assembly</v>
          </cell>
          <cell r="J298">
            <v>44082</v>
          </cell>
          <cell r="K298" t="b">
            <v>1</v>
          </cell>
          <cell r="L298">
            <v>44082</v>
          </cell>
          <cell r="M298">
            <v>0</v>
          </cell>
          <cell r="N298">
            <v>8</v>
          </cell>
          <cell r="O298">
            <v>16</v>
          </cell>
          <cell r="Q298">
            <v>5343082</v>
          </cell>
          <cell r="R298">
            <v>4924046</v>
          </cell>
          <cell r="S298">
            <v>5343083</v>
          </cell>
          <cell r="T298">
            <v>0</v>
          </cell>
          <cell r="U298">
            <v>0</v>
          </cell>
          <cell r="V298">
            <v>0</v>
          </cell>
          <cell r="W298">
            <v>5343083</v>
          </cell>
          <cell r="X298">
            <v>5</v>
          </cell>
          <cell r="Z298">
            <v>16</v>
          </cell>
          <cell r="AB298">
            <v>21</v>
          </cell>
          <cell r="AC298">
            <v>1272162.6190476192</v>
          </cell>
          <cell r="AD298">
            <v>4070920.3809523811</v>
          </cell>
          <cell r="AE298">
            <v>5343083</v>
          </cell>
          <cell r="AF298">
            <v>0</v>
          </cell>
          <cell r="AG298">
            <v>5343083</v>
          </cell>
          <cell r="AH298" t="b">
            <v>1</v>
          </cell>
          <cell r="AK298">
            <v>5343083</v>
          </cell>
          <cell r="AL298" t="str">
            <v>K1</v>
          </cell>
          <cell r="AM298">
            <v>5343083</v>
          </cell>
          <cell r="AN298">
            <v>0</v>
          </cell>
          <cell r="AQ298">
            <v>0</v>
          </cell>
          <cell r="AR298">
            <v>38000</v>
          </cell>
          <cell r="AS298">
            <v>31700</v>
          </cell>
          <cell r="AU298">
            <v>10000</v>
          </cell>
          <cell r="AV298">
            <v>53430.83</v>
          </cell>
          <cell r="AW298">
            <v>106861.66</v>
          </cell>
          <cell r="AX298">
            <v>53430.83</v>
          </cell>
          <cell r="AY298">
            <v>293423</v>
          </cell>
          <cell r="AZ298">
            <v>5049660</v>
          </cell>
          <cell r="BA298">
            <v>0</v>
          </cell>
          <cell r="BB298">
            <v>293423</v>
          </cell>
          <cell r="BC298">
            <v>5049660</v>
          </cell>
        </row>
        <row r="299">
          <cell r="F299" t="str">
            <v>060818-003</v>
          </cell>
          <cell r="G299" t="str">
            <v>Kontrak 2</v>
          </cell>
          <cell r="H299" t="str">
            <v>Pelaksana</v>
          </cell>
          <cell r="I299" t="str">
            <v>Assembly</v>
          </cell>
          <cell r="J299">
            <v>43318</v>
          </cell>
          <cell r="K299" t="b">
            <v>1</v>
          </cell>
          <cell r="L299">
            <v>43318</v>
          </cell>
          <cell r="M299">
            <v>2</v>
          </cell>
          <cell r="N299">
            <v>9</v>
          </cell>
          <cell r="O299">
            <v>18</v>
          </cell>
          <cell r="Q299">
            <v>5343082</v>
          </cell>
          <cell r="R299">
            <v>4924046</v>
          </cell>
          <cell r="S299">
            <v>5343083</v>
          </cell>
          <cell r="T299">
            <v>0</v>
          </cell>
          <cell r="U299">
            <v>0</v>
          </cell>
          <cell r="V299">
            <v>0</v>
          </cell>
          <cell r="W299">
            <v>5343083</v>
          </cell>
          <cell r="X299">
            <v>5</v>
          </cell>
          <cell r="Z299">
            <v>16</v>
          </cell>
          <cell r="AB299">
            <v>21</v>
          </cell>
          <cell r="AC299">
            <v>1272162.6190476192</v>
          </cell>
          <cell r="AD299">
            <v>4070920.3809523811</v>
          </cell>
          <cell r="AE299">
            <v>5343083</v>
          </cell>
          <cell r="AF299">
            <v>0</v>
          </cell>
          <cell r="AG299">
            <v>5343083</v>
          </cell>
          <cell r="AH299" t="b">
            <v>1</v>
          </cell>
          <cell r="AK299">
            <v>5343083</v>
          </cell>
          <cell r="AL299" t="str">
            <v>K1</v>
          </cell>
          <cell r="AM299">
            <v>5343083</v>
          </cell>
          <cell r="AN299">
            <v>0</v>
          </cell>
          <cell r="AQ299">
            <v>0</v>
          </cell>
          <cell r="AR299">
            <v>38000</v>
          </cell>
          <cell r="AS299">
            <v>31700</v>
          </cell>
          <cell r="AU299">
            <v>10000</v>
          </cell>
          <cell r="AV299">
            <v>53430.83</v>
          </cell>
          <cell r="AW299">
            <v>106861.66</v>
          </cell>
          <cell r="AX299">
            <v>53430.83</v>
          </cell>
          <cell r="AY299">
            <v>293423</v>
          </cell>
          <cell r="AZ299">
            <v>5049660</v>
          </cell>
          <cell r="BA299">
            <v>0</v>
          </cell>
          <cell r="BB299">
            <v>293423</v>
          </cell>
          <cell r="BC299">
            <v>5049660</v>
          </cell>
        </row>
        <row r="300">
          <cell r="F300" t="str">
            <v>200718-004</v>
          </cell>
          <cell r="G300" t="str">
            <v>Kontrak 2</v>
          </cell>
          <cell r="H300" t="str">
            <v>Pelaksana</v>
          </cell>
          <cell r="I300" t="str">
            <v>Assembly</v>
          </cell>
          <cell r="J300">
            <v>43301</v>
          </cell>
          <cell r="K300" t="b">
            <v>1</v>
          </cell>
          <cell r="L300">
            <v>43301</v>
          </cell>
          <cell r="M300">
            <v>2</v>
          </cell>
          <cell r="N300">
            <v>10</v>
          </cell>
          <cell r="O300">
            <v>4</v>
          </cell>
          <cell r="Q300">
            <v>5343082</v>
          </cell>
          <cell r="R300">
            <v>4924046</v>
          </cell>
          <cell r="S300">
            <v>5343083</v>
          </cell>
          <cell r="T300">
            <v>0</v>
          </cell>
          <cell r="U300">
            <v>0</v>
          </cell>
          <cell r="V300">
            <v>0</v>
          </cell>
          <cell r="W300">
            <v>5343083</v>
          </cell>
          <cell r="X300">
            <v>5</v>
          </cell>
          <cell r="Z300">
            <v>16</v>
          </cell>
          <cell r="AB300">
            <v>21</v>
          </cell>
          <cell r="AC300">
            <v>1272162.6190476192</v>
          </cell>
          <cell r="AD300">
            <v>4070920.3809523811</v>
          </cell>
          <cell r="AE300">
            <v>5343083</v>
          </cell>
          <cell r="AF300">
            <v>0</v>
          </cell>
          <cell r="AG300">
            <v>5343083</v>
          </cell>
          <cell r="AH300" t="b">
            <v>1</v>
          </cell>
          <cell r="AK300">
            <v>5343083</v>
          </cell>
          <cell r="AL300" t="str">
            <v>K1</v>
          </cell>
          <cell r="AM300">
            <v>5343083</v>
          </cell>
          <cell r="AN300">
            <v>0</v>
          </cell>
          <cell r="AQ300">
            <v>0</v>
          </cell>
          <cell r="AS300">
            <v>31700</v>
          </cell>
          <cell r="AU300">
            <v>10000</v>
          </cell>
          <cell r="AV300">
            <v>53430.83</v>
          </cell>
          <cell r="AW300">
            <v>106861.66</v>
          </cell>
          <cell r="AX300">
            <v>53430.83</v>
          </cell>
          <cell r="AY300">
            <v>255423</v>
          </cell>
          <cell r="AZ300">
            <v>5087660</v>
          </cell>
          <cell r="BA300">
            <v>0</v>
          </cell>
          <cell r="BB300">
            <v>255423</v>
          </cell>
          <cell r="BC300">
            <v>5087660</v>
          </cell>
        </row>
        <row r="301">
          <cell r="F301" t="str">
            <v>100919-001</v>
          </cell>
          <cell r="G301" t="str">
            <v>Kontrak 2</v>
          </cell>
          <cell r="H301" t="str">
            <v>Pelaksana</v>
          </cell>
          <cell r="I301" t="str">
            <v>Assembly</v>
          </cell>
          <cell r="J301">
            <v>43718</v>
          </cell>
          <cell r="K301" t="b">
            <v>1</v>
          </cell>
          <cell r="L301">
            <v>43718</v>
          </cell>
          <cell r="M301">
            <v>1</v>
          </cell>
          <cell r="N301">
            <v>8</v>
          </cell>
          <cell r="O301">
            <v>14</v>
          </cell>
          <cell r="Q301">
            <v>5343082</v>
          </cell>
          <cell r="R301">
            <v>4924046</v>
          </cell>
          <cell r="S301">
            <v>5343083</v>
          </cell>
          <cell r="T301">
            <v>0</v>
          </cell>
          <cell r="U301">
            <v>0</v>
          </cell>
          <cell r="V301">
            <v>0</v>
          </cell>
          <cell r="W301">
            <v>5343083</v>
          </cell>
          <cell r="X301">
            <v>5</v>
          </cell>
          <cell r="Z301">
            <v>16</v>
          </cell>
          <cell r="AB301">
            <v>21</v>
          </cell>
          <cell r="AC301">
            <v>1272162.6190476192</v>
          </cell>
          <cell r="AD301">
            <v>4070920.3809523811</v>
          </cell>
          <cell r="AE301">
            <v>5343083</v>
          </cell>
          <cell r="AF301">
            <v>0</v>
          </cell>
          <cell r="AG301">
            <v>5343083</v>
          </cell>
          <cell r="AH301" t="b">
            <v>1</v>
          </cell>
          <cell r="AK301">
            <v>5343083</v>
          </cell>
          <cell r="AL301" t="str">
            <v>K1</v>
          </cell>
          <cell r="AM301">
            <v>5343083</v>
          </cell>
          <cell r="AN301">
            <v>0</v>
          </cell>
          <cell r="AQ301">
            <v>0</v>
          </cell>
          <cell r="AR301">
            <v>38000</v>
          </cell>
          <cell r="AS301">
            <v>31700</v>
          </cell>
          <cell r="AV301">
            <v>53430.83</v>
          </cell>
          <cell r="AW301">
            <v>106861.66</v>
          </cell>
          <cell r="AX301">
            <v>53430.83</v>
          </cell>
          <cell r="AY301">
            <v>283423</v>
          </cell>
          <cell r="AZ301">
            <v>5059660</v>
          </cell>
          <cell r="BA301">
            <v>0</v>
          </cell>
          <cell r="BB301">
            <v>283423</v>
          </cell>
          <cell r="BC301">
            <v>5059660</v>
          </cell>
        </row>
        <row r="302">
          <cell r="F302" t="str">
            <v>100919-007</v>
          </cell>
          <cell r="G302" t="str">
            <v>Kontrak 2</v>
          </cell>
          <cell r="H302" t="str">
            <v>Pelaksana</v>
          </cell>
          <cell r="I302" t="str">
            <v>Assembly</v>
          </cell>
          <cell r="J302">
            <v>43718</v>
          </cell>
          <cell r="K302" t="b">
            <v>1</v>
          </cell>
          <cell r="L302">
            <v>43718</v>
          </cell>
          <cell r="M302">
            <v>1</v>
          </cell>
          <cell r="N302">
            <v>8</v>
          </cell>
          <cell r="O302">
            <v>14</v>
          </cell>
          <cell r="Q302">
            <v>5343082</v>
          </cell>
          <cell r="R302">
            <v>4924046</v>
          </cell>
          <cell r="S302">
            <v>5343083</v>
          </cell>
          <cell r="T302">
            <v>0</v>
          </cell>
          <cell r="U302">
            <v>0</v>
          </cell>
          <cell r="V302">
            <v>0</v>
          </cell>
          <cell r="W302">
            <v>5343083</v>
          </cell>
          <cell r="X302">
            <v>5</v>
          </cell>
          <cell r="Z302">
            <v>16</v>
          </cell>
          <cell r="AB302">
            <v>21</v>
          </cell>
          <cell r="AC302">
            <v>1272162.6190476192</v>
          </cell>
          <cell r="AD302">
            <v>4070920.3809523811</v>
          </cell>
          <cell r="AE302">
            <v>5343083</v>
          </cell>
          <cell r="AF302">
            <v>0</v>
          </cell>
          <cell r="AG302">
            <v>5343083</v>
          </cell>
          <cell r="AH302" t="b">
            <v>1</v>
          </cell>
          <cell r="AK302">
            <v>5343083</v>
          </cell>
          <cell r="AL302" t="str">
            <v>K0</v>
          </cell>
          <cell r="AM302">
            <v>5343083</v>
          </cell>
          <cell r="AN302">
            <v>15604.584590750002</v>
          </cell>
          <cell r="AQ302">
            <v>0</v>
          </cell>
          <cell r="AR302">
            <v>38000</v>
          </cell>
          <cell r="AS302">
            <v>31700</v>
          </cell>
          <cell r="AV302">
            <v>53430.83</v>
          </cell>
          <cell r="AW302">
            <v>106861.66</v>
          </cell>
          <cell r="AX302">
            <v>53430.83</v>
          </cell>
          <cell r="AY302">
            <v>299028</v>
          </cell>
          <cell r="AZ302">
            <v>5044055</v>
          </cell>
          <cell r="BA302">
            <v>15604.584590750002</v>
          </cell>
          <cell r="BB302">
            <v>283423</v>
          </cell>
          <cell r="BC302">
            <v>5059660</v>
          </cell>
        </row>
        <row r="303">
          <cell r="F303" t="str">
            <v>100919-008</v>
          </cell>
          <cell r="G303" t="str">
            <v>Kontrak 2</v>
          </cell>
          <cell r="H303" t="str">
            <v>Pelaksana</v>
          </cell>
          <cell r="I303" t="str">
            <v>Assembly</v>
          </cell>
          <cell r="J303">
            <v>43718</v>
          </cell>
          <cell r="K303" t="b">
            <v>1</v>
          </cell>
          <cell r="L303">
            <v>43718</v>
          </cell>
          <cell r="M303">
            <v>1</v>
          </cell>
          <cell r="N303">
            <v>8</v>
          </cell>
          <cell r="O303">
            <v>14</v>
          </cell>
          <cell r="Q303">
            <v>5343082</v>
          </cell>
          <cell r="R303">
            <v>4924046</v>
          </cell>
          <cell r="S303">
            <v>5343083</v>
          </cell>
          <cell r="T303">
            <v>0</v>
          </cell>
          <cell r="U303">
            <v>0</v>
          </cell>
          <cell r="V303">
            <v>0</v>
          </cell>
          <cell r="W303">
            <v>5343083</v>
          </cell>
          <cell r="X303">
            <v>5</v>
          </cell>
          <cell r="Z303">
            <v>16</v>
          </cell>
          <cell r="AB303">
            <v>21</v>
          </cell>
          <cell r="AC303">
            <v>1272162.6190476192</v>
          </cell>
          <cell r="AD303">
            <v>4070920.3809523811</v>
          </cell>
          <cell r="AE303">
            <v>5343083</v>
          </cell>
          <cell r="AF303">
            <v>0</v>
          </cell>
          <cell r="AG303">
            <v>5343083</v>
          </cell>
          <cell r="AH303" t="b">
            <v>1</v>
          </cell>
          <cell r="AK303">
            <v>5343083</v>
          </cell>
          <cell r="AL303" t="str">
            <v>K0</v>
          </cell>
          <cell r="AM303">
            <v>5343083</v>
          </cell>
          <cell r="AN303">
            <v>15604.584590750002</v>
          </cell>
          <cell r="AQ303">
            <v>0</v>
          </cell>
          <cell r="AR303">
            <v>38000</v>
          </cell>
          <cell r="AS303">
            <v>31700</v>
          </cell>
          <cell r="AV303">
            <v>53430.83</v>
          </cell>
          <cell r="AW303">
            <v>106861.66</v>
          </cell>
          <cell r="AX303">
            <v>53430.83</v>
          </cell>
          <cell r="AY303">
            <v>299028</v>
          </cell>
          <cell r="AZ303">
            <v>5044055</v>
          </cell>
          <cell r="BA303">
            <v>15604.584590750002</v>
          </cell>
          <cell r="BB303">
            <v>283423</v>
          </cell>
          <cell r="BC303">
            <v>5059660</v>
          </cell>
        </row>
        <row r="304">
          <cell r="F304" t="str">
            <v>310718-002</v>
          </cell>
          <cell r="G304" t="str">
            <v>Kontrak 2</v>
          </cell>
          <cell r="H304" t="str">
            <v>Pelaksana</v>
          </cell>
          <cell r="I304" t="str">
            <v>Assembly</v>
          </cell>
          <cell r="J304">
            <v>43312</v>
          </cell>
          <cell r="K304" t="b">
            <v>1</v>
          </cell>
          <cell r="L304">
            <v>43312</v>
          </cell>
          <cell r="M304">
            <v>2</v>
          </cell>
          <cell r="N304">
            <v>9</v>
          </cell>
          <cell r="O304">
            <v>23</v>
          </cell>
          <cell r="Q304">
            <v>5343082</v>
          </cell>
          <cell r="R304">
            <v>4924046</v>
          </cell>
          <cell r="S304">
            <v>5343083</v>
          </cell>
          <cell r="T304">
            <v>0</v>
          </cell>
          <cell r="U304">
            <v>0</v>
          </cell>
          <cell r="V304">
            <v>0</v>
          </cell>
          <cell r="W304">
            <v>5343083</v>
          </cell>
          <cell r="X304">
            <v>5</v>
          </cell>
          <cell r="Z304">
            <v>16</v>
          </cell>
          <cell r="AB304">
            <v>21</v>
          </cell>
          <cell r="AC304">
            <v>1272162.6190476192</v>
          </cell>
          <cell r="AD304">
            <v>4070920.3809523811</v>
          </cell>
          <cell r="AE304">
            <v>5343083</v>
          </cell>
          <cell r="AF304">
            <v>0</v>
          </cell>
          <cell r="AG304">
            <v>5343083</v>
          </cell>
          <cell r="AH304" t="b">
            <v>1</v>
          </cell>
          <cell r="AK304">
            <v>5343083</v>
          </cell>
          <cell r="AL304" t="str">
            <v>TK</v>
          </cell>
          <cell r="AM304">
            <v>5343083</v>
          </cell>
          <cell r="AN304">
            <v>34354.584590750004</v>
          </cell>
          <cell r="AQ304">
            <v>0</v>
          </cell>
          <cell r="AR304">
            <v>38000</v>
          </cell>
          <cell r="AS304">
            <v>31700</v>
          </cell>
          <cell r="AU304">
            <v>10000</v>
          </cell>
          <cell r="AV304">
            <v>53430.83</v>
          </cell>
          <cell r="AW304">
            <v>106861.66</v>
          </cell>
          <cell r="AX304">
            <v>53430.83</v>
          </cell>
          <cell r="AY304">
            <v>327778</v>
          </cell>
          <cell r="AZ304">
            <v>5015305</v>
          </cell>
          <cell r="BA304">
            <v>34354.584590750004</v>
          </cell>
          <cell r="BB304">
            <v>293423</v>
          </cell>
          <cell r="BC304">
            <v>5049660</v>
          </cell>
        </row>
        <row r="305">
          <cell r="F305" t="str">
            <v>241220-001</v>
          </cell>
          <cell r="G305" t="str">
            <v>Pembaharuan</v>
          </cell>
          <cell r="H305" t="str">
            <v>Pelaksana</v>
          </cell>
          <cell r="I305" t="str">
            <v>Assembly</v>
          </cell>
          <cell r="J305" t="str">
            <v>24 Desember 2020</v>
          </cell>
          <cell r="K305" t="b">
            <v>0</v>
          </cell>
          <cell r="L305">
            <v>44189</v>
          </cell>
          <cell r="M305">
            <v>0</v>
          </cell>
          <cell r="N305">
            <v>5</v>
          </cell>
          <cell r="O305">
            <v>0</v>
          </cell>
          <cell r="Q305">
            <v>5343082</v>
          </cell>
          <cell r="R305">
            <v>4924046</v>
          </cell>
          <cell r="S305">
            <v>5343083</v>
          </cell>
          <cell r="T305">
            <v>0</v>
          </cell>
          <cell r="U305">
            <v>0</v>
          </cell>
          <cell r="V305">
            <v>0</v>
          </cell>
          <cell r="W305">
            <v>5343083</v>
          </cell>
          <cell r="X305">
            <v>5</v>
          </cell>
          <cell r="Z305">
            <v>16</v>
          </cell>
          <cell r="AB305">
            <v>21</v>
          </cell>
          <cell r="AC305">
            <v>1272162.6190476192</v>
          </cell>
          <cell r="AD305">
            <v>4070920.3809523811</v>
          </cell>
          <cell r="AE305">
            <v>5343083</v>
          </cell>
          <cell r="AF305">
            <v>0</v>
          </cell>
          <cell r="AG305">
            <v>5343083</v>
          </cell>
          <cell r="AH305" t="b">
            <v>1</v>
          </cell>
          <cell r="AK305">
            <v>5343083</v>
          </cell>
          <cell r="AL305" t="str">
            <v>TK</v>
          </cell>
          <cell r="AM305">
            <v>5343083</v>
          </cell>
          <cell r="AN305">
            <v>34354.584590750004</v>
          </cell>
          <cell r="AQ305">
            <v>0</v>
          </cell>
          <cell r="AR305">
            <v>38000</v>
          </cell>
          <cell r="AS305">
            <v>31700</v>
          </cell>
          <cell r="AV305">
            <v>53430.83</v>
          </cell>
          <cell r="AW305">
            <v>106861.66</v>
          </cell>
          <cell r="AX305">
            <v>53430.83</v>
          </cell>
          <cell r="AY305">
            <v>317778</v>
          </cell>
          <cell r="AZ305">
            <v>5025305</v>
          </cell>
          <cell r="BA305">
            <v>34354.584590750004</v>
          </cell>
          <cell r="BB305">
            <v>283423</v>
          </cell>
          <cell r="BC305">
            <v>5059660</v>
          </cell>
        </row>
        <row r="306">
          <cell r="F306" t="str">
            <v>200718-021</v>
          </cell>
          <cell r="G306" t="str">
            <v>Kontrak 2</v>
          </cell>
          <cell r="H306" t="str">
            <v>Pelaksana</v>
          </cell>
          <cell r="I306" t="str">
            <v>Assembly</v>
          </cell>
          <cell r="J306">
            <v>43301</v>
          </cell>
          <cell r="K306" t="b">
            <v>1</v>
          </cell>
          <cell r="L306">
            <v>43301</v>
          </cell>
          <cell r="M306">
            <v>2</v>
          </cell>
          <cell r="N306">
            <v>10</v>
          </cell>
          <cell r="O306">
            <v>4</v>
          </cell>
          <cell r="Q306">
            <v>5343082</v>
          </cell>
          <cell r="R306">
            <v>4924046</v>
          </cell>
          <cell r="S306">
            <v>5343083</v>
          </cell>
          <cell r="T306">
            <v>0</v>
          </cell>
          <cell r="U306">
            <v>0</v>
          </cell>
          <cell r="V306">
            <v>0</v>
          </cell>
          <cell r="W306">
            <v>5343083</v>
          </cell>
          <cell r="X306">
            <v>5</v>
          </cell>
          <cell r="Z306">
            <v>16</v>
          </cell>
          <cell r="AB306">
            <v>21</v>
          </cell>
          <cell r="AC306">
            <v>1272162.6190476192</v>
          </cell>
          <cell r="AD306">
            <v>4070920.3809523811</v>
          </cell>
          <cell r="AE306">
            <v>5343083</v>
          </cell>
          <cell r="AF306">
            <v>0</v>
          </cell>
          <cell r="AG306">
            <v>5343083</v>
          </cell>
          <cell r="AH306" t="b">
            <v>1</v>
          </cell>
          <cell r="AK306">
            <v>5343083</v>
          </cell>
          <cell r="AL306" t="str">
            <v>K0</v>
          </cell>
          <cell r="AM306">
            <v>5343083</v>
          </cell>
          <cell r="AN306">
            <v>15604.584590750002</v>
          </cell>
          <cell r="AQ306">
            <v>0</v>
          </cell>
          <cell r="AS306">
            <v>31700</v>
          </cell>
          <cell r="AU306">
            <v>10000</v>
          </cell>
          <cell r="AV306">
            <v>53430.83</v>
          </cell>
          <cell r="AW306">
            <v>106861.66</v>
          </cell>
          <cell r="AX306">
            <v>53430.83</v>
          </cell>
          <cell r="AY306">
            <v>271028</v>
          </cell>
          <cell r="AZ306">
            <v>5072055</v>
          </cell>
          <cell r="BA306">
            <v>15604.584590750002</v>
          </cell>
          <cell r="BB306">
            <v>255423</v>
          </cell>
          <cell r="BC306">
            <v>5087660</v>
          </cell>
        </row>
        <row r="307">
          <cell r="F307" t="str">
            <v>160718-016</v>
          </cell>
          <cell r="G307" t="str">
            <v>Kontrak 2</v>
          </cell>
          <cell r="H307" t="str">
            <v>Pelaksana</v>
          </cell>
          <cell r="I307" t="str">
            <v>Assembly</v>
          </cell>
          <cell r="J307">
            <v>43297</v>
          </cell>
          <cell r="K307" t="b">
            <v>1</v>
          </cell>
          <cell r="L307">
            <v>43297</v>
          </cell>
          <cell r="M307">
            <v>2</v>
          </cell>
          <cell r="N307">
            <v>10</v>
          </cell>
          <cell r="O307">
            <v>8</v>
          </cell>
          <cell r="Q307">
            <v>5343082</v>
          </cell>
          <cell r="R307">
            <v>4924046</v>
          </cell>
          <cell r="S307">
            <v>5343083</v>
          </cell>
          <cell r="T307">
            <v>0</v>
          </cell>
          <cell r="U307">
            <v>0</v>
          </cell>
          <cell r="V307">
            <v>0</v>
          </cell>
          <cell r="W307">
            <v>5343083</v>
          </cell>
          <cell r="X307">
            <v>5</v>
          </cell>
          <cell r="Z307">
            <v>16</v>
          </cell>
          <cell r="AB307">
            <v>21</v>
          </cell>
          <cell r="AC307">
            <v>1272162.6190476192</v>
          </cell>
          <cell r="AD307">
            <v>4070920.3809523811</v>
          </cell>
          <cell r="AE307">
            <v>5343083</v>
          </cell>
          <cell r="AF307">
            <v>0</v>
          </cell>
          <cell r="AG307">
            <v>5343083</v>
          </cell>
          <cell r="AH307" t="b">
            <v>1</v>
          </cell>
          <cell r="AK307">
            <v>5343083</v>
          </cell>
          <cell r="AL307" t="str">
            <v>K1</v>
          </cell>
          <cell r="AM307">
            <v>5343083</v>
          </cell>
          <cell r="AN307">
            <v>0</v>
          </cell>
          <cell r="AQ307">
            <v>0</v>
          </cell>
          <cell r="AR307">
            <v>38000</v>
          </cell>
          <cell r="AS307">
            <v>31700</v>
          </cell>
          <cell r="AU307">
            <v>10000</v>
          </cell>
          <cell r="AV307">
            <v>53430.83</v>
          </cell>
          <cell r="AW307">
            <v>106861.66</v>
          </cell>
          <cell r="AX307">
            <v>53430.83</v>
          </cell>
          <cell r="AY307">
            <v>293423</v>
          </cell>
          <cell r="AZ307">
            <v>5049660</v>
          </cell>
          <cell r="BA307">
            <v>0</v>
          </cell>
          <cell r="BB307">
            <v>293423</v>
          </cell>
          <cell r="BC307">
            <v>5049660</v>
          </cell>
        </row>
        <row r="308">
          <cell r="F308" t="str">
            <v>160718-015</v>
          </cell>
          <cell r="G308" t="str">
            <v>Kontrak 2</v>
          </cell>
          <cell r="H308" t="str">
            <v>Pelaksana</v>
          </cell>
          <cell r="I308" t="str">
            <v>Assembly</v>
          </cell>
          <cell r="J308">
            <v>43297</v>
          </cell>
          <cell r="K308" t="b">
            <v>1</v>
          </cell>
          <cell r="L308">
            <v>43297</v>
          </cell>
          <cell r="M308">
            <v>2</v>
          </cell>
          <cell r="N308">
            <v>10</v>
          </cell>
          <cell r="O308">
            <v>8</v>
          </cell>
          <cell r="Q308">
            <v>5343082</v>
          </cell>
          <cell r="R308">
            <v>4924046</v>
          </cell>
          <cell r="S308">
            <v>5343083</v>
          </cell>
          <cell r="T308">
            <v>0</v>
          </cell>
          <cell r="U308">
            <v>0</v>
          </cell>
          <cell r="V308">
            <v>0</v>
          </cell>
          <cell r="W308">
            <v>5343083</v>
          </cell>
          <cell r="X308">
            <v>5</v>
          </cell>
          <cell r="Z308">
            <v>16</v>
          </cell>
          <cell r="AB308">
            <v>21</v>
          </cell>
          <cell r="AC308">
            <v>1272162.6190476192</v>
          </cell>
          <cell r="AD308">
            <v>4070920.3809523811</v>
          </cell>
          <cell r="AE308">
            <v>5343083</v>
          </cell>
          <cell r="AF308">
            <v>0</v>
          </cell>
          <cell r="AG308">
            <v>5343083</v>
          </cell>
          <cell r="AH308" t="b">
            <v>1</v>
          </cell>
          <cell r="AK308">
            <v>5343083</v>
          </cell>
          <cell r="AL308" t="str">
            <v>K1</v>
          </cell>
          <cell r="AM308">
            <v>5343083</v>
          </cell>
          <cell r="AN308">
            <v>0</v>
          </cell>
          <cell r="AQ308">
            <v>0</v>
          </cell>
          <cell r="AR308">
            <v>38000</v>
          </cell>
          <cell r="AS308">
            <v>31700</v>
          </cell>
          <cell r="AU308">
            <v>10000</v>
          </cell>
          <cell r="AV308">
            <v>53430.83</v>
          </cell>
          <cell r="AW308">
            <v>106861.66</v>
          </cell>
          <cell r="AX308">
            <v>53430.83</v>
          </cell>
          <cell r="AY308">
            <v>293423</v>
          </cell>
          <cell r="AZ308">
            <v>5049660</v>
          </cell>
          <cell r="BA308">
            <v>0</v>
          </cell>
          <cell r="BB308">
            <v>293423</v>
          </cell>
          <cell r="BC308">
            <v>5049660</v>
          </cell>
        </row>
        <row r="309">
          <cell r="F309" t="str">
            <v>060818-002</v>
          </cell>
          <cell r="G309" t="str">
            <v>Kontrak 2</v>
          </cell>
          <cell r="H309" t="str">
            <v>Pelaksana</v>
          </cell>
          <cell r="I309" t="str">
            <v>Assembly</v>
          </cell>
          <cell r="J309">
            <v>43318</v>
          </cell>
          <cell r="K309" t="b">
            <v>1</v>
          </cell>
          <cell r="L309">
            <v>43318</v>
          </cell>
          <cell r="M309">
            <v>2</v>
          </cell>
          <cell r="N309">
            <v>9</v>
          </cell>
          <cell r="O309">
            <v>18</v>
          </cell>
          <cell r="Q309">
            <v>5343082</v>
          </cell>
          <cell r="R309">
            <v>4924046</v>
          </cell>
          <cell r="S309">
            <v>5343083</v>
          </cell>
          <cell r="T309">
            <v>0</v>
          </cell>
          <cell r="U309">
            <v>0</v>
          </cell>
          <cell r="V309">
            <v>0</v>
          </cell>
          <cell r="W309">
            <v>5343083</v>
          </cell>
          <cell r="X309">
            <v>5</v>
          </cell>
          <cell r="Z309">
            <v>16</v>
          </cell>
          <cell r="AB309">
            <v>21</v>
          </cell>
          <cell r="AC309">
            <v>1272162.6190476192</v>
          </cell>
          <cell r="AD309">
            <v>4070920.3809523811</v>
          </cell>
          <cell r="AE309">
            <v>5343083</v>
          </cell>
          <cell r="AF309">
            <v>0</v>
          </cell>
          <cell r="AG309">
            <v>5343083</v>
          </cell>
          <cell r="AH309" t="b">
            <v>1</v>
          </cell>
          <cell r="AK309">
            <v>5343083</v>
          </cell>
          <cell r="AL309" t="str">
            <v>TK</v>
          </cell>
          <cell r="AM309">
            <v>5343083</v>
          </cell>
          <cell r="AN309">
            <v>34354.584590750004</v>
          </cell>
          <cell r="AQ309">
            <v>0</v>
          </cell>
          <cell r="AR309">
            <v>38000</v>
          </cell>
          <cell r="AS309">
            <v>31700</v>
          </cell>
          <cell r="AU309">
            <v>10000</v>
          </cell>
          <cell r="AV309">
            <v>53430.83</v>
          </cell>
          <cell r="AW309">
            <v>106861.66</v>
          </cell>
          <cell r="AX309">
            <v>53430.83</v>
          </cell>
          <cell r="AY309">
            <v>327778</v>
          </cell>
          <cell r="AZ309">
            <v>5015305</v>
          </cell>
          <cell r="BA309">
            <v>34354.584590750004</v>
          </cell>
          <cell r="BB309">
            <v>293423</v>
          </cell>
          <cell r="BC309">
            <v>5049660</v>
          </cell>
        </row>
        <row r="310">
          <cell r="F310" t="str">
            <v>060818-006</v>
          </cell>
          <cell r="G310" t="str">
            <v>Kontrak 2</v>
          </cell>
          <cell r="H310" t="str">
            <v>Pelaksana</v>
          </cell>
          <cell r="I310" t="str">
            <v>Assembly</v>
          </cell>
          <cell r="J310">
            <v>43318</v>
          </cell>
          <cell r="K310" t="b">
            <v>1</v>
          </cell>
          <cell r="L310">
            <v>43318</v>
          </cell>
          <cell r="M310">
            <v>2</v>
          </cell>
          <cell r="N310">
            <v>9</v>
          </cell>
          <cell r="O310">
            <v>18</v>
          </cell>
          <cell r="Q310">
            <v>5343082</v>
          </cell>
          <cell r="R310">
            <v>4924046</v>
          </cell>
          <cell r="S310">
            <v>5343083</v>
          </cell>
          <cell r="T310">
            <v>0</v>
          </cell>
          <cell r="U310">
            <v>0</v>
          </cell>
          <cell r="V310">
            <v>0</v>
          </cell>
          <cell r="W310">
            <v>5343083</v>
          </cell>
          <cell r="X310">
            <v>5</v>
          </cell>
          <cell r="Z310">
            <v>16</v>
          </cell>
          <cell r="AB310">
            <v>21</v>
          </cell>
          <cell r="AC310">
            <v>1272162.6190476192</v>
          </cell>
          <cell r="AD310">
            <v>4070920.3809523811</v>
          </cell>
          <cell r="AE310">
            <v>5343083</v>
          </cell>
          <cell r="AF310">
            <v>0</v>
          </cell>
          <cell r="AG310">
            <v>5343083</v>
          </cell>
          <cell r="AH310" t="b">
            <v>1</v>
          </cell>
          <cell r="AK310">
            <v>5343083</v>
          </cell>
          <cell r="AL310" t="str">
            <v>TK</v>
          </cell>
          <cell r="AM310">
            <v>5343083</v>
          </cell>
          <cell r="AN310">
            <v>34354.584590750004</v>
          </cell>
          <cell r="AQ310">
            <v>0</v>
          </cell>
          <cell r="AR310">
            <v>38000</v>
          </cell>
          <cell r="AS310">
            <v>31700</v>
          </cell>
          <cell r="AU310">
            <v>10000</v>
          </cell>
          <cell r="AV310">
            <v>53430.83</v>
          </cell>
          <cell r="AW310">
            <v>106861.66</v>
          </cell>
          <cell r="AX310">
            <v>53430.83</v>
          </cell>
          <cell r="AY310">
            <v>327778</v>
          </cell>
          <cell r="AZ310">
            <v>5015305</v>
          </cell>
          <cell r="BA310">
            <v>34354.584590750004</v>
          </cell>
          <cell r="BB310">
            <v>293423</v>
          </cell>
          <cell r="BC310">
            <v>5049660</v>
          </cell>
        </row>
        <row r="311">
          <cell r="F311" t="str">
            <v>160718-010</v>
          </cell>
          <cell r="G311" t="str">
            <v>Kontrak 2</v>
          </cell>
          <cell r="H311" t="str">
            <v>Pelaksana</v>
          </cell>
          <cell r="I311" t="str">
            <v>Assembly</v>
          </cell>
          <cell r="J311">
            <v>43297</v>
          </cell>
          <cell r="K311" t="b">
            <v>1</v>
          </cell>
          <cell r="L311">
            <v>43297</v>
          </cell>
          <cell r="M311">
            <v>2</v>
          </cell>
          <cell r="N311">
            <v>10</v>
          </cell>
          <cell r="O311">
            <v>8</v>
          </cell>
          <cell r="Q311">
            <v>5343082</v>
          </cell>
          <cell r="R311">
            <v>4924046</v>
          </cell>
          <cell r="S311">
            <v>5343083</v>
          </cell>
          <cell r="T311">
            <v>0</v>
          </cell>
          <cell r="U311">
            <v>0</v>
          </cell>
          <cell r="V311">
            <v>0</v>
          </cell>
          <cell r="W311">
            <v>5343083</v>
          </cell>
          <cell r="X311">
            <v>5</v>
          </cell>
          <cell r="Z311">
            <v>16</v>
          </cell>
          <cell r="AB311">
            <v>21</v>
          </cell>
          <cell r="AC311">
            <v>1272162.6190476192</v>
          </cell>
          <cell r="AD311">
            <v>4070920.3809523811</v>
          </cell>
          <cell r="AE311">
            <v>5343083</v>
          </cell>
          <cell r="AF311">
            <v>0</v>
          </cell>
          <cell r="AG311">
            <v>5343083</v>
          </cell>
          <cell r="AH311" t="b">
            <v>1</v>
          </cell>
          <cell r="AK311">
            <v>5343083</v>
          </cell>
          <cell r="AL311" t="str">
            <v>K0</v>
          </cell>
          <cell r="AM311">
            <v>5343083</v>
          </cell>
          <cell r="AN311">
            <v>15604.584590750002</v>
          </cell>
          <cell r="AQ311">
            <v>0</v>
          </cell>
          <cell r="AR311">
            <v>38000</v>
          </cell>
          <cell r="AS311">
            <v>31700</v>
          </cell>
          <cell r="AU311">
            <v>10000</v>
          </cell>
          <cell r="AV311">
            <v>53430.83</v>
          </cell>
          <cell r="AW311">
            <v>106861.66</v>
          </cell>
          <cell r="AX311">
            <v>53430.83</v>
          </cell>
          <cell r="AY311">
            <v>309028</v>
          </cell>
          <cell r="AZ311">
            <v>5034055</v>
          </cell>
          <cell r="BA311">
            <v>15604.584590750002</v>
          </cell>
          <cell r="BB311">
            <v>293423</v>
          </cell>
          <cell r="BC311">
            <v>5049660</v>
          </cell>
        </row>
        <row r="312">
          <cell r="F312" t="str">
            <v>040121-003</v>
          </cell>
          <cell r="G312" t="str">
            <v>Recall Kontrak 1</v>
          </cell>
          <cell r="H312" t="str">
            <v>Pelaksana</v>
          </cell>
          <cell r="I312" t="str">
            <v>Assembly</v>
          </cell>
          <cell r="J312" t="e">
            <v>#N/A</v>
          </cell>
          <cell r="K312" t="e">
            <v>#N/A</v>
          </cell>
          <cell r="L312">
            <v>44200</v>
          </cell>
          <cell r="M312">
            <v>0</v>
          </cell>
          <cell r="N312">
            <v>4</v>
          </cell>
          <cell r="O312">
            <v>20</v>
          </cell>
          <cell r="Q312">
            <v>5343082</v>
          </cell>
          <cell r="R312">
            <v>4924046</v>
          </cell>
          <cell r="S312">
            <v>5343083</v>
          </cell>
          <cell r="T312">
            <v>0</v>
          </cell>
          <cell r="U312">
            <v>0</v>
          </cell>
          <cell r="V312">
            <v>0</v>
          </cell>
          <cell r="W312">
            <v>5343083</v>
          </cell>
          <cell r="X312">
            <v>5</v>
          </cell>
          <cell r="Z312">
            <v>16</v>
          </cell>
          <cell r="AB312">
            <v>21</v>
          </cell>
          <cell r="AC312">
            <v>1272162.6190476192</v>
          </cell>
          <cell r="AD312">
            <v>4070920.3809523811</v>
          </cell>
          <cell r="AE312">
            <v>5343083</v>
          </cell>
          <cell r="AF312">
            <v>0</v>
          </cell>
          <cell r="AG312">
            <v>5343083</v>
          </cell>
          <cell r="AH312" t="b">
            <v>1</v>
          </cell>
          <cell r="AK312">
            <v>5343083</v>
          </cell>
          <cell r="AL312" t="str">
            <v>K2</v>
          </cell>
          <cell r="AM312">
            <v>5343083</v>
          </cell>
          <cell r="AN312">
            <v>0</v>
          </cell>
          <cell r="AQ312">
            <v>0</v>
          </cell>
          <cell r="AR312">
            <v>38000</v>
          </cell>
          <cell r="AS312">
            <v>31700</v>
          </cell>
          <cell r="AV312">
            <v>53430.83</v>
          </cell>
          <cell r="AW312">
            <v>106861.66</v>
          </cell>
          <cell r="AX312">
            <v>53430.83</v>
          </cell>
          <cell r="AY312">
            <v>283423</v>
          </cell>
          <cell r="AZ312">
            <v>5059660</v>
          </cell>
          <cell r="BA312">
            <v>0</v>
          </cell>
          <cell r="BB312">
            <v>283423</v>
          </cell>
          <cell r="BC312">
            <v>5059660</v>
          </cell>
        </row>
        <row r="313">
          <cell r="F313" t="str">
            <v>160718-008</v>
          </cell>
          <cell r="G313" t="str">
            <v>Kontrak 2</v>
          </cell>
          <cell r="H313" t="str">
            <v>Pelaksana</v>
          </cell>
          <cell r="I313" t="str">
            <v>Assembly</v>
          </cell>
          <cell r="J313">
            <v>43297</v>
          </cell>
          <cell r="K313" t="b">
            <v>1</v>
          </cell>
          <cell r="L313">
            <v>43297</v>
          </cell>
          <cell r="M313">
            <v>2</v>
          </cell>
          <cell r="N313">
            <v>10</v>
          </cell>
          <cell r="O313">
            <v>8</v>
          </cell>
          <cell r="Q313">
            <v>5343082</v>
          </cell>
          <cell r="R313">
            <v>4924046</v>
          </cell>
          <cell r="S313">
            <v>5343083</v>
          </cell>
          <cell r="T313">
            <v>0</v>
          </cell>
          <cell r="U313">
            <v>0</v>
          </cell>
          <cell r="V313">
            <v>0</v>
          </cell>
          <cell r="W313">
            <v>5343083</v>
          </cell>
          <cell r="X313">
            <v>5</v>
          </cell>
          <cell r="Z313">
            <v>16</v>
          </cell>
          <cell r="AB313">
            <v>21</v>
          </cell>
          <cell r="AC313">
            <v>1272162.6190476192</v>
          </cell>
          <cell r="AD313">
            <v>4070920.3809523811</v>
          </cell>
          <cell r="AE313">
            <v>5343083</v>
          </cell>
          <cell r="AF313">
            <v>0</v>
          </cell>
          <cell r="AG313">
            <v>5343083</v>
          </cell>
          <cell r="AH313" t="b">
            <v>1</v>
          </cell>
          <cell r="AK313">
            <v>5343083</v>
          </cell>
          <cell r="AL313" t="str">
            <v>K1</v>
          </cell>
          <cell r="AM313">
            <v>5343083</v>
          </cell>
          <cell r="AN313">
            <v>0</v>
          </cell>
          <cell r="AQ313">
            <v>0</v>
          </cell>
          <cell r="AR313">
            <v>38000</v>
          </cell>
          <cell r="AS313">
            <v>31700</v>
          </cell>
          <cell r="AU313">
            <v>10000</v>
          </cell>
          <cell r="AV313">
            <v>53430.83</v>
          </cell>
          <cell r="AW313">
            <v>106861.66</v>
          </cell>
          <cell r="AX313">
            <v>53430.83</v>
          </cell>
          <cell r="AY313">
            <v>293423</v>
          </cell>
          <cell r="AZ313">
            <v>5049660</v>
          </cell>
          <cell r="BA313">
            <v>0</v>
          </cell>
          <cell r="BB313">
            <v>293423</v>
          </cell>
          <cell r="BC313">
            <v>5049660</v>
          </cell>
        </row>
        <row r="314">
          <cell r="F314" t="str">
            <v>200718-002</v>
          </cell>
          <cell r="G314" t="str">
            <v>Kontrak 2</v>
          </cell>
          <cell r="H314" t="str">
            <v>Pelaksana</v>
          </cell>
          <cell r="I314" t="str">
            <v>Assembly</v>
          </cell>
          <cell r="J314">
            <v>43301</v>
          </cell>
          <cell r="K314" t="b">
            <v>1</v>
          </cell>
          <cell r="L314">
            <v>43301</v>
          </cell>
          <cell r="M314">
            <v>2</v>
          </cell>
          <cell r="N314">
            <v>10</v>
          </cell>
          <cell r="O314">
            <v>4</v>
          </cell>
          <cell r="Q314">
            <v>5343082</v>
          </cell>
          <cell r="R314">
            <v>4924046</v>
          </cell>
          <cell r="S314">
            <v>5343083</v>
          </cell>
          <cell r="T314">
            <v>0</v>
          </cell>
          <cell r="U314">
            <v>0</v>
          </cell>
          <cell r="V314">
            <v>0</v>
          </cell>
          <cell r="W314">
            <v>5343083</v>
          </cell>
          <cell r="X314">
            <v>5</v>
          </cell>
          <cell r="Z314">
            <v>16</v>
          </cell>
          <cell r="AB314">
            <v>21</v>
          </cell>
          <cell r="AC314">
            <v>1272162.6190476192</v>
          </cell>
          <cell r="AD314">
            <v>4070920.3809523811</v>
          </cell>
          <cell r="AE314">
            <v>5343083</v>
          </cell>
          <cell r="AF314">
            <v>0</v>
          </cell>
          <cell r="AG314">
            <v>5343083</v>
          </cell>
          <cell r="AH314" t="b">
            <v>1</v>
          </cell>
          <cell r="AK314">
            <v>5343083</v>
          </cell>
          <cell r="AL314" t="str">
            <v>K1</v>
          </cell>
          <cell r="AM314">
            <v>5343083</v>
          </cell>
          <cell r="AN314">
            <v>0</v>
          </cell>
          <cell r="AQ314">
            <v>0</v>
          </cell>
          <cell r="AS314">
            <v>31700</v>
          </cell>
          <cell r="AU314">
            <v>10000</v>
          </cell>
          <cell r="AV314">
            <v>53430.83</v>
          </cell>
          <cell r="AW314">
            <v>106861.66</v>
          </cell>
          <cell r="AX314">
            <v>53430.83</v>
          </cell>
          <cell r="AY314">
            <v>255423</v>
          </cell>
          <cell r="AZ314">
            <v>5087660</v>
          </cell>
          <cell r="BA314">
            <v>0</v>
          </cell>
          <cell r="BB314">
            <v>255423</v>
          </cell>
          <cell r="BC314">
            <v>5087660</v>
          </cell>
        </row>
        <row r="315">
          <cell r="F315" t="str">
            <v>180121-006</v>
          </cell>
          <cell r="G315" t="str">
            <v>Pembaharuan</v>
          </cell>
          <cell r="H315" t="str">
            <v>Pelaksana</v>
          </cell>
          <cell r="I315" t="str">
            <v>Assembly</v>
          </cell>
          <cell r="J315" t="str">
            <v>18 Januari 2021</v>
          </cell>
          <cell r="K315" t="b">
            <v>0</v>
          </cell>
          <cell r="L315">
            <v>44214</v>
          </cell>
          <cell r="M315">
            <v>0</v>
          </cell>
          <cell r="N315">
            <v>4</v>
          </cell>
          <cell r="O315">
            <v>6</v>
          </cell>
          <cell r="Q315">
            <v>5343082</v>
          </cell>
          <cell r="R315">
            <v>4924046</v>
          </cell>
          <cell r="S315">
            <v>5343083</v>
          </cell>
          <cell r="T315">
            <v>0</v>
          </cell>
          <cell r="U315">
            <v>0</v>
          </cell>
          <cell r="V315">
            <v>0</v>
          </cell>
          <cell r="W315">
            <v>5343083</v>
          </cell>
          <cell r="X315">
            <v>5</v>
          </cell>
          <cell r="Z315">
            <v>16</v>
          </cell>
          <cell r="AB315">
            <v>21</v>
          </cell>
          <cell r="AC315">
            <v>1272162.6190476192</v>
          </cell>
          <cell r="AD315">
            <v>4070920.3809523811</v>
          </cell>
          <cell r="AE315">
            <v>5343083</v>
          </cell>
          <cell r="AF315">
            <v>0</v>
          </cell>
          <cell r="AG315">
            <v>5343083</v>
          </cell>
          <cell r="AH315" t="b">
            <v>1</v>
          </cell>
          <cell r="AK315">
            <v>5343083</v>
          </cell>
          <cell r="AL315" t="str">
            <v>TK</v>
          </cell>
          <cell r="AM315">
            <v>5343083</v>
          </cell>
          <cell r="AN315">
            <v>34354.584590750004</v>
          </cell>
          <cell r="AQ315">
            <v>0</v>
          </cell>
          <cell r="AR315">
            <v>38000</v>
          </cell>
          <cell r="AS315">
            <v>31700</v>
          </cell>
          <cell r="AU315">
            <v>10000</v>
          </cell>
          <cell r="AV315">
            <v>53430.83</v>
          </cell>
          <cell r="AW315">
            <v>106861.66</v>
          </cell>
          <cell r="AX315">
            <v>53430.83</v>
          </cell>
          <cell r="AY315">
            <v>327778</v>
          </cell>
          <cell r="AZ315">
            <v>5015305</v>
          </cell>
          <cell r="BA315">
            <v>34354.584590750004</v>
          </cell>
          <cell r="BB315">
            <v>293423</v>
          </cell>
          <cell r="BC315">
            <v>5049660</v>
          </cell>
        </row>
        <row r="316">
          <cell r="F316" t="str">
            <v>120121-001</v>
          </cell>
          <cell r="G316" t="str">
            <v>Pembaharuan</v>
          </cell>
          <cell r="H316" t="str">
            <v>Pelaksana</v>
          </cell>
          <cell r="I316" t="str">
            <v>Assembly</v>
          </cell>
          <cell r="J316" t="str">
            <v>12 Januari 2021</v>
          </cell>
          <cell r="K316" t="b">
            <v>0</v>
          </cell>
          <cell r="L316">
            <v>44208</v>
          </cell>
          <cell r="M316">
            <v>0</v>
          </cell>
          <cell r="N316">
            <v>4</v>
          </cell>
          <cell r="O316">
            <v>12</v>
          </cell>
          <cell r="Q316">
            <v>5343082</v>
          </cell>
          <cell r="R316">
            <v>4924046</v>
          </cell>
          <cell r="S316">
            <v>5343083</v>
          </cell>
          <cell r="T316">
            <v>0</v>
          </cell>
          <cell r="U316">
            <v>0</v>
          </cell>
          <cell r="V316">
            <v>0</v>
          </cell>
          <cell r="W316">
            <v>5343083</v>
          </cell>
          <cell r="X316">
            <v>5</v>
          </cell>
          <cell r="Z316">
            <v>16</v>
          </cell>
          <cell r="AB316">
            <v>21</v>
          </cell>
          <cell r="AC316">
            <v>1272162.6190476192</v>
          </cell>
          <cell r="AD316">
            <v>4070920.3809523811</v>
          </cell>
          <cell r="AE316">
            <v>5343083</v>
          </cell>
          <cell r="AF316">
            <v>0</v>
          </cell>
          <cell r="AG316">
            <v>5343083</v>
          </cell>
          <cell r="AH316" t="b">
            <v>1</v>
          </cell>
          <cell r="AK316">
            <v>5343083</v>
          </cell>
          <cell r="AL316" t="str">
            <v>K0</v>
          </cell>
          <cell r="AM316">
            <v>5343083</v>
          </cell>
          <cell r="AN316">
            <v>15604.584590750002</v>
          </cell>
          <cell r="AQ316">
            <v>0</v>
          </cell>
          <cell r="AR316">
            <v>38000</v>
          </cell>
          <cell r="AS316">
            <v>31700</v>
          </cell>
          <cell r="AV316">
            <v>53430.83</v>
          </cell>
          <cell r="AW316">
            <v>106861.66</v>
          </cell>
          <cell r="AX316">
            <v>53430.83</v>
          </cell>
          <cell r="AY316">
            <v>299028</v>
          </cell>
          <cell r="AZ316">
            <v>5044055</v>
          </cell>
          <cell r="BA316">
            <v>15604.584590750002</v>
          </cell>
          <cell r="BB316">
            <v>283423</v>
          </cell>
          <cell r="BC316">
            <v>5059660</v>
          </cell>
        </row>
        <row r="317">
          <cell r="F317" t="str">
            <v>051020-001</v>
          </cell>
          <cell r="G317" t="str">
            <v>Kontrak 1</v>
          </cell>
          <cell r="H317" t="str">
            <v>Pelaksana</v>
          </cell>
          <cell r="I317" t="str">
            <v>Assembly</v>
          </cell>
          <cell r="J317" t="str">
            <v>05 Oktober 2020</v>
          </cell>
          <cell r="K317" t="b">
            <v>0</v>
          </cell>
          <cell r="L317">
            <v>44109</v>
          </cell>
          <cell r="M317">
            <v>0</v>
          </cell>
          <cell r="N317">
            <v>7</v>
          </cell>
          <cell r="O317">
            <v>19</v>
          </cell>
          <cell r="Q317">
            <v>5343082</v>
          </cell>
          <cell r="R317">
            <v>4924046</v>
          </cell>
          <cell r="S317">
            <v>5343083</v>
          </cell>
          <cell r="T317">
            <v>0</v>
          </cell>
          <cell r="U317">
            <v>0</v>
          </cell>
          <cell r="V317">
            <v>0</v>
          </cell>
          <cell r="W317">
            <v>5343083</v>
          </cell>
          <cell r="X317">
            <v>5</v>
          </cell>
          <cell r="Z317">
            <v>16</v>
          </cell>
          <cell r="AB317">
            <v>21</v>
          </cell>
          <cell r="AC317">
            <v>1272162.6190476192</v>
          </cell>
          <cell r="AD317">
            <v>4070920.3809523811</v>
          </cell>
          <cell r="AE317">
            <v>5343083</v>
          </cell>
          <cell r="AF317">
            <v>0</v>
          </cell>
          <cell r="AG317">
            <v>5343083</v>
          </cell>
          <cell r="AH317" t="b">
            <v>1</v>
          </cell>
          <cell r="AK317">
            <v>5343083</v>
          </cell>
          <cell r="AL317" t="str">
            <v>K1</v>
          </cell>
          <cell r="AM317">
            <v>5343083</v>
          </cell>
          <cell r="AN317">
            <v>0</v>
          </cell>
          <cell r="AQ317">
            <v>0</v>
          </cell>
          <cell r="AR317">
            <v>38000</v>
          </cell>
          <cell r="AS317">
            <v>31700</v>
          </cell>
          <cell r="AV317">
            <v>53430.83</v>
          </cell>
          <cell r="AW317">
            <v>106861.66</v>
          </cell>
          <cell r="AX317">
            <v>53430.83</v>
          </cell>
          <cell r="AY317">
            <v>283423</v>
          </cell>
          <cell r="AZ317">
            <v>5059660</v>
          </cell>
          <cell r="BA317">
            <v>0</v>
          </cell>
          <cell r="BB317">
            <v>283423</v>
          </cell>
          <cell r="BC317">
            <v>5059660</v>
          </cell>
        </row>
        <row r="318">
          <cell r="F318" t="str">
            <v>051020-002</v>
          </cell>
          <cell r="G318" t="str">
            <v>Kontrak 1</v>
          </cell>
          <cell r="H318" t="str">
            <v>Pelaksana</v>
          </cell>
          <cell r="I318" t="str">
            <v>Assembly</v>
          </cell>
          <cell r="J318" t="str">
            <v>05 Oktober 2020</v>
          </cell>
          <cell r="K318" t="b">
            <v>0</v>
          </cell>
          <cell r="L318">
            <v>44109</v>
          </cell>
          <cell r="M318">
            <v>0</v>
          </cell>
          <cell r="N318">
            <v>7</v>
          </cell>
          <cell r="O318">
            <v>19</v>
          </cell>
          <cell r="Q318">
            <v>5343082</v>
          </cell>
          <cell r="R318">
            <v>4924046</v>
          </cell>
          <cell r="S318">
            <v>5343083</v>
          </cell>
          <cell r="T318">
            <v>0</v>
          </cell>
          <cell r="U318">
            <v>0</v>
          </cell>
          <cell r="V318">
            <v>0</v>
          </cell>
          <cell r="W318">
            <v>5343083</v>
          </cell>
          <cell r="X318">
            <v>5</v>
          </cell>
          <cell r="Z318">
            <v>16</v>
          </cell>
          <cell r="AB318">
            <v>21</v>
          </cell>
          <cell r="AC318">
            <v>1272162.6190476192</v>
          </cell>
          <cell r="AD318">
            <v>4070920.3809523811</v>
          </cell>
          <cell r="AE318">
            <v>5343083</v>
          </cell>
          <cell r="AF318">
            <v>0</v>
          </cell>
          <cell r="AG318">
            <v>5343083</v>
          </cell>
          <cell r="AH318" t="b">
            <v>1</v>
          </cell>
          <cell r="AK318">
            <v>5343083</v>
          </cell>
          <cell r="AL318" t="str">
            <v>TK</v>
          </cell>
          <cell r="AM318">
            <v>5343083</v>
          </cell>
          <cell r="AN318">
            <v>34354.584590750004</v>
          </cell>
          <cell r="AQ318">
            <v>0</v>
          </cell>
          <cell r="AR318">
            <v>38000</v>
          </cell>
          <cell r="AS318">
            <v>31700</v>
          </cell>
          <cell r="AV318">
            <v>53430.83</v>
          </cell>
          <cell r="AW318">
            <v>106861.66</v>
          </cell>
          <cell r="AX318">
            <v>53430.83</v>
          </cell>
          <cell r="AY318">
            <v>317778</v>
          </cell>
          <cell r="AZ318">
            <v>5025305</v>
          </cell>
          <cell r="BA318">
            <v>34354.584590750004</v>
          </cell>
          <cell r="BB318">
            <v>283423</v>
          </cell>
          <cell r="BC318">
            <v>5059660</v>
          </cell>
        </row>
        <row r="319">
          <cell r="F319" t="str">
            <v>051020-003</v>
          </cell>
          <cell r="G319" t="str">
            <v>Kontrak 1</v>
          </cell>
          <cell r="H319" t="str">
            <v>Pelaksana</v>
          </cell>
          <cell r="I319" t="str">
            <v>Assembly</v>
          </cell>
          <cell r="J319" t="str">
            <v>05 Oktober 2020</v>
          </cell>
          <cell r="K319" t="b">
            <v>0</v>
          </cell>
          <cell r="L319">
            <v>44109</v>
          </cell>
          <cell r="M319">
            <v>0</v>
          </cell>
          <cell r="N319">
            <v>7</v>
          </cell>
          <cell r="O319">
            <v>19</v>
          </cell>
          <cell r="Q319">
            <v>5343082</v>
          </cell>
          <cell r="R319">
            <v>4924046</v>
          </cell>
          <cell r="S319">
            <v>5343083</v>
          </cell>
          <cell r="T319">
            <v>0</v>
          </cell>
          <cell r="U319">
            <v>0</v>
          </cell>
          <cell r="V319">
            <v>0</v>
          </cell>
          <cell r="W319">
            <v>5343083</v>
          </cell>
          <cell r="X319">
            <v>5</v>
          </cell>
          <cell r="Z319">
            <v>16</v>
          </cell>
          <cell r="AB319">
            <v>21</v>
          </cell>
          <cell r="AC319">
            <v>1272162.6190476192</v>
          </cell>
          <cell r="AD319">
            <v>4070920.3809523811</v>
          </cell>
          <cell r="AE319">
            <v>5343083</v>
          </cell>
          <cell r="AF319">
            <v>0</v>
          </cell>
          <cell r="AG319">
            <v>5343083</v>
          </cell>
          <cell r="AH319" t="b">
            <v>1</v>
          </cell>
          <cell r="AK319">
            <v>5343083</v>
          </cell>
          <cell r="AL319" t="str">
            <v>K1</v>
          </cell>
          <cell r="AM319">
            <v>5343083</v>
          </cell>
          <cell r="AN319">
            <v>0</v>
          </cell>
          <cell r="AQ319">
            <v>0</v>
          </cell>
          <cell r="AR319">
            <v>38000</v>
          </cell>
          <cell r="AS319">
            <v>31700</v>
          </cell>
          <cell r="AV319">
            <v>53430.83</v>
          </cell>
          <cell r="AW319">
            <v>106861.66</v>
          </cell>
          <cell r="AX319">
            <v>53430.83</v>
          </cell>
          <cell r="AY319">
            <v>283423</v>
          </cell>
          <cell r="AZ319">
            <v>5059660</v>
          </cell>
          <cell r="BA319">
            <v>0</v>
          </cell>
          <cell r="BB319">
            <v>283423</v>
          </cell>
          <cell r="BC319">
            <v>5059660</v>
          </cell>
        </row>
        <row r="320">
          <cell r="F320" t="str">
            <v>051020-004</v>
          </cell>
          <cell r="G320" t="str">
            <v>Kontrak 1</v>
          </cell>
          <cell r="H320" t="str">
            <v>Pelaksana</v>
          </cell>
          <cell r="I320" t="str">
            <v>Assembly</v>
          </cell>
          <cell r="J320" t="str">
            <v>05 Oktober 2020</v>
          </cell>
          <cell r="K320" t="b">
            <v>0</v>
          </cell>
          <cell r="L320">
            <v>44109</v>
          </cell>
          <cell r="M320">
            <v>0</v>
          </cell>
          <cell r="N320">
            <v>7</v>
          </cell>
          <cell r="O320">
            <v>19</v>
          </cell>
          <cell r="Q320">
            <v>5343082</v>
          </cell>
          <cell r="R320">
            <v>4924046</v>
          </cell>
          <cell r="S320">
            <v>5343083</v>
          </cell>
          <cell r="T320">
            <v>0</v>
          </cell>
          <cell r="U320">
            <v>0</v>
          </cell>
          <cell r="V320">
            <v>0</v>
          </cell>
          <cell r="W320">
            <v>5343083</v>
          </cell>
          <cell r="X320">
            <v>5</v>
          </cell>
          <cell r="Z320">
            <v>16</v>
          </cell>
          <cell r="AB320">
            <v>21</v>
          </cell>
          <cell r="AC320">
            <v>1272162.6190476192</v>
          </cell>
          <cell r="AD320">
            <v>4070920.3809523811</v>
          </cell>
          <cell r="AE320">
            <v>5343083</v>
          </cell>
          <cell r="AF320">
            <v>0</v>
          </cell>
          <cell r="AG320">
            <v>5343083</v>
          </cell>
          <cell r="AH320" t="b">
            <v>1</v>
          </cell>
          <cell r="AK320">
            <v>5343083</v>
          </cell>
          <cell r="AL320" t="str">
            <v>K1</v>
          </cell>
          <cell r="AM320">
            <v>5343083</v>
          </cell>
          <cell r="AN320">
            <v>0</v>
          </cell>
          <cell r="AQ320">
            <v>0</v>
          </cell>
          <cell r="AR320">
            <v>38000</v>
          </cell>
          <cell r="AS320">
            <v>31700</v>
          </cell>
          <cell r="AV320">
            <v>53430.83</v>
          </cell>
          <cell r="AW320">
            <v>106861.66</v>
          </cell>
          <cell r="AX320">
            <v>53430.83</v>
          </cell>
          <cell r="AY320">
            <v>283423</v>
          </cell>
          <cell r="AZ320">
            <v>5059660</v>
          </cell>
          <cell r="BA320">
            <v>0</v>
          </cell>
          <cell r="BB320">
            <v>283423</v>
          </cell>
          <cell r="BC320">
            <v>5059660</v>
          </cell>
        </row>
        <row r="321">
          <cell r="F321" t="str">
            <v>051020-006</v>
          </cell>
          <cell r="G321" t="str">
            <v>Kontrak 1</v>
          </cell>
          <cell r="H321" t="str">
            <v>Pelaksana</v>
          </cell>
          <cell r="I321" t="str">
            <v>Assembly</v>
          </cell>
          <cell r="J321" t="str">
            <v>05 Oktober 2020</v>
          </cell>
          <cell r="K321" t="b">
            <v>0</v>
          </cell>
          <cell r="L321">
            <v>44109</v>
          </cell>
          <cell r="M321">
            <v>0</v>
          </cell>
          <cell r="N321">
            <v>7</v>
          </cell>
          <cell r="O321">
            <v>19</v>
          </cell>
          <cell r="Q321">
            <v>5343082</v>
          </cell>
          <cell r="R321">
            <v>4924046</v>
          </cell>
          <cell r="S321">
            <v>5343083</v>
          </cell>
          <cell r="T321">
            <v>0</v>
          </cell>
          <cell r="U321">
            <v>0</v>
          </cell>
          <cell r="V321">
            <v>0</v>
          </cell>
          <cell r="W321">
            <v>5343083</v>
          </cell>
          <cell r="X321">
            <v>5</v>
          </cell>
          <cell r="Z321">
            <v>16</v>
          </cell>
          <cell r="AB321">
            <v>21</v>
          </cell>
          <cell r="AC321">
            <v>1272162.6190476192</v>
          </cell>
          <cell r="AD321">
            <v>4070920.3809523811</v>
          </cell>
          <cell r="AE321">
            <v>5343083</v>
          </cell>
          <cell r="AF321">
            <v>0</v>
          </cell>
          <cell r="AG321">
            <v>5343083</v>
          </cell>
          <cell r="AH321" t="b">
            <v>1</v>
          </cell>
          <cell r="AK321">
            <v>5343083</v>
          </cell>
          <cell r="AL321" t="str">
            <v>K0</v>
          </cell>
          <cell r="AM321">
            <v>5343083</v>
          </cell>
          <cell r="AN321">
            <v>15604.584590750002</v>
          </cell>
          <cell r="AQ321">
            <v>0</v>
          </cell>
          <cell r="AR321">
            <v>38000</v>
          </cell>
          <cell r="AS321">
            <v>31700</v>
          </cell>
          <cell r="AV321">
            <v>53430.83</v>
          </cell>
          <cell r="AW321">
            <v>106861.66</v>
          </cell>
          <cell r="AX321">
            <v>53430.83</v>
          </cell>
          <cell r="AY321">
            <v>299028</v>
          </cell>
          <cell r="AZ321">
            <v>5044055</v>
          </cell>
          <cell r="BA321">
            <v>15604.584590750002</v>
          </cell>
          <cell r="BB321">
            <v>283423</v>
          </cell>
          <cell r="BC321">
            <v>5059660</v>
          </cell>
        </row>
        <row r="322">
          <cell r="F322" t="str">
            <v>051020-007</v>
          </cell>
          <cell r="G322" t="str">
            <v>Kontrak 1</v>
          </cell>
          <cell r="H322" t="str">
            <v>Pelaksana</v>
          </cell>
          <cell r="I322" t="str">
            <v>Assembly</v>
          </cell>
          <cell r="J322" t="str">
            <v>05 Oktober 2020</v>
          </cell>
          <cell r="K322" t="b">
            <v>0</v>
          </cell>
          <cell r="L322">
            <v>44109</v>
          </cell>
          <cell r="M322">
            <v>0</v>
          </cell>
          <cell r="N322">
            <v>7</v>
          </cell>
          <cell r="O322">
            <v>19</v>
          </cell>
          <cell r="Q322">
            <v>5343082</v>
          </cell>
          <cell r="R322">
            <v>4924046</v>
          </cell>
          <cell r="S322">
            <v>5343083</v>
          </cell>
          <cell r="T322">
            <v>0</v>
          </cell>
          <cell r="U322">
            <v>0</v>
          </cell>
          <cell r="V322">
            <v>0</v>
          </cell>
          <cell r="W322">
            <v>5343083</v>
          </cell>
          <cell r="X322">
            <v>5</v>
          </cell>
          <cell r="Z322">
            <v>16</v>
          </cell>
          <cell r="AB322">
            <v>21</v>
          </cell>
          <cell r="AC322">
            <v>1272162.6190476192</v>
          </cell>
          <cell r="AD322">
            <v>4070920.3809523811</v>
          </cell>
          <cell r="AE322">
            <v>5343083</v>
          </cell>
          <cell r="AF322">
            <v>0</v>
          </cell>
          <cell r="AG322">
            <v>5343083</v>
          </cell>
          <cell r="AH322" t="b">
            <v>1</v>
          </cell>
          <cell r="AK322">
            <v>5343083</v>
          </cell>
          <cell r="AL322" t="str">
            <v>K0</v>
          </cell>
          <cell r="AM322">
            <v>5343083</v>
          </cell>
          <cell r="AN322">
            <v>15604.584590750002</v>
          </cell>
          <cell r="AQ322">
            <v>0</v>
          </cell>
          <cell r="AR322">
            <v>38000</v>
          </cell>
          <cell r="AS322">
            <v>31700</v>
          </cell>
          <cell r="AV322">
            <v>53430.83</v>
          </cell>
          <cell r="AW322">
            <v>106861.66</v>
          </cell>
          <cell r="AX322">
            <v>53430.83</v>
          </cell>
          <cell r="AY322">
            <v>299028</v>
          </cell>
          <cell r="AZ322">
            <v>5044055</v>
          </cell>
          <cell r="BA322">
            <v>15604.584590750002</v>
          </cell>
          <cell r="BB322">
            <v>283423</v>
          </cell>
          <cell r="BC322">
            <v>5059660</v>
          </cell>
        </row>
        <row r="323">
          <cell r="F323" t="str">
            <v>051020-008</v>
          </cell>
          <cell r="G323" t="str">
            <v>Kontrak 1</v>
          </cell>
          <cell r="H323" t="str">
            <v>Pelaksana</v>
          </cell>
          <cell r="I323" t="str">
            <v>Assembly</v>
          </cell>
          <cell r="J323" t="str">
            <v>05 Oktober 2020</v>
          </cell>
          <cell r="K323" t="b">
            <v>0</v>
          </cell>
          <cell r="L323">
            <v>44109</v>
          </cell>
          <cell r="M323">
            <v>0</v>
          </cell>
          <cell r="N323">
            <v>7</v>
          </cell>
          <cell r="O323">
            <v>19</v>
          </cell>
          <cell r="Q323">
            <v>5343082</v>
          </cell>
          <cell r="R323">
            <v>4924046</v>
          </cell>
          <cell r="S323">
            <v>5343083</v>
          </cell>
          <cell r="T323">
            <v>0</v>
          </cell>
          <cell r="U323">
            <v>0</v>
          </cell>
          <cell r="V323">
            <v>0</v>
          </cell>
          <cell r="W323">
            <v>5343083</v>
          </cell>
          <cell r="X323">
            <v>5</v>
          </cell>
          <cell r="Z323">
            <v>16</v>
          </cell>
          <cell r="AB323">
            <v>21</v>
          </cell>
          <cell r="AC323">
            <v>1272162.6190476192</v>
          </cell>
          <cell r="AD323">
            <v>4070920.3809523811</v>
          </cell>
          <cell r="AE323">
            <v>5343083</v>
          </cell>
          <cell r="AF323">
            <v>0</v>
          </cell>
          <cell r="AG323">
            <v>5343083</v>
          </cell>
          <cell r="AH323" t="b">
            <v>1</v>
          </cell>
          <cell r="AK323">
            <v>5343083</v>
          </cell>
          <cell r="AL323" t="str">
            <v>TK</v>
          </cell>
          <cell r="AM323">
            <v>5343083</v>
          </cell>
          <cell r="AN323">
            <v>34354.584590750004</v>
          </cell>
          <cell r="AQ323">
            <v>0</v>
          </cell>
          <cell r="AR323">
            <v>38000</v>
          </cell>
          <cell r="AS323">
            <v>31700</v>
          </cell>
          <cell r="AV323">
            <v>53430.83</v>
          </cell>
          <cell r="AW323">
            <v>106861.66</v>
          </cell>
          <cell r="AX323">
            <v>53430.83</v>
          </cell>
          <cell r="AY323">
            <v>317778</v>
          </cell>
          <cell r="AZ323">
            <v>5025305</v>
          </cell>
          <cell r="BA323">
            <v>34354.584590750004</v>
          </cell>
          <cell r="BB323">
            <v>283423</v>
          </cell>
          <cell r="BC323">
            <v>5059660</v>
          </cell>
        </row>
        <row r="324">
          <cell r="F324" t="str">
            <v>051020-009</v>
          </cell>
          <cell r="G324" t="str">
            <v>Kontrak 1</v>
          </cell>
          <cell r="H324" t="str">
            <v>Pelaksana</v>
          </cell>
          <cell r="I324" t="str">
            <v>Assembly</v>
          </cell>
          <cell r="J324" t="str">
            <v>05 Oktober 2020</v>
          </cell>
          <cell r="K324" t="b">
            <v>0</v>
          </cell>
          <cell r="L324">
            <v>44109</v>
          </cell>
          <cell r="M324">
            <v>0</v>
          </cell>
          <cell r="N324">
            <v>7</v>
          </cell>
          <cell r="O324">
            <v>19</v>
          </cell>
          <cell r="Q324">
            <v>5343082</v>
          </cell>
          <cell r="R324">
            <v>4924046</v>
          </cell>
          <cell r="S324">
            <v>5343083</v>
          </cell>
          <cell r="T324">
            <v>0</v>
          </cell>
          <cell r="U324">
            <v>0</v>
          </cell>
          <cell r="V324">
            <v>0</v>
          </cell>
          <cell r="W324">
            <v>5343083</v>
          </cell>
          <cell r="X324">
            <v>5</v>
          </cell>
          <cell r="Z324">
            <v>16</v>
          </cell>
          <cell r="AB324">
            <v>21</v>
          </cell>
          <cell r="AC324">
            <v>1272162.6190476192</v>
          </cell>
          <cell r="AD324">
            <v>4070920.3809523811</v>
          </cell>
          <cell r="AE324">
            <v>5343083</v>
          </cell>
          <cell r="AF324">
            <v>0</v>
          </cell>
          <cell r="AG324">
            <v>5343083</v>
          </cell>
          <cell r="AH324" t="b">
            <v>1</v>
          </cell>
          <cell r="AK324">
            <v>5343083</v>
          </cell>
          <cell r="AL324" t="str">
            <v>TK</v>
          </cell>
          <cell r="AM324">
            <v>5343083</v>
          </cell>
          <cell r="AN324">
            <v>34354.584590750004</v>
          </cell>
          <cell r="AQ324">
            <v>0</v>
          </cell>
          <cell r="AR324">
            <v>38000</v>
          </cell>
          <cell r="AS324">
            <v>31700</v>
          </cell>
          <cell r="AV324">
            <v>53430.83</v>
          </cell>
          <cell r="AW324">
            <v>106861.66</v>
          </cell>
          <cell r="AX324">
            <v>53430.83</v>
          </cell>
          <cell r="AY324">
            <v>317778</v>
          </cell>
          <cell r="AZ324">
            <v>5025305</v>
          </cell>
          <cell r="BA324">
            <v>34354.584590750004</v>
          </cell>
          <cell r="BB324">
            <v>283423</v>
          </cell>
          <cell r="BC324">
            <v>5059660</v>
          </cell>
        </row>
        <row r="325">
          <cell r="F325" t="str">
            <v>051020-011</v>
          </cell>
          <cell r="G325" t="str">
            <v>Kontrak 1</v>
          </cell>
          <cell r="H325" t="str">
            <v>Pelaksana</v>
          </cell>
          <cell r="I325" t="str">
            <v>Assembly</v>
          </cell>
          <cell r="J325" t="str">
            <v>05 Oktober 2020</v>
          </cell>
          <cell r="K325" t="b">
            <v>0</v>
          </cell>
          <cell r="L325">
            <v>44109</v>
          </cell>
          <cell r="M325">
            <v>0</v>
          </cell>
          <cell r="N325">
            <v>7</v>
          </cell>
          <cell r="O325">
            <v>19</v>
          </cell>
          <cell r="Q325">
            <v>5343082</v>
          </cell>
          <cell r="R325">
            <v>4924046</v>
          </cell>
          <cell r="S325">
            <v>5343083</v>
          </cell>
          <cell r="T325">
            <v>0</v>
          </cell>
          <cell r="U325">
            <v>0</v>
          </cell>
          <cell r="V325">
            <v>0</v>
          </cell>
          <cell r="W325">
            <v>5343083</v>
          </cell>
          <cell r="X325">
            <v>5</v>
          </cell>
          <cell r="Z325">
            <v>16</v>
          </cell>
          <cell r="AB325">
            <v>21</v>
          </cell>
          <cell r="AC325">
            <v>1272162.6190476192</v>
          </cell>
          <cell r="AD325">
            <v>4070920.3809523811</v>
          </cell>
          <cell r="AE325">
            <v>5343083</v>
          </cell>
          <cell r="AF325">
            <v>0</v>
          </cell>
          <cell r="AG325">
            <v>5343083</v>
          </cell>
          <cell r="AH325" t="b">
            <v>1</v>
          </cell>
          <cell r="AK325">
            <v>5343083</v>
          </cell>
          <cell r="AL325" t="str">
            <v>K0</v>
          </cell>
          <cell r="AM325">
            <v>5343083</v>
          </cell>
          <cell r="AN325">
            <v>15604.584590750002</v>
          </cell>
          <cell r="AQ325">
            <v>0</v>
          </cell>
          <cell r="AR325">
            <v>38000</v>
          </cell>
          <cell r="AS325">
            <v>31700</v>
          </cell>
          <cell r="AV325">
            <v>53430.83</v>
          </cell>
          <cell r="AW325">
            <v>106861.66</v>
          </cell>
          <cell r="AX325">
            <v>53430.83</v>
          </cell>
          <cell r="AY325">
            <v>299028</v>
          </cell>
          <cell r="AZ325">
            <v>5044055</v>
          </cell>
          <cell r="BA325">
            <v>15604.584590750002</v>
          </cell>
          <cell r="BB325">
            <v>283423</v>
          </cell>
          <cell r="BC325">
            <v>5059660</v>
          </cell>
        </row>
        <row r="326">
          <cell r="F326" t="str">
            <v>051020-012</v>
          </cell>
          <cell r="G326" t="str">
            <v>Kontrak 1</v>
          </cell>
          <cell r="H326" t="str">
            <v>Pelaksana</v>
          </cell>
          <cell r="I326" t="str">
            <v>Assembly</v>
          </cell>
          <cell r="J326" t="str">
            <v>05 Oktober 2020</v>
          </cell>
          <cell r="K326" t="b">
            <v>0</v>
          </cell>
          <cell r="L326">
            <v>44109</v>
          </cell>
          <cell r="M326">
            <v>0</v>
          </cell>
          <cell r="N326">
            <v>7</v>
          </cell>
          <cell r="O326">
            <v>19</v>
          </cell>
          <cell r="Q326">
            <v>5343082</v>
          </cell>
          <cell r="R326">
            <v>4924046</v>
          </cell>
          <cell r="S326">
            <v>5343083</v>
          </cell>
          <cell r="T326">
            <v>0</v>
          </cell>
          <cell r="U326">
            <v>0</v>
          </cell>
          <cell r="V326">
            <v>0</v>
          </cell>
          <cell r="W326">
            <v>5343083</v>
          </cell>
          <cell r="X326">
            <v>5</v>
          </cell>
          <cell r="Z326">
            <v>16</v>
          </cell>
          <cell r="AB326">
            <v>21</v>
          </cell>
          <cell r="AC326">
            <v>1272162.6190476192</v>
          </cell>
          <cell r="AD326">
            <v>4070920.3809523811</v>
          </cell>
          <cell r="AE326">
            <v>5343083</v>
          </cell>
          <cell r="AF326">
            <v>0</v>
          </cell>
          <cell r="AG326">
            <v>5343083</v>
          </cell>
          <cell r="AH326" t="b">
            <v>1</v>
          </cell>
          <cell r="AK326">
            <v>5343083</v>
          </cell>
          <cell r="AL326" t="str">
            <v>K2</v>
          </cell>
          <cell r="AM326">
            <v>5343083</v>
          </cell>
          <cell r="AN326">
            <v>0</v>
          </cell>
          <cell r="AQ326">
            <v>0</v>
          </cell>
          <cell r="AR326">
            <v>38000</v>
          </cell>
          <cell r="AS326">
            <v>31700</v>
          </cell>
          <cell r="AV326">
            <v>53430.83</v>
          </cell>
          <cell r="AW326">
            <v>106861.66</v>
          </cell>
          <cell r="AX326">
            <v>53430.83</v>
          </cell>
          <cell r="AY326">
            <v>283423</v>
          </cell>
          <cell r="AZ326">
            <v>5059660</v>
          </cell>
          <cell r="BA326">
            <v>0</v>
          </cell>
          <cell r="BB326">
            <v>283423</v>
          </cell>
          <cell r="BC326">
            <v>5059660</v>
          </cell>
        </row>
        <row r="327">
          <cell r="F327" t="str">
            <v>051020-013</v>
          </cell>
          <cell r="G327" t="str">
            <v>Kontrak 1</v>
          </cell>
          <cell r="H327" t="str">
            <v>Pelaksana</v>
          </cell>
          <cell r="I327" t="str">
            <v>Assembly</v>
          </cell>
          <cell r="J327" t="str">
            <v>05 Oktober 2020</v>
          </cell>
          <cell r="K327" t="b">
            <v>0</v>
          </cell>
          <cell r="L327">
            <v>44109</v>
          </cell>
          <cell r="M327">
            <v>0</v>
          </cell>
          <cell r="N327">
            <v>7</v>
          </cell>
          <cell r="O327">
            <v>19</v>
          </cell>
          <cell r="Q327">
            <v>5343082</v>
          </cell>
          <cell r="R327">
            <v>4924046</v>
          </cell>
          <cell r="S327">
            <v>5343083</v>
          </cell>
          <cell r="T327">
            <v>0</v>
          </cell>
          <cell r="U327">
            <v>0</v>
          </cell>
          <cell r="V327">
            <v>0</v>
          </cell>
          <cell r="W327">
            <v>5343083</v>
          </cell>
          <cell r="X327">
            <v>5</v>
          </cell>
          <cell r="Z327">
            <v>16</v>
          </cell>
          <cell r="AB327">
            <v>21</v>
          </cell>
          <cell r="AC327">
            <v>1272162.6190476192</v>
          </cell>
          <cell r="AD327">
            <v>4070920.3809523811</v>
          </cell>
          <cell r="AE327">
            <v>5343083</v>
          </cell>
          <cell r="AF327">
            <v>0</v>
          </cell>
          <cell r="AG327">
            <v>5343083</v>
          </cell>
          <cell r="AH327" t="b">
            <v>1</v>
          </cell>
          <cell r="AK327">
            <v>5343083</v>
          </cell>
          <cell r="AL327" t="str">
            <v>K1</v>
          </cell>
          <cell r="AM327">
            <v>5343083</v>
          </cell>
          <cell r="AN327">
            <v>0</v>
          </cell>
          <cell r="AQ327">
            <v>0</v>
          </cell>
          <cell r="AR327">
            <v>38000</v>
          </cell>
          <cell r="AS327">
            <v>31700</v>
          </cell>
          <cell r="AV327">
            <v>106861.66</v>
          </cell>
          <cell r="AW327">
            <v>106861.66</v>
          </cell>
          <cell r="AX327">
            <v>53430.83</v>
          </cell>
          <cell r="AY327">
            <v>336854</v>
          </cell>
          <cell r="AZ327">
            <v>5006229</v>
          </cell>
          <cell r="BA327">
            <v>0</v>
          </cell>
          <cell r="BB327">
            <v>336854</v>
          </cell>
          <cell r="BC327">
            <v>5006229</v>
          </cell>
        </row>
        <row r="328">
          <cell r="F328" t="str">
            <v>051020-014</v>
          </cell>
          <cell r="G328" t="str">
            <v>Kontrak 1</v>
          </cell>
          <cell r="H328" t="str">
            <v>Pelaksana</v>
          </cell>
          <cell r="I328" t="str">
            <v>Assembly</v>
          </cell>
          <cell r="J328" t="str">
            <v>05 Oktober 2020</v>
          </cell>
          <cell r="K328" t="b">
            <v>0</v>
          </cell>
          <cell r="L328">
            <v>44109</v>
          </cell>
          <cell r="M328">
            <v>0</v>
          </cell>
          <cell r="N328">
            <v>7</v>
          </cell>
          <cell r="O328">
            <v>19</v>
          </cell>
          <cell r="Q328">
            <v>5343082</v>
          </cell>
          <cell r="R328">
            <v>4924046</v>
          </cell>
          <cell r="S328">
            <v>5343083</v>
          </cell>
          <cell r="T328">
            <v>0</v>
          </cell>
          <cell r="U328">
            <v>0</v>
          </cell>
          <cell r="V328">
            <v>0</v>
          </cell>
          <cell r="W328">
            <v>5343083</v>
          </cell>
          <cell r="X328">
            <v>5</v>
          </cell>
          <cell r="Z328">
            <v>16</v>
          </cell>
          <cell r="AB328">
            <v>21</v>
          </cell>
          <cell r="AC328">
            <v>1272162.6190476192</v>
          </cell>
          <cell r="AD328">
            <v>4070920.3809523811</v>
          </cell>
          <cell r="AE328">
            <v>5343083</v>
          </cell>
          <cell r="AF328">
            <v>0</v>
          </cell>
          <cell r="AG328">
            <v>5343083</v>
          </cell>
          <cell r="AH328" t="b">
            <v>1</v>
          </cell>
          <cell r="AK328">
            <v>5343083</v>
          </cell>
          <cell r="AL328" t="str">
            <v>K2</v>
          </cell>
          <cell r="AM328">
            <v>5343083</v>
          </cell>
          <cell r="AN328">
            <v>0</v>
          </cell>
          <cell r="AQ328">
            <v>0</v>
          </cell>
          <cell r="AR328">
            <v>38000</v>
          </cell>
          <cell r="AS328">
            <v>31700</v>
          </cell>
          <cell r="AV328">
            <v>53430.83</v>
          </cell>
          <cell r="AW328">
            <v>106861.66</v>
          </cell>
          <cell r="AX328">
            <v>53430.83</v>
          </cell>
          <cell r="AY328">
            <v>283423</v>
          </cell>
          <cell r="AZ328">
            <v>5059660</v>
          </cell>
          <cell r="BA328">
            <v>0</v>
          </cell>
          <cell r="BB328">
            <v>283423</v>
          </cell>
          <cell r="BC328">
            <v>5059660</v>
          </cell>
        </row>
        <row r="329">
          <cell r="F329" t="str">
            <v>051020-015</v>
          </cell>
          <cell r="G329" t="str">
            <v>Kontrak 1</v>
          </cell>
          <cell r="H329" t="str">
            <v>Pelaksana</v>
          </cell>
          <cell r="I329" t="str">
            <v>Assembly</v>
          </cell>
          <cell r="J329" t="str">
            <v>05 Oktober 2020</v>
          </cell>
          <cell r="K329" t="b">
            <v>0</v>
          </cell>
          <cell r="L329">
            <v>44109</v>
          </cell>
          <cell r="M329">
            <v>0</v>
          </cell>
          <cell r="N329">
            <v>7</v>
          </cell>
          <cell r="O329">
            <v>19</v>
          </cell>
          <cell r="Q329">
            <v>5343082</v>
          </cell>
          <cell r="R329">
            <v>4924046</v>
          </cell>
          <cell r="S329">
            <v>5343083</v>
          </cell>
          <cell r="T329">
            <v>0</v>
          </cell>
          <cell r="U329">
            <v>0</v>
          </cell>
          <cell r="V329">
            <v>0</v>
          </cell>
          <cell r="W329">
            <v>5343083</v>
          </cell>
          <cell r="AK329">
            <v>5343083</v>
          </cell>
          <cell r="AL329" t="str">
            <v>K1</v>
          </cell>
          <cell r="AM329">
            <v>1781028</v>
          </cell>
          <cell r="AN329">
            <v>0</v>
          </cell>
          <cell r="AP329">
            <v>14</v>
          </cell>
          <cell r="AQ329">
            <v>3562055</v>
          </cell>
          <cell r="AR329">
            <v>38000</v>
          </cell>
          <cell r="AS329">
            <v>0</v>
          </cell>
          <cell r="AV329">
            <v>53430.83</v>
          </cell>
          <cell r="AW329">
            <v>106861.66</v>
          </cell>
          <cell r="AX329">
            <v>53430.83</v>
          </cell>
          <cell r="AY329">
            <v>3813778</v>
          </cell>
          <cell r="AZ329">
            <v>1529305</v>
          </cell>
          <cell r="BA329">
            <v>0</v>
          </cell>
          <cell r="BB329">
            <v>3813778</v>
          </cell>
          <cell r="BC329">
            <v>1529305</v>
          </cell>
        </row>
        <row r="330">
          <cell r="F330" t="str">
            <v>051020-016</v>
          </cell>
          <cell r="G330" t="str">
            <v>Kontrak 1</v>
          </cell>
          <cell r="H330" t="str">
            <v>Pelaksana</v>
          </cell>
          <cell r="I330" t="str">
            <v>Assembly</v>
          </cell>
          <cell r="J330" t="str">
            <v>05 Oktober 2020</v>
          </cell>
          <cell r="K330" t="b">
            <v>0</v>
          </cell>
          <cell r="L330">
            <v>44109</v>
          </cell>
          <cell r="M330">
            <v>0</v>
          </cell>
          <cell r="N330">
            <v>7</v>
          </cell>
          <cell r="O330">
            <v>19</v>
          </cell>
          <cell r="Q330">
            <v>5343082</v>
          </cell>
          <cell r="R330">
            <v>4924046</v>
          </cell>
          <cell r="S330">
            <v>5343083</v>
          </cell>
          <cell r="T330">
            <v>0</v>
          </cell>
          <cell r="U330">
            <v>0</v>
          </cell>
          <cell r="V330">
            <v>0</v>
          </cell>
          <cell r="W330">
            <v>5343083</v>
          </cell>
          <cell r="X330">
            <v>5</v>
          </cell>
          <cell r="Z330">
            <v>16</v>
          </cell>
          <cell r="AB330">
            <v>21</v>
          </cell>
          <cell r="AC330">
            <v>1272162.6190476192</v>
          </cell>
          <cell r="AD330">
            <v>4070920.3809523811</v>
          </cell>
          <cell r="AE330">
            <v>5343083</v>
          </cell>
          <cell r="AF330">
            <v>0</v>
          </cell>
          <cell r="AG330">
            <v>5343083</v>
          </cell>
          <cell r="AH330" t="b">
            <v>1</v>
          </cell>
          <cell r="AK330">
            <v>5343083</v>
          </cell>
          <cell r="AL330" t="str">
            <v>TK</v>
          </cell>
          <cell r="AM330">
            <v>5343083</v>
          </cell>
          <cell r="AN330">
            <v>24202.726890749982</v>
          </cell>
          <cell r="AQ330">
            <v>0</v>
          </cell>
          <cell r="AR330">
            <v>38000</v>
          </cell>
          <cell r="AS330">
            <v>31700</v>
          </cell>
          <cell r="AV330">
            <v>0</v>
          </cell>
          <cell r="AW330">
            <v>106861.66</v>
          </cell>
          <cell r="AX330">
            <v>53430.83</v>
          </cell>
          <cell r="AY330">
            <v>254195</v>
          </cell>
          <cell r="AZ330">
            <v>5088888</v>
          </cell>
          <cell r="BA330">
            <v>24202.726890749982</v>
          </cell>
          <cell r="BB330">
            <v>229992</v>
          </cell>
          <cell r="BC330">
            <v>5113091</v>
          </cell>
        </row>
        <row r="331">
          <cell r="F331" t="str">
            <v>051020-018</v>
          </cell>
          <cell r="G331" t="str">
            <v>Kontrak 1</v>
          </cell>
          <cell r="H331" t="str">
            <v>Pelaksana</v>
          </cell>
          <cell r="I331" t="str">
            <v>Assembly</v>
          </cell>
          <cell r="J331" t="str">
            <v>05 Oktober 2020</v>
          </cell>
          <cell r="K331" t="b">
            <v>0</v>
          </cell>
          <cell r="L331">
            <v>44109</v>
          </cell>
          <cell r="M331">
            <v>0</v>
          </cell>
          <cell r="N331">
            <v>7</v>
          </cell>
          <cell r="O331">
            <v>19</v>
          </cell>
          <cell r="Q331">
            <v>5343082</v>
          </cell>
          <cell r="R331">
            <v>4924046</v>
          </cell>
          <cell r="S331">
            <v>5343083</v>
          </cell>
          <cell r="T331">
            <v>0</v>
          </cell>
          <cell r="U331">
            <v>0</v>
          </cell>
          <cell r="V331">
            <v>0</v>
          </cell>
          <cell r="W331">
            <v>5343083</v>
          </cell>
          <cell r="X331">
            <v>5</v>
          </cell>
          <cell r="Z331">
            <v>16</v>
          </cell>
          <cell r="AB331">
            <v>21</v>
          </cell>
          <cell r="AC331">
            <v>1272162.6190476192</v>
          </cell>
          <cell r="AD331">
            <v>4070920.3809523811</v>
          </cell>
          <cell r="AE331">
            <v>5343083</v>
          </cell>
          <cell r="AF331">
            <v>0</v>
          </cell>
          <cell r="AG331">
            <v>5343083</v>
          </cell>
          <cell r="AH331" t="b">
            <v>1</v>
          </cell>
          <cell r="AK331">
            <v>5343083</v>
          </cell>
          <cell r="AL331" t="str">
            <v>K1</v>
          </cell>
          <cell r="AM331">
            <v>5343083</v>
          </cell>
          <cell r="AN331">
            <v>0</v>
          </cell>
          <cell r="AQ331">
            <v>0</v>
          </cell>
          <cell r="AR331">
            <v>38000</v>
          </cell>
          <cell r="AS331">
            <v>31700</v>
          </cell>
          <cell r="AV331">
            <v>53430.83</v>
          </cell>
          <cell r="AW331">
            <v>106861.66</v>
          </cell>
          <cell r="AX331">
            <v>53430.83</v>
          </cell>
          <cell r="AY331">
            <v>283423</v>
          </cell>
          <cell r="AZ331">
            <v>5059660</v>
          </cell>
          <cell r="BA331">
            <v>0</v>
          </cell>
          <cell r="BB331">
            <v>283423</v>
          </cell>
          <cell r="BC331">
            <v>5059660</v>
          </cell>
        </row>
        <row r="332">
          <cell r="F332" t="str">
            <v>051020-019</v>
          </cell>
          <cell r="G332" t="str">
            <v>Kontrak 1</v>
          </cell>
          <cell r="H332" t="str">
            <v>Pelaksana</v>
          </cell>
          <cell r="I332" t="str">
            <v>Assembly</v>
          </cell>
          <cell r="J332" t="str">
            <v>05 Oktober 2020</v>
          </cell>
          <cell r="K332" t="b">
            <v>0</v>
          </cell>
          <cell r="L332">
            <v>44109</v>
          </cell>
          <cell r="M332">
            <v>0</v>
          </cell>
          <cell r="N332">
            <v>7</v>
          </cell>
          <cell r="O332">
            <v>19</v>
          </cell>
          <cell r="Q332">
            <v>5343082</v>
          </cell>
          <cell r="R332">
            <v>4924046</v>
          </cell>
          <cell r="S332">
            <v>5343083</v>
          </cell>
          <cell r="T332">
            <v>0</v>
          </cell>
          <cell r="U332">
            <v>0</v>
          </cell>
          <cell r="V332">
            <v>0</v>
          </cell>
          <cell r="W332">
            <v>5343083</v>
          </cell>
          <cell r="X332">
            <v>5</v>
          </cell>
          <cell r="Z332">
            <v>16</v>
          </cell>
          <cell r="AB332">
            <v>21</v>
          </cell>
          <cell r="AC332">
            <v>1272162.6190476192</v>
          </cell>
          <cell r="AD332">
            <v>4070920.3809523811</v>
          </cell>
          <cell r="AE332">
            <v>5343083</v>
          </cell>
          <cell r="AF332">
            <v>0</v>
          </cell>
          <cell r="AG332">
            <v>5343083</v>
          </cell>
          <cell r="AH332" t="b">
            <v>1</v>
          </cell>
          <cell r="AK332">
            <v>5343083</v>
          </cell>
          <cell r="AL332" t="str">
            <v>TK</v>
          </cell>
          <cell r="AM332">
            <v>5343083</v>
          </cell>
          <cell r="AN332">
            <v>33319.515890749979</v>
          </cell>
          <cell r="AQ332">
            <v>0</v>
          </cell>
          <cell r="AR332">
            <v>38000</v>
          </cell>
          <cell r="AS332">
            <v>31700</v>
          </cell>
          <cell r="AV332">
            <v>47983.1</v>
          </cell>
          <cell r="AW332">
            <v>106861.66</v>
          </cell>
          <cell r="AX332">
            <v>53430.83</v>
          </cell>
          <cell r="AY332">
            <v>311295</v>
          </cell>
          <cell r="AZ332">
            <v>5031788</v>
          </cell>
          <cell r="BA332">
            <v>33319.515890749979</v>
          </cell>
          <cell r="BB332">
            <v>277976</v>
          </cell>
          <cell r="BC332">
            <v>5065107</v>
          </cell>
        </row>
        <row r="333">
          <cell r="F333" t="str">
            <v>051020-020</v>
          </cell>
          <cell r="G333" t="str">
            <v>Kontrak 1</v>
          </cell>
          <cell r="H333" t="str">
            <v>Pelaksana</v>
          </cell>
          <cell r="I333" t="str">
            <v>Assembly</v>
          </cell>
          <cell r="J333" t="str">
            <v>05 Oktober 2020</v>
          </cell>
          <cell r="K333" t="b">
            <v>0</v>
          </cell>
          <cell r="L333">
            <v>44109</v>
          </cell>
          <cell r="M333">
            <v>0</v>
          </cell>
          <cell r="N333">
            <v>7</v>
          </cell>
          <cell r="O333">
            <v>19</v>
          </cell>
          <cell r="Q333">
            <v>5343082</v>
          </cell>
          <cell r="R333">
            <v>4924046</v>
          </cell>
          <cell r="S333">
            <v>5343083</v>
          </cell>
          <cell r="T333">
            <v>0</v>
          </cell>
          <cell r="U333">
            <v>0</v>
          </cell>
          <cell r="V333">
            <v>0</v>
          </cell>
          <cell r="W333">
            <v>5343083</v>
          </cell>
          <cell r="X333">
            <v>5</v>
          </cell>
          <cell r="Z333">
            <v>16</v>
          </cell>
          <cell r="AB333">
            <v>21</v>
          </cell>
          <cell r="AC333">
            <v>1272162.6190476192</v>
          </cell>
          <cell r="AD333">
            <v>4070920.3809523811</v>
          </cell>
          <cell r="AE333">
            <v>5343083</v>
          </cell>
          <cell r="AF333">
            <v>0</v>
          </cell>
          <cell r="AG333">
            <v>5343083</v>
          </cell>
          <cell r="AH333" t="b">
            <v>1</v>
          </cell>
          <cell r="AK333">
            <v>5343083</v>
          </cell>
          <cell r="AL333" t="str">
            <v>TK</v>
          </cell>
          <cell r="AM333">
            <v>5343083</v>
          </cell>
          <cell r="AN333">
            <v>34354.584590750004</v>
          </cell>
          <cell r="AQ333">
            <v>0</v>
          </cell>
          <cell r="AR333">
            <v>38000</v>
          </cell>
          <cell r="AS333">
            <v>31700</v>
          </cell>
          <cell r="AV333">
            <v>53430.83</v>
          </cell>
          <cell r="AW333">
            <v>106861.66</v>
          </cell>
          <cell r="AX333">
            <v>53430.83</v>
          </cell>
          <cell r="AY333">
            <v>317778</v>
          </cell>
          <cell r="AZ333">
            <v>5025305</v>
          </cell>
          <cell r="BA333">
            <v>34354.584590750004</v>
          </cell>
          <cell r="BB333">
            <v>283423</v>
          </cell>
          <cell r="BC333">
            <v>5059660</v>
          </cell>
        </row>
        <row r="334">
          <cell r="F334" t="str">
            <v>051020-024</v>
          </cell>
          <cell r="G334" t="str">
            <v>Kontrak 1</v>
          </cell>
          <cell r="H334" t="str">
            <v>Pelaksana</v>
          </cell>
          <cell r="I334" t="str">
            <v>Assembly</v>
          </cell>
          <cell r="J334" t="str">
            <v>05 Oktober 2020</v>
          </cell>
          <cell r="K334" t="b">
            <v>0</v>
          </cell>
          <cell r="L334">
            <v>44109</v>
          </cell>
          <cell r="M334">
            <v>0</v>
          </cell>
          <cell r="N334">
            <v>7</v>
          </cell>
          <cell r="O334">
            <v>19</v>
          </cell>
          <cell r="Q334">
            <v>5343082</v>
          </cell>
          <cell r="R334">
            <v>4924046</v>
          </cell>
          <cell r="S334">
            <v>5343083</v>
          </cell>
          <cell r="T334">
            <v>0</v>
          </cell>
          <cell r="U334">
            <v>0</v>
          </cell>
          <cell r="V334">
            <v>0</v>
          </cell>
          <cell r="W334">
            <v>5343083</v>
          </cell>
          <cell r="X334">
            <v>5</v>
          </cell>
          <cell r="Z334">
            <v>16</v>
          </cell>
          <cell r="AB334">
            <v>21</v>
          </cell>
          <cell r="AC334">
            <v>1272162.6190476192</v>
          </cell>
          <cell r="AD334">
            <v>4070920.3809523811</v>
          </cell>
          <cell r="AE334">
            <v>5343083</v>
          </cell>
          <cell r="AF334">
            <v>0</v>
          </cell>
          <cell r="AG334">
            <v>5343083</v>
          </cell>
          <cell r="AH334" t="b">
            <v>1</v>
          </cell>
          <cell r="AK334">
            <v>5343083</v>
          </cell>
          <cell r="AL334" t="str">
            <v>K1</v>
          </cell>
          <cell r="AM334">
            <v>5343083</v>
          </cell>
          <cell r="AN334">
            <v>0</v>
          </cell>
          <cell r="AQ334">
            <v>0</v>
          </cell>
          <cell r="AR334">
            <v>38000</v>
          </cell>
          <cell r="AS334">
            <v>31700</v>
          </cell>
          <cell r="AV334">
            <v>47983.1</v>
          </cell>
          <cell r="AW334">
            <v>106861.66</v>
          </cell>
          <cell r="AX334">
            <v>53430.83</v>
          </cell>
          <cell r="AY334">
            <v>277976</v>
          </cell>
          <cell r="AZ334">
            <v>5065107</v>
          </cell>
          <cell r="BA334">
            <v>0</v>
          </cell>
          <cell r="BB334">
            <v>277976</v>
          </cell>
          <cell r="BC334">
            <v>5065107</v>
          </cell>
        </row>
        <row r="335">
          <cell r="F335" t="str">
            <v>051020-025</v>
          </cell>
          <cell r="G335" t="str">
            <v>Kontrak 1</v>
          </cell>
          <cell r="H335" t="str">
            <v>Pelaksana</v>
          </cell>
          <cell r="I335" t="str">
            <v>Assembly</v>
          </cell>
          <cell r="J335" t="str">
            <v>05 Oktober 2020</v>
          </cell>
          <cell r="K335" t="b">
            <v>0</v>
          </cell>
          <cell r="L335">
            <v>44109</v>
          </cell>
          <cell r="M335">
            <v>0</v>
          </cell>
          <cell r="N335">
            <v>7</v>
          </cell>
          <cell r="O335">
            <v>19</v>
          </cell>
          <cell r="Q335">
            <v>5343082</v>
          </cell>
          <cell r="R335">
            <v>4924046</v>
          </cell>
          <cell r="S335">
            <v>5343083</v>
          </cell>
          <cell r="T335">
            <v>0</v>
          </cell>
          <cell r="U335">
            <v>0</v>
          </cell>
          <cell r="V335">
            <v>0</v>
          </cell>
          <cell r="W335">
            <v>5343083</v>
          </cell>
          <cell r="X335">
            <v>5</v>
          </cell>
          <cell r="Z335">
            <v>16</v>
          </cell>
          <cell r="AB335">
            <v>21</v>
          </cell>
          <cell r="AC335">
            <v>1272162.6190476192</v>
          </cell>
          <cell r="AD335">
            <v>4070920.3809523811</v>
          </cell>
          <cell r="AE335">
            <v>5343083</v>
          </cell>
          <cell r="AF335">
            <v>0</v>
          </cell>
          <cell r="AG335">
            <v>5343083</v>
          </cell>
          <cell r="AH335" t="b">
            <v>1</v>
          </cell>
          <cell r="AK335">
            <v>5343083</v>
          </cell>
          <cell r="AL335" t="str">
            <v>TK</v>
          </cell>
          <cell r="AM335">
            <v>5343083</v>
          </cell>
          <cell r="AN335">
            <v>34354.584590750004</v>
          </cell>
          <cell r="AQ335">
            <v>0</v>
          </cell>
          <cell r="AR335">
            <v>38000</v>
          </cell>
          <cell r="AS335">
            <v>31700</v>
          </cell>
          <cell r="AV335">
            <v>53430.83</v>
          </cell>
          <cell r="AW335">
            <v>106861.66</v>
          </cell>
          <cell r="AX335">
            <v>53430.83</v>
          </cell>
          <cell r="AY335">
            <v>317778</v>
          </cell>
          <cell r="AZ335">
            <v>5025305</v>
          </cell>
          <cell r="BA335">
            <v>34354.584590750004</v>
          </cell>
          <cell r="BB335">
            <v>283423</v>
          </cell>
          <cell r="BC335">
            <v>5059660</v>
          </cell>
        </row>
        <row r="336">
          <cell r="F336" t="str">
            <v>051020-026</v>
          </cell>
          <cell r="G336" t="str">
            <v>Kontrak 1</v>
          </cell>
          <cell r="H336" t="str">
            <v>Pelaksana</v>
          </cell>
          <cell r="I336" t="str">
            <v>Assembly</v>
          </cell>
          <cell r="J336" t="str">
            <v>05 Oktober 2020</v>
          </cell>
          <cell r="K336" t="b">
            <v>0</v>
          </cell>
          <cell r="L336">
            <v>44109</v>
          </cell>
          <cell r="M336">
            <v>0</v>
          </cell>
          <cell r="N336">
            <v>7</v>
          </cell>
          <cell r="O336">
            <v>19</v>
          </cell>
          <cell r="Q336">
            <v>5343082</v>
          </cell>
          <cell r="R336">
            <v>4924046</v>
          </cell>
          <cell r="S336">
            <v>5343083</v>
          </cell>
          <cell r="T336">
            <v>0</v>
          </cell>
          <cell r="U336">
            <v>0</v>
          </cell>
          <cell r="V336">
            <v>0</v>
          </cell>
          <cell r="W336">
            <v>5343083</v>
          </cell>
          <cell r="X336">
            <v>5</v>
          </cell>
          <cell r="Z336">
            <v>16</v>
          </cell>
          <cell r="AB336">
            <v>21</v>
          </cell>
          <cell r="AC336">
            <v>1272162.6190476192</v>
          </cell>
          <cell r="AD336">
            <v>4070920.3809523811</v>
          </cell>
          <cell r="AE336">
            <v>5343083</v>
          </cell>
          <cell r="AF336">
            <v>0</v>
          </cell>
          <cell r="AG336">
            <v>5343083</v>
          </cell>
          <cell r="AH336" t="b">
            <v>1</v>
          </cell>
          <cell r="AK336">
            <v>5343083</v>
          </cell>
          <cell r="AL336" t="str">
            <v>TK</v>
          </cell>
          <cell r="AM336">
            <v>5088650</v>
          </cell>
          <cell r="AN336">
            <v>22269.017090749989</v>
          </cell>
          <cell r="AP336">
            <v>1</v>
          </cell>
          <cell r="AQ336">
            <v>254433</v>
          </cell>
          <cell r="AR336">
            <v>38000</v>
          </cell>
          <cell r="AS336">
            <v>31700</v>
          </cell>
          <cell r="AV336">
            <v>53430.83</v>
          </cell>
          <cell r="AW336">
            <v>106861.66</v>
          </cell>
          <cell r="AX336">
            <v>53430.83</v>
          </cell>
          <cell r="AY336">
            <v>560125</v>
          </cell>
          <cell r="AZ336">
            <v>4782958</v>
          </cell>
          <cell r="BA336">
            <v>22269.017090749989</v>
          </cell>
          <cell r="BB336">
            <v>537856</v>
          </cell>
          <cell r="BC336">
            <v>4805227</v>
          </cell>
        </row>
        <row r="337">
          <cell r="F337" t="str">
            <v>051020-027</v>
          </cell>
          <cell r="G337" t="str">
            <v>Kontrak 1</v>
          </cell>
          <cell r="H337" t="str">
            <v>Pelaksana</v>
          </cell>
          <cell r="I337" t="str">
            <v>Assembly</v>
          </cell>
          <cell r="J337" t="str">
            <v>05 Oktober 2020</v>
          </cell>
          <cell r="K337" t="b">
            <v>0</v>
          </cell>
          <cell r="L337">
            <v>44109</v>
          </cell>
          <cell r="M337">
            <v>0</v>
          </cell>
          <cell r="N337">
            <v>7</v>
          </cell>
          <cell r="O337">
            <v>19</v>
          </cell>
          <cell r="Q337">
            <v>5343082</v>
          </cell>
          <cell r="R337">
            <v>4924046</v>
          </cell>
          <cell r="S337">
            <v>5343083</v>
          </cell>
          <cell r="T337">
            <v>0</v>
          </cell>
          <cell r="U337">
            <v>0</v>
          </cell>
          <cell r="V337">
            <v>0</v>
          </cell>
          <cell r="W337">
            <v>5343083</v>
          </cell>
          <cell r="X337">
            <v>5</v>
          </cell>
          <cell r="Z337">
            <v>16</v>
          </cell>
          <cell r="AB337">
            <v>21</v>
          </cell>
          <cell r="AC337">
            <v>1272162.6190476192</v>
          </cell>
          <cell r="AD337">
            <v>4070920.3809523811</v>
          </cell>
          <cell r="AE337">
            <v>5343083</v>
          </cell>
          <cell r="AF337">
            <v>0</v>
          </cell>
          <cell r="AG337">
            <v>5343083</v>
          </cell>
          <cell r="AH337" t="b">
            <v>1</v>
          </cell>
          <cell r="AK337">
            <v>5343083</v>
          </cell>
          <cell r="AL337" t="str">
            <v>K1</v>
          </cell>
          <cell r="AM337">
            <v>5343083</v>
          </cell>
          <cell r="AN337">
            <v>0</v>
          </cell>
          <cell r="AQ337">
            <v>0</v>
          </cell>
          <cell r="AR337">
            <v>38000</v>
          </cell>
          <cell r="AS337">
            <v>31700</v>
          </cell>
          <cell r="AV337">
            <v>53430.83</v>
          </cell>
          <cell r="AW337">
            <v>106861.66</v>
          </cell>
          <cell r="AX337">
            <v>53430.83</v>
          </cell>
          <cell r="AY337">
            <v>283423</v>
          </cell>
          <cell r="AZ337">
            <v>5059660</v>
          </cell>
          <cell r="BA337">
            <v>0</v>
          </cell>
          <cell r="BB337">
            <v>283423</v>
          </cell>
          <cell r="BC337">
            <v>5059660</v>
          </cell>
        </row>
        <row r="338">
          <cell r="F338" t="str">
            <v>051020-028</v>
          </cell>
          <cell r="G338" t="str">
            <v>Kontrak 1</v>
          </cell>
          <cell r="H338" t="str">
            <v>Pelaksana</v>
          </cell>
          <cell r="I338" t="str">
            <v>Assembly</v>
          </cell>
          <cell r="J338" t="str">
            <v>05 Oktober 2020</v>
          </cell>
          <cell r="K338" t="b">
            <v>0</v>
          </cell>
          <cell r="L338">
            <v>44109</v>
          </cell>
          <cell r="M338">
            <v>0</v>
          </cell>
          <cell r="N338">
            <v>7</v>
          </cell>
          <cell r="O338">
            <v>19</v>
          </cell>
          <cell r="Q338">
            <v>5343082</v>
          </cell>
          <cell r="R338">
            <v>4924046</v>
          </cell>
          <cell r="S338">
            <v>5343083</v>
          </cell>
          <cell r="T338">
            <v>0</v>
          </cell>
          <cell r="U338">
            <v>0</v>
          </cell>
          <cell r="V338">
            <v>0</v>
          </cell>
          <cell r="W338">
            <v>5343083</v>
          </cell>
          <cell r="X338">
            <v>5</v>
          </cell>
          <cell r="Z338">
            <v>16</v>
          </cell>
          <cell r="AB338">
            <v>21</v>
          </cell>
          <cell r="AC338">
            <v>1272162.6190476192</v>
          </cell>
          <cell r="AD338">
            <v>4070920.3809523811</v>
          </cell>
          <cell r="AE338">
            <v>5343083</v>
          </cell>
          <cell r="AF338">
            <v>0</v>
          </cell>
          <cell r="AG338">
            <v>5343083</v>
          </cell>
          <cell r="AH338" t="b">
            <v>1</v>
          </cell>
          <cell r="AK338">
            <v>5343083</v>
          </cell>
          <cell r="AL338" t="str">
            <v>TK</v>
          </cell>
          <cell r="AM338">
            <v>5343083</v>
          </cell>
          <cell r="AN338">
            <v>34354.584590750004</v>
          </cell>
          <cell r="AQ338">
            <v>0</v>
          </cell>
          <cell r="AR338">
            <v>38000</v>
          </cell>
          <cell r="AS338">
            <v>31700</v>
          </cell>
          <cell r="AV338">
            <v>53430.83</v>
          </cell>
          <cell r="AW338">
            <v>106861.66</v>
          </cell>
          <cell r="AX338">
            <v>53430.83</v>
          </cell>
          <cell r="AY338">
            <v>317778</v>
          </cell>
          <cell r="AZ338">
            <v>5025305</v>
          </cell>
          <cell r="BA338">
            <v>34354.584590750004</v>
          </cell>
          <cell r="BB338">
            <v>283423</v>
          </cell>
          <cell r="BC338">
            <v>5059660</v>
          </cell>
        </row>
        <row r="339">
          <cell r="F339" t="str">
            <v>051020-029</v>
          </cell>
          <cell r="G339" t="str">
            <v>Kontrak 1</v>
          </cell>
          <cell r="H339" t="str">
            <v>Pelaksana</v>
          </cell>
          <cell r="I339" t="str">
            <v>Assembly</v>
          </cell>
          <cell r="J339" t="str">
            <v>05 Oktober 2020</v>
          </cell>
          <cell r="K339" t="b">
            <v>0</v>
          </cell>
          <cell r="L339">
            <v>44109</v>
          </cell>
          <cell r="M339">
            <v>0</v>
          </cell>
          <cell r="N339">
            <v>7</v>
          </cell>
          <cell r="O339">
            <v>19</v>
          </cell>
          <cell r="Q339">
            <v>5343082</v>
          </cell>
          <cell r="R339">
            <v>4924046</v>
          </cell>
          <cell r="S339">
            <v>5343083</v>
          </cell>
          <cell r="T339">
            <v>0</v>
          </cell>
          <cell r="U339">
            <v>0</v>
          </cell>
          <cell r="V339">
            <v>0</v>
          </cell>
          <cell r="W339">
            <v>5343083</v>
          </cell>
          <cell r="X339">
            <v>5</v>
          </cell>
          <cell r="Z339">
            <v>16</v>
          </cell>
          <cell r="AB339">
            <v>21</v>
          </cell>
          <cell r="AC339">
            <v>1272162.6190476192</v>
          </cell>
          <cell r="AD339">
            <v>4070920.3809523811</v>
          </cell>
          <cell r="AE339">
            <v>5343083</v>
          </cell>
          <cell r="AF339">
            <v>0</v>
          </cell>
          <cell r="AG339">
            <v>5343083</v>
          </cell>
          <cell r="AH339" t="b">
            <v>1</v>
          </cell>
          <cell r="AK339">
            <v>5343083</v>
          </cell>
          <cell r="AL339" t="str">
            <v>TK</v>
          </cell>
          <cell r="AM339">
            <v>5343083</v>
          </cell>
          <cell r="AN339">
            <v>34354.584590750004</v>
          </cell>
          <cell r="AQ339">
            <v>0</v>
          </cell>
          <cell r="AR339">
            <v>38000</v>
          </cell>
          <cell r="AS339">
            <v>31700</v>
          </cell>
          <cell r="AV339">
            <v>53430.83</v>
          </cell>
          <cell r="AW339">
            <v>106861.66</v>
          </cell>
          <cell r="AX339">
            <v>53430.83</v>
          </cell>
          <cell r="AY339">
            <v>317778</v>
          </cell>
          <cell r="AZ339">
            <v>5025305</v>
          </cell>
          <cell r="BA339">
            <v>34354.584590750004</v>
          </cell>
          <cell r="BB339">
            <v>283423</v>
          </cell>
          <cell r="BC339">
            <v>5059660</v>
          </cell>
        </row>
        <row r="340">
          <cell r="F340" t="str">
            <v>051020-030</v>
          </cell>
          <cell r="G340" t="str">
            <v>Kontrak 1</v>
          </cell>
          <cell r="H340" t="str">
            <v>Pelaksana</v>
          </cell>
          <cell r="I340" t="str">
            <v>Assembly</v>
          </cell>
          <cell r="J340" t="str">
            <v>05 Oktober 2020</v>
          </cell>
          <cell r="K340" t="b">
            <v>0</v>
          </cell>
          <cell r="L340">
            <v>44109</v>
          </cell>
          <cell r="M340">
            <v>0</v>
          </cell>
          <cell r="N340">
            <v>7</v>
          </cell>
          <cell r="O340">
            <v>19</v>
          </cell>
          <cell r="Q340">
            <v>5343082</v>
          </cell>
          <cell r="R340">
            <v>4924046</v>
          </cell>
          <cell r="S340">
            <v>5343083</v>
          </cell>
          <cell r="T340">
            <v>0</v>
          </cell>
          <cell r="U340">
            <v>0</v>
          </cell>
          <cell r="V340">
            <v>0</v>
          </cell>
          <cell r="W340">
            <v>5343083</v>
          </cell>
          <cell r="X340">
            <v>5</v>
          </cell>
          <cell r="Z340">
            <v>16</v>
          </cell>
          <cell r="AB340">
            <v>21</v>
          </cell>
          <cell r="AC340">
            <v>1272162.6190476192</v>
          </cell>
          <cell r="AD340">
            <v>4070920.3809523811</v>
          </cell>
          <cell r="AE340">
            <v>5343083</v>
          </cell>
          <cell r="AF340">
            <v>0</v>
          </cell>
          <cell r="AG340">
            <v>5343083</v>
          </cell>
          <cell r="AH340" t="b">
            <v>1</v>
          </cell>
          <cell r="AK340">
            <v>5343083</v>
          </cell>
          <cell r="AL340" t="str">
            <v>K1</v>
          </cell>
          <cell r="AM340">
            <v>5343083</v>
          </cell>
          <cell r="AN340">
            <v>0</v>
          </cell>
          <cell r="AQ340">
            <v>0</v>
          </cell>
          <cell r="AR340">
            <v>38000</v>
          </cell>
          <cell r="AS340">
            <v>31700</v>
          </cell>
          <cell r="AV340">
            <v>53430.83</v>
          </cell>
          <cell r="AW340">
            <v>106861.66</v>
          </cell>
          <cell r="AX340">
            <v>53430.83</v>
          </cell>
          <cell r="AY340">
            <v>283423</v>
          </cell>
          <cell r="AZ340">
            <v>5059660</v>
          </cell>
          <cell r="BA340">
            <v>0</v>
          </cell>
          <cell r="BB340">
            <v>283423</v>
          </cell>
          <cell r="BC340">
            <v>5059660</v>
          </cell>
        </row>
        <row r="341">
          <cell r="F341" t="str">
            <v>051020-031</v>
          </cell>
          <cell r="G341" t="str">
            <v>Kontrak 1</v>
          </cell>
          <cell r="H341" t="str">
            <v>Pelaksana</v>
          </cell>
          <cell r="I341" t="str">
            <v>Assembly</v>
          </cell>
          <cell r="J341" t="str">
            <v>05 Oktober 2020</v>
          </cell>
          <cell r="K341" t="b">
            <v>0</v>
          </cell>
          <cell r="L341">
            <v>44109</v>
          </cell>
          <cell r="M341">
            <v>0</v>
          </cell>
          <cell r="N341">
            <v>7</v>
          </cell>
          <cell r="O341">
            <v>19</v>
          </cell>
          <cell r="Q341">
            <v>5343082</v>
          </cell>
          <cell r="R341">
            <v>4924046</v>
          </cell>
          <cell r="S341">
            <v>5343083</v>
          </cell>
          <cell r="T341">
            <v>0</v>
          </cell>
          <cell r="U341">
            <v>0</v>
          </cell>
          <cell r="V341">
            <v>0</v>
          </cell>
          <cell r="W341">
            <v>5343083</v>
          </cell>
          <cell r="X341">
            <v>5</v>
          </cell>
          <cell r="Z341">
            <v>16</v>
          </cell>
          <cell r="AB341">
            <v>21</v>
          </cell>
          <cell r="AC341">
            <v>1272162.6190476192</v>
          </cell>
          <cell r="AD341">
            <v>4070920.3809523811</v>
          </cell>
          <cell r="AE341">
            <v>5343083</v>
          </cell>
          <cell r="AF341">
            <v>0</v>
          </cell>
          <cell r="AG341">
            <v>5343083</v>
          </cell>
          <cell r="AH341" t="b">
            <v>1</v>
          </cell>
          <cell r="AK341">
            <v>5343083</v>
          </cell>
          <cell r="AL341" t="str">
            <v>TK</v>
          </cell>
          <cell r="AM341">
            <v>5343083</v>
          </cell>
          <cell r="AN341">
            <v>34354.584590750004</v>
          </cell>
          <cell r="AQ341">
            <v>0</v>
          </cell>
          <cell r="AR341">
            <v>38000</v>
          </cell>
          <cell r="AS341">
            <v>31700</v>
          </cell>
          <cell r="AV341">
            <v>53430.83</v>
          </cell>
          <cell r="AW341">
            <v>106861.66</v>
          </cell>
          <cell r="AX341">
            <v>53430.83</v>
          </cell>
          <cell r="AY341">
            <v>317778</v>
          </cell>
          <cell r="AZ341">
            <v>5025305</v>
          </cell>
          <cell r="BA341">
            <v>34354.584590750004</v>
          </cell>
          <cell r="BB341">
            <v>283423</v>
          </cell>
          <cell r="BC341">
            <v>5059660</v>
          </cell>
        </row>
        <row r="342">
          <cell r="F342" t="str">
            <v>051020-032</v>
          </cell>
          <cell r="G342" t="str">
            <v>Kontrak 1</v>
          </cell>
          <cell r="H342" t="str">
            <v>Pelaksana</v>
          </cell>
          <cell r="I342" t="str">
            <v>Assembly</v>
          </cell>
          <cell r="J342" t="str">
            <v>05 Oktober 2020</v>
          </cell>
          <cell r="K342" t="b">
            <v>0</v>
          </cell>
          <cell r="L342">
            <v>44109</v>
          </cell>
          <cell r="M342">
            <v>0</v>
          </cell>
          <cell r="N342">
            <v>7</v>
          </cell>
          <cell r="O342">
            <v>19</v>
          </cell>
          <cell r="Q342">
            <v>5343082</v>
          </cell>
          <cell r="R342">
            <v>4924046</v>
          </cell>
          <cell r="S342">
            <v>5343083</v>
          </cell>
          <cell r="T342">
            <v>0</v>
          </cell>
          <cell r="U342">
            <v>0</v>
          </cell>
          <cell r="V342">
            <v>0</v>
          </cell>
          <cell r="W342">
            <v>5343083</v>
          </cell>
          <cell r="X342">
            <v>5</v>
          </cell>
          <cell r="Z342">
            <v>16</v>
          </cell>
          <cell r="AB342">
            <v>21</v>
          </cell>
          <cell r="AC342">
            <v>1272162.6190476192</v>
          </cell>
          <cell r="AD342">
            <v>4070920.3809523811</v>
          </cell>
          <cell r="AE342">
            <v>5343083</v>
          </cell>
          <cell r="AF342">
            <v>0</v>
          </cell>
          <cell r="AG342">
            <v>5343083</v>
          </cell>
          <cell r="AH342" t="b">
            <v>1</v>
          </cell>
          <cell r="AK342">
            <v>5343083</v>
          </cell>
          <cell r="AL342" t="str">
            <v>K1</v>
          </cell>
          <cell r="AM342">
            <v>5343083</v>
          </cell>
          <cell r="AN342">
            <v>0</v>
          </cell>
          <cell r="AQ342">
            <v>0</v>
          </cell>
          <cell r="AR342">
            <v>38000</v>
          </cell>
          <cell r="AS342">
            <v>31700</v>
          </cell>
          <cell r="AV342">
            <v>53430.83</v>
          </cell>
          <cell r="AW342">
            <v>106861.66</v>
          </cell>
          <cell r="AX342">
            <v>53430.83</v>
          </cell>
          <cell r="AY342">
            <v>283423</v>
          </cell>
          <cell r="AZ342">
            <v>5059660</v>
          </cell>
          <cell r="BA342">
            <v>0</v>
          </cell>
          <cell r="BB342">
            <v>283423</v>
          </cell>
          <cell r="BC342">
            <v>5059660</v>
          </cell>
        </row>
        <row r="343">
          <cell r="F343" t="str">
            <v>051020-033</v>
          </cell>
          <cell r="G343" t="str">
            <v>Kontrak 1</v>
          </cell>
          <cell r="H343" t="str">
            <v>Pelaksana</v>
          </cell>
          <cell r="I343" t="str">
            <v>Assembly</v>
          </cell>
          <cell r="J343" t="str">
            <v>05 Oktober 2020</v>
          </cell>
          <cell r="K343" t="b">
            <v>0</v>
          </cell>
          <cell r="L343">
            <v>44109</v>
          </cell>
          <cell r="M343">
            <v>0</v>
          </cell>
          <cell r="N343">
            <v>7</v>
          </cell>
          <cell r="O343">
            <v>19</v>
          </cell>
          <cell r="Q343">
            <v>5343082</v>
          </cell>
          <cell r="R343">
            <v>4924046</v>
          </cell>
          <cell r="S343">
            <v>5343083</v>
          </cell>
          <cell r="T343">
            <v>0</v>
          </cell>
          <cell r="U343">
            <v>0</v>
          </cell>
          <cell r="V343">
            <v>0</v>
          </cell>
          <cell r="W343">
            <v>5343083</v>
          </cell>
          <cell r="X343">
            <v>5</v>
          </cell>
          <cell r="Z343">
            <v>16</v>
          </cell>
          <cell r="AB343">
            <v>21</v>
          </cell>
          <cell r="AC343">
            <v>1272162.6190476192</v>
          </cell>
          <cell r="AD343">
            <v>4070920.3809523811</v>
          </cell>
          <cell r="AE343">
            <v>5343083</v>
          </cell>
          <cell r="AF343">
            <v>0</v>
          </cell>
          <cell r="AG343">
            <v>5343083</v>
          </cell>
          <cell r="AH343" t="b">
            <v>1</v>
          </cell>
          <cell r="AK343">
            <v>5343083</v>
          </cell>
          <cell r="AL343" t="str">
            <v>K2</v>
          </cell>
          <cell r="AM343">
            <v>5343083</v>
          </cell>
          <cell r="AN343">
            <v>0</v>
          </cell>
          <cell r="AQ343">
            <v>0</v>
          </cell>
          <cell r="AR343">
            <v>38000</v>
          </cell>
          <cell r="AS343">
            <v>31700</v>
          </cell>
          <cell r="AV343">
            <v>53430.83</v>
          </cell>
          <cell r="AW343">
            <v>106861.66</v>
          </cell>
          <cell r="AX343">
            <v>53430.83</v>
          </cell>
          <cell r="AY343">
            <v>283423</v>
          </cell>
          <cell r="AZ343">
            <v>5059660</v>
          </cell>
          <cell r="BA343">
            <v>0</v>
          </cell>
          <cell r="BB343">
            <v>283423</v>
          </cell>
          <cell r="BC343">
            <v>5059660</v>
          </cell>
        </row>
        <row r="344">
          <cell r="F344" t="str">
            <v>051020-035</v>
          </cell>
          <cell r="G344" t="str">
            <v>Kontrak 1</v>
          </cell>
          <cell r="H344" t="str">
            <v>Pelaksana</v>
          </cell>
          <cell r="I344" t="str">
            <v>Assembly</v>
          </cell>
          <cell r="J344" t="str">
            <v>05 Oktober 2020</v>
          </cell>
          <cell r="K344" t="b">
            <v>0</v>
          </cell>
          <cell r="L344">
            <v>44109</v>
          </cell>
          <cell r="M344">
            <v>0</v>
          </cell>
          <cell r="N344">
            <v>7</v>
          </cell>
          <cell r="O344">
            <v>19</v>
          </cell>
          <cell r="Q344">
            <v>5343082</v>
          </cell>
          <cell r="R344">
            <v>4924046</v>
          </cell>
          <cell r="S344">
            <v>5343083</v>
          </cell>
          <cell r="T344">
            <v>0</v>
          </cell>
          <cell r="U344">
            <v>0</v>
          </cell>
          <cell r="V344">
            <v>0</v>
          </cell>
          <cell r="W344">
            <v>5343083</v>
          </cell>
          <cell r="X344">
            <v>5</v>
          </cell>
          <cell r="Z344">
            <v>16</v>
          </cell>
          <cell r="AB344">
            <v>21</v>
          </cell>
          <cell r="AC344">
            <v>1272162.6190476192</v>
          </cell>
          <cell r="AD344">
            <v>4070920.3809523811</v>
          </cell>
          <cell r="AE344">
            <v>5343083</v>
          </cell>
          <cell r="AF344">
            <v>0</v>
          </cell>
          <cell r="AG344">
            <v>5343083</v>
          </cell>
          <cell r="AH344" t="b">
            <v>1</v>
          </cell>
          <cell r="AK344">
            <v>5343083</v>
          </cell>
          <cell r="AL344" t="str">
            <v>K1</v>
          </cell>
          <cell r="AM344">
            <v>5343083</v>
          </cell>
          <cell r="AN344">
            <v>0</v>
          </cell>
          <cell r="AQ344">
            <v>0</v>
          </cell>
          <cell r="AR344">
            <v>38000</v>
          </cell>
          <cell r="AS344">
            <v>31700</v>
          </cell>
          <cell r="AV344">
            <v>53430.83</v>
          </cell>
          <cell r="AW344">
            <v>106861.66</v>
          </cell>
          <cell r="AX344">
            <v>53430.83</v>
          </cell>
          <cell r="AY344">
            <v>283423</v>
          </cell>
          <cell r="AZ344">
            <v>5059660</v>
          </cell>
          <cell r="BA344">
            <v>0</v>
          </cell>
          <cell r="BB344">
            <v>283423</v>
          </cell>
          <cell r="BC344">
            <v>5059660</v>
          </cell>
        </row>
        <row r="345">
          <cell r="F345" t="str">
            <v>051020-041</v>
          </cell>
          <cell r="G345" t="str">
            <v>Kontrak 1</v>
          </cell>
          <cell r="H345" t="str">
            <v>Pelaksana</v>
          </cell>
          <cell r="I345" t="str">
            <v>Assembly</v>
          </cell>
          <cell r="J345" t="str">
            <v>05 Oktober 2020</v>
          </cell>
          <cell r="K345" t="b">
            <v>0</v>
          </cell>
          <cell r="L345">
            <v>44109</v>
          </cell>
          <cell r="M345">
            <v>0</v>
          </cell>
          <cell r="N345">
            <v>7</v>
          </cell>
          <cell r="O345">
            <v>19</v>
          </cell>
          <cell r="Q345">
            <v>5343082</v>
          </cell>
          <cell r="R345">
            <v>4924046</v>
          </cell>
          <cell r="S345">
            <v>5343083</v>
          </cell>
          <cell r="T345">
            <v>0</v>
          </cell>
          <cell r="U345">
            <v>0</v>
          </cell>
          <cell r="V345">
            <v>0</v>
          </cell>
          <cell r="W345">
            <v>5343083</v>
          </cell>
          <cell r="X345">
            <v>5</v>
          </cell>
          <cell r="Z345">
            <v>16</v>
          </cell>
          <cell r="AB345">
            <v>21</v>
          </cell>
          <cell r="AC345">
            <v>1272162.6190476192</v>
          </cell>
          <cell r="AD345">
            <v>4070920.3809523811</v>
          </cell>
          <cell r="AE345">
            <v>5343083</v>
          </cell>
          <cell r="AF345">
            <v>0</v>
          </cell>
          <cell r="AG345">
            <v>5343083</v>
          </cell>
          <cell r="AH345" t="b">
            <v>1</v>
          </cell>
          <cell r="AK345">
            <v>5343083</v>
          </cell>
          <cell r="AL345" t="str">
            <v>K3</v>
          </cell>
          <cell r="AM345">
            <v>5343083</v>
          </cell>
          <cell r="AN345">
            <v>0</v>
          </cell>
          <cell r="AQ345">
            <v>0</v>
          </cell>
          <cell r="AR345">
            <v>38000</v>
          </cell>
          <cell r="AS345">
            <v>31700</v>
          </cell>
          <cell r="AV345">
            <v>53430.83</v>
          </cell>
          <cell r="AW345">
            <v>106861.66</v>
          </cell>
          <cell r="AX345">
            <v>53430.83</v>
          </cell>
          <cell r="AY345">
            <v>283423</v>
          </cell>
          <cell r="AZ345">
            <v>5059660</v>
          </cell>
          <cell r="BA345">
            <v>0</v>
          </cell>
          <cell r="BB345">
            <v>283423</v>
          </cell>
          <cell r="BC345">
            <v>5059660</v>
          </cell>
        </row>
        <row r="346">
          <cell r="F346" t="str">
            <v>280221-001</v>
          </cell>
          <cell r="G346" t="str">
            <v>Recall Kontrak 1</v>
          </cell>
          <cell r="H346" t="str">
            <v>Pelaksana</v>
          </cell>
          <cell r="I346" t="str">
            <v>Assembly</v>
          </cell>
          <cell r="L346">
            <v>44255</v>
          </cell>
          <cell r="M346">
            <v>0</v>
          </cell>
          <cell r="N346">
            <v>2</v>
          </cell>
          <cell r="O346">
            <v>26</v>
          </cell>
          <cell r="S346">
            <v>5343083</v>
          </cell>
          <cell r="T346">
            <v>0</v>
          </cell>
          <cell r="U346">
            <v>0</v>
          </cell>
          <cell r="V346">
            <v>0</v>
          </cell>
          <cell r="W346">
            <v>5343083</v>
          </cell>
          <cell r="X346">
            <v>5</v>
          </cell>
          <cell r="Z346">
            <v>16</v>
          </cell>
          <cell r="AB346">
            <v>21</v>
          </cell>
          <cell r="AC346">
            <v>1272162.6190476192</v>
          </cell>
          <cell r="AD346">
            <v>4070920.3809523811</v>
          </cell>
          <cell r="AE346">
            <v>5343083</v>
          </cell>
          <cell r="AF346">
            <v>0</v>
          </cell>
          <cell r="AG346">
            <v>5343083</v>
          </cell>
          <cell r="AH346" t="b">
            <v>1</v>
          </cell>
          <cell r="AK346">
            <v>5343083</v>
          </cell>
          <cell r="AL346" t="str">
            <v>TK</v>
          </cell>
          <cell r="AM346">
            <v>763298</v>
          </cell>
          <cell r="AN346">
            <v>0</v>
          </cell>
          <cell r="AP346">
            <v>18</v>
          </cell>
          <cell r="AQ346">
            <v>4579785</v>
          </cell>
          <cell r="AU346">
            <v>10000</v>
          </cell>
          <cell r="AV346">
            <v>53430.83</v>
          </cell>
          <cell r="AW346">
            <v>106861.66</v>
          </cell>
          <cell r="AX346">
            <v>53430.83</v>
          </cell>
          <cell r="AY346">
            <v>4803508</v>
          </cell>
          <cell r="AZ346">
            <v>539575</v>
          </cell>
          <cell r="BA346">
            <v>0</v>
          </cell>
          <cell r="BB346">
            <v>4803508</v>
          </cell>
          <cell r="BC346">
            <v>539575</v>
          </cell>
        </row>
        <row r="347">
          <cell r="Q347">
            <v>1026341096</v>
          </cell>
          <cell r="R347">
            <v>947562331</v>
          </cell>
          <cell r="S347">
            <v>1031684370</v>
          </cell>
          <cell r="T347">
            <v>11000000</v>
          </cell>
          <cell r="U347">
            <v>0</v>
          </cell>
          <cell r="V347">
            <v>1651521</v>
          </cell>
          <cell r="W347">
            <v>1044335891</v>
          </cell>
          <cell r="X347">
            <v>960</v>
          </cell>
          <cell r="Y347">
            <v>0</v>
          </cell>
          <cell r="Z347">
            <v>3072</v>
          </cell>
          <cell r="AA347">
            <v>0</v>
          </cell>
          <cell r="AB347">
            <v>4032</v>
          </cell>
          <cell r="AC347">
            <v>247379239.99999902</v>
          </cell>
          <cell r="AD347">
            <v>791613567.99999738</v>
          </cell>
          <cell r="AE347">
            <v>1038992808</v>
          </cell>
          <cell r="AF347">
            <v>0</v>
          </cell>
          <cell r="AG347">
            <v>1038992808</v>
          </cell>
          <cell r="AH347">
            <v>0</v>
          </cell>
          <cell r="AJ347">
            <v>0</v>
          </cell>
          <cell r="AK347">
            <v>1044335891</v>
          </cell>
          <cell r="AL347">
            <v>0</v>
          </cell>
          <cell r="AM347">
            <v>1026271183</v>
          </cell>
          <cell r="AN347">
            <v>2723555.5751822484</v>
          </cell>
          <cell r="AO347">
            <v>0</v>
          </cell>
          <cell r="AP347">
            <v>71</v>
          </cell>
          <cell r="AQ347">
            <v>18064708</v>
          </cell>
          <cell r="AR347">
            <v>5928000</v>
          </cell>
          <cell r="AS347">
            <v>5927900</v>
          </cell>
          <cell r="AT347">
            <v>4718134</v>
          </cell>
          <cell r="AU347">
            <v>720000</v>
          </cell>
          <cell r="AV347">
            <v>10452946.550000012</v>
          </cell>
          <cell r="AW347">
            <v>20886717.820000023</v>
          </cell>
          <cell r="AX347">
            <v>10443358.910000011</v>
          </cell>
          <cell r="AY347">
            <v>79865299</v>
          </cell>
          <cell r="AZ347">
            <v>964470592</v>
          </cell>
          <cell r="BA347">
            <v>2723555.5751822484</v>
          </cell>
          <cell r="BB347">
            <v>77141706</v>
          </cell>
          <cell r="BC347">
            <v>967194185</v>
          </cell>
        </row>
        <row r="350">
          <cell r="F350" t="str">
            <v>NIK</v>
          </cell>
          <cell r="G350" t="str">
            <v>STATUS</v>
          </cell>
          <cell r="H350" t="str">
            <v>LEVEL</v>
          </cell>
          <cell r="I350" t="str">
            <v>BAGIAN</v>
          </cell>
          <cell r="J350" t="str">
            <v>DB</v>
          </cell>
          <cell r="L350" t="str">
            <v>JOIN</v>
          </cell>
          <cell r="M350" t="str">
            <v>MK</v>
          </cell>
          <cell r="Q350" t="str">
            <v>FIXED SALARY (KESEPAKATAN 2020)</v>
          </cell>
          <cell r="R350" t="str">
            <v>FIXED SALARY (NOVEMBER 2020)</v>
          </cell>
          <cell r="S350" t="str">
            <v>FIXED SALARY (UMSK 2020)</v>
          </cell>
          <cell r="T350" t="str">
            <v>JOB STRUCTURE ALLOWANCE</v>
          </cell>
          <cell r="U350" t="str">
            <v>SKILL ALLOWANCE</v>
          </cell>
          <cell r="V350" t="str">
            <v>PERFORMANCE ALLOWANCE 2020</v>
          </cell>
          <cell r="W350" t="str">
            <v>TOTAL</v>
          </cell>
          <cell r="X350" t="str">
            <v>WORKDAYS</v>
          </cell>
          <cell r="AB350" t="str">
            <v>CEK</v>
          </cell>
          <cell r="AC350" t="str">
            <v xml:space="preserve">SALARY </v>
          </cell>
          <cell r="AD350" t="str">
            <v>SALARY</v>
          </cell>
          <cell r="AE350" t="str">
            <v>TOTAL SALARY (COVID-19)</v>
          </cell>
          <cell r="AF350" t="str">
            <v>POT OFF</v>
          </cell>
          <cell r="AG350" t="str">
            <v>CEK</v>
          </cell>
          <cell r="AH350" t="str">
            <v>CEK</v>
          </cell>
          <cell r="AJ350" t="str">
            <v>BACK PAY ( RAPEL) / INCENTIVE</v>
          </cell>
          <cell r="AK350" t="str">
            <v>TOTAL</v>
          </cell>
          <cell r="AL350" t="str">
            <v>PERHITUNGAN PPh</v>
          </cell>
          <cell r="AN350" t="str">
            <v>TAX</v>
          </cell>
          <cell r="AO350" t="str">
            <v>RETURND</v>
          </cell>
          <cell r="AP350" t="str">
            <v>ABSEN</v>
          </cell>
          <cell r="AR350" t="str">
            <v>DEDUCTION</v>
          </cell>
          <cell r="AV350" t="str">
            <v>BPJS</v>
          </cell>
          <cell r="AW350" t="str">
            <v>BPJS KETENAGAKERJAAN</v>
          </cell>
          <cell r="AY350" t="str">
            <v>TOTAL</v>
          </cell>
          <cell r="AZ350" t="str">
            <v>TOTAL</v>
          </cell>
          <cell r="BA350" t="str">
            <v>INSENTIF</v>
          </cell>
          <cell r="BB350" t="str">
            <v>WITH INSENTIF PPh21</v>
          </cell>
        </row>
        <row r="351">
          <cell r="F351" t="str">
            <v>SAI</v>
          </cell>
          <cell r="G351" t="str">
            <v>KONTRAK</v>
          </cell>
          <cell r="J351" t="str">
            <v>DATEJOIN</v>
          </cell>
          <cell r="K351" t="str">
            <v>CHECK</v>
          </cell>
          <cell r="L351" t="str">
            <v>DATE</v>
          </cell>
          <cell r="M351" t="str">
            <v>YEAR</v>
          </cell>
          <cell r="N351" t="str">
            <v>MONTH</v>
          </cell>
          <cell r="O351" t="str">
            <v>DAY</v>
          </cell>
          <cell r="W351" t="str">
            <v>SALARY</v>
          </cell>
          <cell r="X351" t="str">
            <v>ON</v>
          </cell>
          <cell r="Y351" t="str">
            <v>OFF</v>
          </cell>
          <cell r="Z351" t="str">
            <v>ON</v>
          </cell>
          <cell r="AA351" t="str">
            <v>OFF</v>
          </cell>
          <cell r="AB351" t="str">
            <v>WORKINGDAYS</v>
          </cell>
          <cell r="AC351" t="str">
            <v>PERIODE 25-31 FEB</v>
          </cell>
          <cell r="AD351" t="str">
            <v xml:space="preserve"> PERIODE 1-24 MAR</v>
          </cell>
          <cell r="AK351" t="str">
            <v xml:space="preserve">RECIEVED       </v>
          </cell>
          <cell r="AL351" t="str">
            <v>STATUS</v>
          </cell>
          <cell r="AM351" t="str">
            <v xml:space="preserve">TOTAL    GROSS </v>
          </cell>
          <cell r="AN351">
            <v>21</v>
          </cell>
          <cell r="AO351" t="str">
            <v>TAX JAN 2021</v>
          </cell>
          <cell r="AP351" t="str">
            <v>DAY</v>
          </cell>
          <cell r="AQ351" t="str">
            <v>( Rp )</v>
          </cell>
          <cell r="AR351" t="str">
            <v>UNION</v>
          </cell>
          <cell r="AS351" t="str">
            <v>RAPID TEST</v>
          </cell>
          <cell r="AT351" t="str">
            <v>OTHERS</v>
          </cell>
          <cell r="AU351" t="str">
            <v>KOPERASI</v>
          </cell>
          <cell r="AV351" t="str">
            <v>KESEHATAN</v>
          </cell>
          <cell r="AW351" t="str">
            <v>JHT</v>
          </cell>
          <cell r="AX351" t="str">
            <v>PENSIUN</v>
          </cell>
          <cell r="AY351" t="str">
            <v>DEDUCTION</v>
          </cell>
          <cell r="AZ351" t="str">
            <v>PAID</v>
          </cell>
          <cell r="BA351" t="str">
            <v>PPh21</v>
          </cell>
          <cell r="BB351" t="str">
            <v>TOTAL DEDUCTION</v>
          </cell>
          <cell r="BC351" t="str">
            <v>TOTAL PAID</v>
          </cell>
        </row>
        <row r="352">
          <cell r="F352" t="str">
            <v>110119-001</v>
          </cell>
          <cell r="G352" t="str">
            <v>Kontrak 2</v>
          </cell>
          <cell r="H352" t="str">
            <v>Sect Head</v>
          </cell>
          <cell r="I352" t="str">
            <v>Quality Control</v>
          </cell>
          <cell r="J352">
            <v>43476</v>
          </cell>
          <cell r="K352" t="b">
            <v>1</v>
          </cell>
          <cell r="L352">
            <v>43476</v>
          </cell>
          <cell r="M352">
            <v>2</v>
          </cell>
          <cell r="N352">
            <v>4</v>
          </cell>
          <cell r="O352">
            <v>13</v>
          </cell>
          <cell r="Q352">
            <v>6250000</v>
          </cell>
          <cell r="R352">
            <v>6250000</v>
          </cell>
          <cell r="S352">
            <v>6250000</v>
          </cell>
          <cell r="T352">
            <v>1500000</v>
          </cell>
          <cell r="U352">
            <v>0</v>
          </cell>
          <cell r="V352">
            <v>250000</v>
          </cell>
          <cell r="W352">
            <v>8000000</v>
          </cell>
          <cell r="X352">
            <v>5</v>
          </cell>
          <cell r="Z352">
            <v>16</v>
          </cell>
          <cell r="AB352">
            <v>21</v>
          </cell>
          <cell r="AC352">
            <v>1904761.9047619049</v>
          </cell>
          <cell r="AD352">
            <v>6095238.0952380951</v>
          </cell>
          <cell r="AE352">
            <v>8000000</v>
          </cell>
          <cell r="AF352">
            <v>0</v>
          </cell>
          <cell r="AG352">
            <v>8000000</v>
          </cell>
          <cell r="AH352" t="b">
            <v>1</v>
          </cell>
          <cell r="AK352">
            <v>8000000</v>
          </cell>
          <cell r="AL352" t="str">
            <v>K2</v>
          </cell>
          <cell r="AM352">
            <v>8000000</v>
          </cell>
          <cell r="AN352">
            <v>107072</v>
          </cell>
          <cell r="AQ352">
            <v>0</v>
          </cell>
          <cell r="AS352">
            <v>31700</v>
          </cell>
          <cell r="AT352">
            <v>2613833</v>
          </cell>
          <cell r="AU352">
            <v>10000</v>
          </cell>
          <cell r="AV352">
            <v>80000</v>
          </cell>
          <cell r="AW352">
            <v>160000</v>
          </cell>
          <cell r="AX352">
            <v>80000</v>
          </cell>
          <cell r="AY352">
            <v>3082605</v>
          </cell>
          <cell r="AZ352">
            <v>4917395</v>
          </cell>
          <cell r="BA352">
            <v>107072</v>
          </cell>
          <cell r="BB352">
            <v>2975533</v>
          </cell>
          <cell r="BC352">
            <v>5024467</v>
          </cell>
        </row>
        <row r="353">
          <cell r="F353" t="str">
            <v>290319-002</v>
          </cell>
          <cell r="G353" t="str">
            <v>Tetap</v>
          </cell>
          <cell r="H353" t="str">
            <v>Sect Head</v>
          </cell>
          <cell r="I353" t="str">
            <v>Quality Control</v>
          </cell>
          <cell r="J353" t="str">
            <v>29 Maret 2019</v>
          </cell>
          <cell r="K353" t="b">
            <v>0</v>
          </cell>
          <cell r="L353">
            <v>43553</v>
          </cell>
          <cell r="M353">
            <v>2</v>
          </cell>
          <cell r="N353">
            <v>1</v>
          </cell>
          <cell r="O353">
            <v>25</v>
          </cell>
          <cell r="Q353">
            <v>7300000</v>
          </cell>
          <cell r="R353">
            <v>7300000</v>
          </cell>
          <cell r="S353">
            <v>7300000</v>
          </cell>
          <cell r="T353">
            <v>1500000</v>
          </cell>
          <cell r="U353">
            <v>300000</v>
          </cell>
          <cell r="V353">
            <v>440000</v>
          </cell>
          <cell r="W353">
            <v>9540000</v>
          </cell>
          <cell r="X353">
            <v>5</v>
          </cell>
          <cell r="Z353">
            <v>16</v>
          </cell>
          <cell r="AB353">
            <v>21</v>
          </cell>
          <cell r="AC353">
            <v>2271428.5714285714</v>
          </cell>
          <cell r="AD353">
            <v>7268571.4285714282</v>
          </cell>
          <cell r="AE353">
            <v>9540000</v>
          </cell>
          <cell r="AF353">
            <v>0</v>
          </cell>
          <cell r="AG353">
            <v>9540000</v>
          </cell>
          <cell r="AH353" t="b">
            <v>1</v>
          </cell>
          <cell r="AK353">
            <v>9540000</v>
          </cell>
          <cell r="AL353" t="str">
            <v>K3</v>
          </cell>
          <cell r="AM353">
            <v>9540000</v>
          </cell>
          <cell r="AN353">
            <v>162584.45000000001</v>
          </cell>
          <cell r="AQ353">
            <v>0</v>
          </cell>
          <cell r="AS353">
            <v>31700</v>
          </cell>
          <cell r="AT353">
            <v>2359067</v>
          </cell>
          <cell r="AV353">
            <v>90860</v>
          </cell>
          <cell r="AW353">
            <v>190800</v>
          </cell>
          <cell r="AX353">
            <v>87546</v>
          </cell>
          <cell r="AY353">
            <v>2922557</v>
          </cell>
          <cell r="AZ353">
            <v>6617443</v>
          </cell>
          <cell r="BA353">
            <v>162584.45000000001</v>
          </cell>
          <cell r="BB353">
            <v>2759973</v>
          </cell>
          <cell r="BC353">
            <v>6780027</v>
          </cell>
        </row>
        <row r="354">
          <cell r="F354" t="str">
            <v>040814-329</v>
          </cell>
          <cell r="G354" t="str">
            <v>Tetap</v>
          </cell>
          <cell r="H354" t="str">
            <v>Sect Head</v>
          </cell>
          <cell r="I354" t="str">
            <v>Quality Control</v>
          </cell>
          <cell r="J354">
            <v>41855</v>
          </cell>
          <cell r="K354" t="b">
            <v>1</v>
          </cell>
          <cell r="L354">
            <v>41855</v>
          </cell>
          <cell r="M354">
            <v>6</v>
          </cell>
          <cell r="N354">
            <v>9</v>
          </cell>
          <cell r="O354">
            <v>20</v>
          </cell>
          <cell r="Q354">
            <v>5843082</v>
          </cell>
          <cell r="R354">
            <v>5843082</v>
          </cell>
          <cell r="S354">
            <v>6343082</v>
          </cell>
          <cell r="T354">
            <v>1500000</v>
          </cell>
          <cell r="U354">
            <v>0</v>
          </cell>
          <cell r="V354">
            <v>0</v>
          </cell>
          <cell r="W354">
            <v>7843082</v>
          </cell>
          <cell r="X354">
            <v>5</v>
          </cell>
          <cell r="Z354">
            <v>16</v>
          </cell>
          <cell r="AB354">
            <v>21</v>
          </cell>
          <cell r="AC354">
            <v>1867400.4761904762</v>
          </cell>
          <cell r="AD354">
            <v>5975681.5238095243</v>
          </cell>
          <cell r="AE354">
            <v>7843082</v>
          </cell>
          <cell r="AF354">
            <v>0</v>
          </cell>
          <cell r="AG354">
            <v>7843082</v>
          </cell>
          <cell r="AH354" t="b">
            <v>1</v>
          </cell>
          <cell r="AK354">
            <v>7843082</v>
          </cell>
          <cell r="AL354" t="str">
            <v>K1</v>
          </cell>
          <cell r="AM354">
            <v>7843082</v>
          </cell>
          <cell r="AN354">
            <v>116305.16105050004</v>
          </cell>
          <cell r="AQ354">
            <v>0</v>
          </cell>
          <cell r="AR354">
            <v>38000</v>
          </cell>
          <cell r="AS354">
            <v>31700</v>
          </cell>
          <cell r="AU354">
            <v>10000</v>
          </cell>
          <cell r="AV354">
            <v>68430.820000000007</v>
          </cell>
          <cell r="AW354">
            <v>156861.64000000001</v>
          </cell>
          <cell r="AX354">
            <v>78430.820000000007</v>
          </cell>
          <cell r="AY354">
            <v>499728</v>
          </cell>
          <cell r="AZ354">
            <v>7343354</v>
          </cell>
          <cell r="BA354">
            <v>116305.16105050004</v>
          </cell>
          <cell r="BB354">
            <v>383423</v>
          </cell>
          <cell r="BC354">
            <v>7459659</v>
          </cell>
        </row>
        <row r="355">
          <cell r="F355" t="str">
            <v>040814-328</v>
          </cell>
          <cell r="G355" t="str">
            <v>Tetap</v>
          </cell>
          <cell r="H355" t="str">
            <v>Leader</v>
          </cell>
          <cell r="I355" t="str">
            <v>Quality Control</v>
          </cell>
          <cell r="J355">
            <v>41855</v>
          </cell>
          <cell r="K355" t="b">
            <v>1</v>
          </cell>
          <cell r="L355">
            <v>41855</v>
          </cell>
          <cell r="M355">
            <v>6</v>
          </cell>
          <cell r="N355">
            <v>9</v>
          </cell>
          <cell r="O355">
            <v>20</v>
          </cell>
          <cell r="Q355">
            <v>5343082</v>
          </cell>
          <cell r="R355">
            <v>4924046</v>
          </cell>
          <cell r="S355">
            <v>5343083</v>
          </cell>
          <cell r="T355">
            <v>500000</v>
          </cell>
          <cell r="U355">
            <v>0</v>
          </cell>
          <cell r="V355">
            <v>0</v>
          </cell>
          <cell r="W355">
            <v>5843083</v>
          </cell>
          <cell r="X355">
            <v>5</v>
          </cell>
          <cell r="Z355">
            <v>16</v>
          </cell>
          <cell r="AB355">
            <v>21</v>
          </cell>
          <cell r="AC355">
            <v>1391210.2380952381</v>
          </cell>
          <cell r="AD355">
            <v>4451872.7619047621</v>
          </cell>
          <cell r="AE355">
            <v>5843083</v>
          </cell>
          <cell r="AF355">
            <v>0</v>
          </cell>
          <cell r="AG355">
            <v>5843083</v>
          </cell>
          <cell r="AH355" t="b">
            <v>1</v>
          </cell>
          <cell r="AK355">
            <v>5843083</v>
          </cell>
          <cell r="AL355" t="str">
            <v>K2</v>
          </cell>
          <cell r="AM355">
            <v>5843083</v>
          </cell>
          <cell r="AN355">
            <v>2374.7095907499393</v>
          </cell>
          <cell r="AQ355">
            <v>0</v>
          </cell>
          <cell r="AR355">
            <v>38000</v>
          </cell>
          <cell r="AS355">
            <v>31700</v>
          </cell>
          <cell r="AU355">
            <v>10000</v>
          </cell>
          <cell r="AV355">
            <v>58430.83</v>
          </cell>
          <cell r="AW355">
            <v>116861.66</v>
          </cell>
          <cell r="AX355">
            <v>58430.83</v>
          </cell>
          <cell r="AY355">
            <v>315798</v>
          </cell>
          <cell r="AZ355">
            <v>5527285</v>
          </cell>
          <cell r="BA355">
            <v>2374.7095907499393</v>
          </cell>
          <cell r="BB355">
            <v>313423</v>
          </cell>
          <cell r="BC355">
            <v>5529660</v>
          </cell>
        </row>
        <row r="356">
          <cell r="F356" t="str">
            <v>011018-007</v>
          </cell>
          <cell r="G356" t="str">
            <v>Tetap</v>
          </cell>
          <cell r="H356" t="str">
            <v>Leader</v>
          </cell>
          <cell r="I356" t="str">
            <v>Quality Control</v>
          </cell>
          <cell r="J356">
            <v>43374</v>
          </cell>
          <cell r="K356" t="b">
            <v>1</v>
          </cell>
          <cell r="L356">
            <v>43374</v>
          </cell>
          <cell r="M356">
            <v>2</v>
          </cell>
          <cell r="N356">
            <v>7</v>
          </cell>
          <cell r="O356">
            <v>23</v>
          </cell>
          <cell r="Q356">
            <v>5343082</v>
          </cell>
          <cell r="R356">
            <v>4924046</v>
          </cell>
          <cell r="S356">
            <v>5343083</v>
          </cell>
          <cell r="T356">
            <v>500000</v>
          </cell>
          <cell r="U356">
            <v>0</v>
          </cell>
          <cell r="V356">
            <v>0</v>
          </cell>
          <cell r="W356">
            <v>5843083</v>
          </cell>
          <cell r="X356">
            <v>5</v>
          </cell>
          <cell r="Z356">
            <v>16</v>
          </cell>
          <cell r="AB356">
            <v>21</v>
          </cell>
          <cell r="AC356">
            <v>1391210.2380952381</v>
          </cell>
          <cell r="AD356">
            <v>4451872.7619047621</v>
          </cell>
          <cell r="AE356">
            <v>5843083</v>
          </cell>
          <cell r="AF356">
            <v>0</v>
          </cell>
          <cell r="AG356">
            <v>5843083</v>
          </cell>
          <cell r="AH356" t="b">
            <v>1</v>
          </cell>
          <cell r="AK356">
            <v>5843083</v>
          </cell>
          <cell r="AL356" t="str">
            <v>K2</v>
          </cell>
          <cell r="AM356">
            <v>5564841</v>
          </cell>
          <cell r="AN356">
            <v>0</v>
          </cell>
          <cell r="AP356">
            <v>1</v>
          </cell>
          <cell r="AQ356">
            <v>278242</v>
          </cell>
          <cell r="AS356">
            <v>31700</v>
          </cell>
          <cell r="AV356">
            <v>58430.83</v>
          </cell>
          <cell r="AW356">
            <v>116861.66</v>
          </cell>
          <cell r="AX356">
            <v>58430.83</v>
          </cell>
          <cell r="AY356">
            <v>543665</v>
          </cell>
          <cell r="AZ356">
            <v>5299418</v>
          </cell>
          <cell r="BA356">
            <v>0</v>
          </cell>
          <cell r="BB356">
            <v>543665</v>
          </cell>
          <cell r="BC356">
            <v>5299418</v>
          </cell>
        </row>
        <row r="357">
          <cell r="F357" t="str">
            <v>040816-012</v>
          </cell>
          <cell r="G357" t="str">
            <v>Tetap</v>
          </cell>
          <cell r="H357" t="str">
            <v>Leader</v>
          </cell>
          <cell r="I357" t="str">
            <v>Quality Control</v>
          </cell>
          <cell r="J357">
            <v>42586</v>
          </cell>
          <cell r="K357" t="b">
            <v>1</v>
          </cell>
          <cell r="L357">
            <v>42586</v>
          </cell>
          <cell r="M357">
            <v>4</v>
          </cell>
          <cell r="N357">
            <v>9</v>
          </cell>
          <cell r="O357">
            <v>20</v>
          </cell>
          <cell r="Q357">
            <v>5343082</v>
          </cell>
          <cell r="R357">
            <v>4924046</v>
          </cell>
          <cell r="S357">
            <v>5343083</v>
          </cell>
          <cell r="T357">
            <v>500000</v>
          </cell>
          <cell r="U357">
            <v>0</v>
          </cell>
          <cell r="V357">
            <v>215000</v>
          </cell>
          <cell r="W357">
            <v>6058083</v>
          </cell>
          <cell r="X357">
            <v>5</v>
          </cell>
          <cell r="Z357">
            <v>16</v>
          </cell>
          <cell r="AB357">
            <v>21</v>
          </cell>
          <cell r="AC357">
            <v>1442400.7142857141</v>
          </cell>
          <cell r="AD357">
            <v>4615682.2857142854</v>
          </cell>
          <cell r="AE357">
            <v>6058083</v>
          </cell>
          <cell r="AF357">
            <v>0</v>
          </cell>
          <cell r="AG357">
            <v>6058083</v>
          </cell>
          <cell r="AH357" t="b">
            <v>1</v>
          </cell>
          <cell r="AK357">
            <v>6058083</v>
          </cell>
          <cell r="AL357" t="str">
            <v>K2</v>
          </cell>
          <cell r="AM357">
            <v>6058083</v>
          </cell>
          <cell r="AN357">
            <v>12402.363340749966</v>
          </cell>
          <cell r="AQ357">
            <v>0</v>
          </cell>
          <cell r="AR357">
            <v>38000</v>
          </cell>
          <cell r="AS357">
            <v>31700</v>
          </cell>
          <cell r="AV357">
            <v>58430.83</v>
          </cell>
          <cell r="AW357">
            <v>121161.66</v>
          </cell>
          <cell r="AX357">
            <v>60580.83</v>
          </cell>
          <cell r="AY357">
            <v>322276</v>
          </cell>
          <cell r="AZ357">
            <v>5735807</v>
          </cell>
          <cell r="BA357">
            <v>12402.363340749966</v>
          </cell>
          <cell r="BB357">
            <v>309873</v>
          </cell>
          <cell r="BC357">
            <v>5748210</v>
          </cell>
        </row>
        <row r="358">
          <cell r="F358" t="str">
            <v>070817-023</v>
          </cell>
          <cell r="G358" t="str">
            <v>Tetap</v>
          </cell>
          <cell r="H358" t="str">
            <v>Leader</v>
          </cell>
          <cell r="I358" t="str">
            <v>Quality Control</v>
          </cell>
          <cell r="J358">
            <v>42954</v>
          </cell>
          <cell r="K358" t="b">
            <v>1</v>
          </cell>
          <cell r="L358">
            <v>42954</v>
          </cell>
          <cell r="M358">
            <v>3</v>
          </cell>
          <cell r="N358">
            <v>9</v>
          </cell>
          <cell r="O358">
            <v>17</v>
          </cell>
          <cell r="Q358">
            <v>5343082</v>
          </cell>
          <cell r="R358">
            <v>4924046</v>
          </cell>
          <cell r="S358">
            <v>5343083</v>
          </cell>
          <cell r="T358">
            <v>500000</v>
          </cell>
          <cell r="U358">
            <v>0</v>
          </cell>
          <cell r="V358">
            <v>115000</v>
          </cell>
          <cell r="W358">
            <v>5958083</v>
          </cell>
          <cell r="X358">
            <v>5</v>
          </cell>
          <cell r="Z358">
            <v>16</v>
          </cell>
          <cell r="AB358">
            <v>21</v>
          </cell>
          <cell r="AC358">
            <v>1418591.1904761905</v>
          </cell>
          <cell r="AD358">
            <v>4539491.8095238097</v>
          </cell>
          <cell r="AE358">
            <v>5958083</v>
          </cell>
          <cell r="AF358">
            <v>0</v>
          </cell>
          <cell r="AG358">
            <v>5958083</v>
          </cell>
          <cell r="AH358" t="b">
            <v>1</v>
          </cell>
          <cell r="AK358">
            <v>5958083</v>
          </cell>
          <cell r="AL358" t="str">
            <v>TK</v>
          </cell>
          <cell r="AM358">
            <v>5958083</v>
          </cell>
          <cell r="AN358">
            <v>63608.338340749964</v>
          </cell>
          <cell r="AQ358">
            <v>0</v>
          </cell>
          <cell r="AR358">
            <v>38000</v>
          </cell>
          <cell r="AS358">
            <v>31700</v>
          </cell>
          <cell r="AU358">
            <v>10000</v>
          </cell>
          <cell r="AV358">
            <v>56430.83</v>
          </cell>
          <cell r="AW358">
            <v>119161.66</v>
          </cell>
          <cell r="AX358">
            <v>59580.83</v>
          </cell>
          <cell r="AY358">
            <v>378482</v>
          </cell>
          <cell r="AZ358">
            <v>5579601</v>
          </cell>
          <cell r="BA358">
            <v>63608.338340749964</v>
          </cell>
          <cell r="BB358">
            <v>314873</v>
          </cell>
          <cell r="BC358">
            <v>5643210</v>
          </cell>
        </row>
        <row r="359">
          <cell r="F359" t="str">
            <v>010217-014</v>
          </cell>
          <cell r="G359" t="str">
            <v>Tetap</v>
          </cell>
          <cell r="H359" t="str">
            <v>Leader</v>
          </cell>
          <cell r="I359" t="str">
            <v>Quality Control</v>
          </cell>
          <cell r="J359">
            <v>42767</v>
          </cell>
          <cell r="K359" t="b">
            <v>1</v>
          </cell>
          <cell r="L359">
            <v>42767</v>
          </cell>
          <cell r="M359">
            <v>4</v>
          </cell>
          <cell r="N359">
            <v>3</v>
          </cell>
          <cell r="O359">
            <v>23</v>
          </cell>
          <cell r="Q359">
            <v>5343082</v>
          </cell>
          <cell r="R359">
            <v>4924046</v>
          </cell>
          <cell r="S359">
            <v>5343083</v>
          </cell>
          <cell r="T359">
            <v>500000</v>
          </cell>
          <cell r="U359">
            <v>0</v>
          </cell>
          <cell r="V359">
            <v>200000</v>
          </cell>
          <cell r="W359">
            <v>6043083</v>
          </cell>
          <cell r="X359">
            <v>5</v>
          </cell>
          <cell r="Z359">
            <v>16</v>
          </cell>
          <cell r="AB359">
            <v>21</v>
          </cell>
          <cell r="AC359">
            <v>1438829.2857142859</v>
          </cell>
          <cell r="AD359">
            <v>4604253.7142857146</v>
          </cell>
          <cell r="AE359">
            <v>6043083</v>
          </cell>
          <cell r="AF359">
            <v>0</v>
          </cell>
          <cell r="AG359">
            <v>6043083</v>
          </cell>
          <cell r="AH359" t="b">
            <v>1</v>
          </cell>
          <cell r="AK359">
            <v>6043083</v>
          </cell>
          <cell r="AL359" t="str">
            <v>K2</v>
          </cell>
          <cell r="AM359">
            <v>6043083</v>
          </cell>
          <cell r="AN359">
            <v>11322.75959074994</v>
          </cell>
          <cell r="AQ359">
            <v>0</v>
          </cell>
          <cell r="AR359">
            <v>38000</v>
          </cell>
          <cell r="AS359">
            <v>31700</v>
          </cell>
          <cell r="AU359">
            <v>10000</v>
          </cell>
          <cell r="AV359">
            <v>56430.83</v>
          </cell>
          <cell r="AW359">
            <v>120861.66</v>
          </cell>
          <cell r="AX359">
            <v>60430.83</v>
          </cell>
          <cell r="AY359">
            <v>328746</v>
          </cell>
          <cell r="AZ359">
            <v>5714337</v>
          </cell>
          <cell r="BA359">
            <v>11322.75959074994</v>
          </cell>
          <cell r="BB359">
            <v>317423</v>
          </cell>
          <cell r="BC359">
            <v>5725660</v>
          </cell>
        </row>
        <row r="360">
          <cell r="F360" t="str">
            <v>041215-002</v>
          </cell>
          <cell r="G360" t="str">
            <v>Tetap</v>
          </cell>
          <cell r="H360" t="str">
            <v>Staff</v>
          </cell>
          <cell r="I360" t="str">
            <v>Quality Control</v>
          </cell>
          <cell r="J360">
            <v>42342</v>
          </cell>
          <cell r="K360" t="b">
            <v>1</v>
          </cell>
          <cell r="L360">
            <v>42342</v>
          </cell>
          <cell r="M360">
            <v>5</v>
          </cell>
          <cell r="N360">
            <v>5</v>
          </cell>
          <cell r="O360">
            <v>20</v>
          </cell>
          <cell r="Q360">
            <v>5343082</v>
          </cell>
          <cell r="R360">
            <v>4924046</v>
          </cell>
          <cell r="S360">
            <v>5343083</v>
          </cell>
          <cell r="T360">
            <v>0</v>
          </cell>
          <cell r="U360">
            <v>0</v>
          </cell>
          <cell r="V360">
            <v>0</v>
          </cell>
          <cell r="W360">
            <v>5343083</v>
          </cell>
          <cell r="X360">
            <v>5</v>
          </cell>
          <cell r="Z360">
            <v>16</v>
          </cell>
          <cell r="AB360">
            <v>21</v>
          </cell>
          <cell r="AC360">
            <v>1272162.6190476192</v>
          </cell>
          <cell r="AD360">
            <v>4070920.3809523811</v>
          </cell>
          <cell r="AE360">
            <v>5343083</v>
          </cell>
          <cell r="AF360">
            <v>0</v>
          </cell>
          <cell r="AG360">
            <v>5343083</v>
          </cell>
          <cell r="AH360" t="b">
            <v>1</v>
          </cell>
          <cell r="AK360">
            <v>5343083</v>
          </cell>
          <cell r="AL360" t="str">
            <v>K2</v>
          </cell>
          <cell r="AM360">
            <v>5343083</v>
          </cell>
          <cell r="AN360">
            <v>0</v>
          </cell>
          <cell r="AQ360">
            <v>0</v>
          </cell>
          <cell r="AR360">
            <v>38000</v>
          </cell>
          <cell r="AS360">
            <v>31700</v>
          </cell>
          <cell r="AU360">
            <v>10000</v>
          </cell>
          <cell r="AV360">
            <v>53430.83</v>
          </cell>
          <cell r="AW360">
            <v>106861.66</v>
          </cell>
          <cell r="AX360">
            <v>53430.83</v>
          </cell>
          <cell r="AY360">
            <v>293423</v>
          </cell>
          <cell r="AZ360">
            <v>5049660</v>
          </cell>
          <cell r="BA360">
            <v>0</v>
          </cell>
          <cell r="BB360">
            <v>293423</v>
          </cell>
          <cell r="BC360">
            <v>5049660</v>
          </cell>
        </row>
        <row r="361">
          <cell r="F361" t="str">
            <v>040814-358</v>
          </cell>
          <cell r="G361" t="str">
            <v>Tetap</v>
          </cell>
          <cell r="H361" t="str">
            <v>Pelaksana</v>
          </cell>
          <cell r="I361" t="str">
            <v>Quality Control</v>
          </cell>
          <cell r="J361">
            <v>41855</v>
          </cell>
          <cell r="K361" t="b">
            <v>1</v>
          </cell>
          <cell r="L361">
            <v>41855</v>
          </cell>
          <cell r="M361">
            <v>6</v>
          </cell>
          <cell r="N361">
            <v>9</v>
          </cell>
          <cell r="O361">
            <v>20</v>
          </cell>
          <cell r="Q361">
            <v>5343082</v>
          </cell>
          <cell r="R361">
            <v>4924046</v>
          </cell>
          <cell r="S361">
            <v>5343083</v>
          </cell>
          <cell r="T361">
            <v>0</v>
          </cell>
          <cell r="U361">
            <v>300000</v>
          </cell>
          <cell r="V361">
            <v>0</v>
          </cell>
          <cell r="W361">
            <v>5643083</v>
          </cell>
          <cell r="X361">
            <v>5</v>
          </cell>
          <cell r="Z361">
            <v>16</v>
          </cell>
          <cell r="AB361">
            <v>21</v>
          </cell>
          <cell r="AC361">
            <v>1343591.1904761905</v>
          </cell>
          <cell r="AD361">
            <v>4299491.8095238097</v>
          </cell>
          <cell r="AE361">
            <v>5643083</v>
          </cell>
          <cell r="AF361">
            <v>0</v>
          </cell>
          <cell r="AG361">
            <v>5643083</v>
          </cell>
          <cell r="AH361" t="b">
            <v>1</v>
          </cell>
          <cell r="AK361">
            <v>5643083</v>
          </cell>
          <cell r="AL361" t="str">
            <v>K1</v>
          </cell>
          <cell r="AM361">
            <v>5643083</v>
          </cell>
          <cell r="AN361">
            <v>10846.65959074997</v>
          </cell>
          <cell r="AQ361">
            <v>0</v>
          </cell>
          <cell r="AS361">
            <v>31700</v>
          </cell>
          <cell r="AU361">
            <v>10000</v>
          </cell>
          <cell r="AV361">
            <v>53430.83</v>
          </cell>
          <cell r="AW361">
            <v>112861.66</v>
          </cell>
          <cell r="AX361">
            <v>56430.83</v>
          </cell>
          <cell r="AY361">
            <v>275270</v>
          </cell>
          <cell r="AZ361">
            <v>5367813</v>
          </cell>
          <cell r="BA361">
            <v>10846.65959074997</v>
          </cell>
          <cell r="BB361">
            <v>264423</v>
          </cell>
          <cell r="BC361">
            <v>5378660</v>
          </cell>
        </row>
        <row r="362">
          <cell r="F362" t="str">
            <v>070817-033</v>
          </cell>
          <cell r="G362" t="str">
            <v>Tetap</v>
          </cell>
          <cell r="H362" t="str">
            <v>Leader</v>
          </cell>
          <cell r="I362" t="str">
            <v>Quality Control</v>
          </cell>
          <cell r="J362">
            <v>42954</v>
          </cell>
          <cell r="K362" t="b">
            <v>1</v>
          </cell>
          <cell r="L362">
            <v>42954</v>
          </cell>
          <cell r="M362">
            <v>3</v>
          </cell>
          <cell r="N362">
            <v>9</v>
          </cell>
          <cell r="O362">
            <v>17</v>
          </cell>
          <cell r="Q362">
            <v>5343082</v>
          </cell>
          <cell r="R362">
            <v>4924046</v>
          </cell>
          <cell r="S362">
            <v>5343083</v>
          </cell>
          <cell r="T362">
            <v>300000</v>
          </cell>
          <cell r="U362">
            <v>0</v>
          </cell>
          <cell r="V362">
            <v>200000</v>
          </cell>
          <cell r="W362">
            <v>5843083</v>
          </cell>
          <cell r="X362">
            <v>5</v>
          </cell>
          <cell r="Z362">
            <v>16</v>
          </cell>
          <cell r="AB362">
            <v>21</v>
          </cell>
          <cell r="AC362">
            <v>1391210.2380952381</v>
          </cell>
          <cell r="AD362">
            <v>4451872.7619047621</v>
          </cell>
          <cell r="AE362">
            <v>5843083</v>
          </cell>
          <cell r="AF362">
            <v>0</v>
          </cell>
          <cell r="AG362">
            <v>5843083</v>
          </cell>
          <cell r="AH362" t="b">
            <v>1</v>
          </cell>
          <cell r="AK362">
            <v>5843083</v>
          </cell>
          <cell r="AL362" t="str">
            <v>K3</v>
          </cell>
          <cell r="AM362">
            <v>5843083</v>
          </cell>
          <cell r="AN362">
            <v>0</v>
          </cell>
          <cell r="AQ362">
            <v>0</v>
          </cell>
          <cell r="AS362">
            <v>31700</v>
          </cell>
          <cell r="AV362">
            <v>53430.83</v>
          </cell>
          <cell r="AW362">
            <v>116861.66</v>
          </cell>
          <cell r="AX362">
            <v>58430.83</v>
          </cell>
          <cell r="AY362">
            <v>260423</v>
          </cell>
          <cell r="AZ362">
            <v>5582660</v>
          </cell>
          <cell r="BA362">
            <v>0</v>
          </cell>
          <cell r="BB362">
            <v>260423</v>
          </cell>
          <cell r="BC362">
            <v>5582660</v>
          </cell>
        </row>
        <row r="363">
          <cell r="F363" t="str">
            <v>070817-032</v>
          </cell>
          <cell r="G363" t="str">
            <v>Tetap</v>
          </cell>
          <cell r="H363" t="str">
            <v>Pelaksana</v>
          </cell>
          <cell r="I363" t="str">
            <v>Quality Control</v>
          </cell>
          <cell r="J363">
            <v>42954</v>
          </cell>
          <cell r="K363" t="b">
            <v>1</v>
          </cell>
          <cell r="L363">
            <v>42954</v>
          </cell>
          <cell r="M363">
            <v>3</v>
          </cell>
          <cell r="N363">
            <v>9</v>
          </cell>
          <cell r="O363">
            <v>17</v>
          </cell>
          <cell r="Q363">
            <v>5343082</v>
          </cell>
          <cell r="R363">
            <v>4924046</v>
          </cell>
          <cell r="S363">
            <v>5343083</v>
          </cell>
          <cell r="T363">
            <v>0</v>
          </cell>
          <cell r="U363">
            <v>0</v>
          </cell>
          <cell r="V363">
            <v>0</v>
          </cell>
          <cell r="W363">
            <v>5343083</v>
          </cell>
          <cell r="X363">
            <v>5</v>
          </cell>
          <cell r="Z363">
            <v>16</v>
          </cell>
          <cell r="AB363">
            <v>21</v>
          </cell>
          <cell r="AC363">
            <v>1272162.6190476192</v>
          </cell>
          <cell r="AD363">
            <v>4070920.3809523811</v>
          </cell>
          <cell r="AE363">
            <v>5343083</v>
          </cell>
          <cell r="AF363">
            <v>0</v>
          </cell>
          <cell r="AG363">
            <v>5343083</v>
          </cell>
          <cell r="AH363" t="b">
            <v>1</v>
          </cell>
          <cell r="AK363">
            <v>5343083</v>
          </cell>
          <cell r="AL363" t="str">
            <v>K2</v>
          </cell>
          <cell r="AM363">
            <v>5343083</v>
          </cell>
          <cell r="AN363">
            <v>0</v>
          </cell>
          <cell r="AQ363">
            <v>0</v>
          </cell>
          <cell r="AS363">
            <v>31700</v>
          </cell>
          <cell r="AV363">
            <v>53430.83</v>
          </cell>
          <cell r="AW363">
            <v>106861.66</v>
          </cell>
          <cell r="AX363">
            <v>53430.83</v>
          </cell>
          <cell r="AY363">
            <v>245423</v>
          </cell>
          <cell r="AZ363">
            <v>5097660</v>
          </cell>
          <cell r="BA363">
            <v>0</v>
          </cell>
          <cell r="BB363">
            <v>245423</v>
          </cell>
          <cell r="BC363">
            <v>5097660</v>
          </cell>
        </row>
        <row r="364">
          <cell r="F364" t="str">
            <v>240220-005</v>
          </cell>
          <cell r="G364" t="str">
            <v>Recall Kontrak 2</v>
          </cell>
          <cell r="H364" t="str">
            <v>Pelaksana</v>
          </cell>
          <cell r="I364" t="str">
            <v>Quality Control</v>
          </cell>
          <cell r="J364">
            <v>43885</v>
          </cell>
          <cell r="K364" t="b">
            <v>1</v>
          </cell>
          <cell r="L364">
            <v>43885</v>
          </cell>
          <cell r="M364">
            <v>1</v>
          </cell>
          <cell r="N364">
            <v>3</v>
          </cell>
          <cell r="O364">
            <v>0</v>
          </cell>
          <cell r="Q364">
            <v>5343082</v>
          </cell>
          <cell r="R364">
            <v>4924046</v>
          </cell>
          <cell r="S364">
            <v>5343083</v>
          </cell>
          <cell r="T364">
            <v>0</v>
          </cell>
          <cell r="U364">
            <v>0</v>
          </cell>
          <cell r="V364">
            <v>0</v>
          </cell>
          <cell r="W364">
            <v>5343083</v>
          </cell>
          <cell r="X364">
            <v>5</v>
          </cell>
          <cell r="Z364">
            <v>16</v>
          </cell>
          <cell r="AB364">
            <v>21</v>
          </cell>
          <cell r="AC364">
            <v>1272162.6190476192</v>
          </cell>
          <cell r="AD364">
            <v>4070920.3809523811</v>
          </cell>
          <cell r="AE364">
            <v>5343083</v>
          </cell>
          <cell r="AF364">
            <v>0</v>
          </cell>
          <cell r="AG364">
            <v>5343083</v>
          </cell>
          <cell r="AH364" t="b">
            <v>1</v>
          </cell>
          <cell r="AK364">
            <v>5343083</v>
          </cell>
          <cell r="AL364" t="str">
            <v>K1</v>
          </cell>
          <cell r="AM364">
            <v>5343083</v>
          </cell>
          <cell r="AN364">
            <v>0</v>
          </cell>
          <cell r="AQ364">
            <v>0</v>
          </cell>
          <cell r="AR364">
            <v>38000</v>
          </cell>
          <cell r="AS364">
            <v>31700</v>
          </cell>
          <cell r="AU364">
            <v>10000</v>
          </cell>
          <cell r="AV364">
            <v>53430.83</v>
          </cell>
          <cell r="AW364">
            <v>106861.66</v>
          </cell>
          <cell r="AX364">
            <v>53430.83</v>
          </cell>
          <cell r="AY364">
            <v>293423</v>
          </cell>
          <cell r="AZ364">
            <v>5049660</v>
          </cell>
          <cell r="BA364">
            <v>0</v>
          </cell>
          <cell r="BB364">
            <v>293423</v>
          </cell>
          <cell r="BC364">
            <v>5049660</v>
          </cell>
        </row>
        <row r="365">
          <cell r="F365" t="str">
            <v>270521-001</v>
          </cell>
          <cell r="G365" t="str">
            <v>Recall Kontrak 1</v>
          </cell>
          <cell r="H365" t="str">
            <v>Pelaksana</v>
          </cell>
          <cell r="I365" t="str">
            <v>Quality Control</v>
          </cell>
          <cell r="J365">
            <v>44343</v>
          </cell>
          <cell r="K365" t="b">
            <v>1</v>
          </cell>
          <cell r="L365">
            <v>44343</v>
          </cell>
          <cell r="M365" t="e">
            <v>#NUM!</v>
          </cell>
          <cell r="N365" t="e">
            <v>#NUM!</v>
          </cell>
          <cell r="O365" t="e">
            <v>#NUM!</v>
          </cell>
          <cell r="Q365">
            <v>5343082</v>
          </cell>
          <cell r="R365">
            <v>4924046</v>
          </cell>
          <cell r="S365">
            <v>5343083</v>
          </cell>
          <cell r="T365">
            <v>0</v>
          </cell>
          <cell r="U365">
            <v>0</v>
          </cell>
          <cell r="V365">
            <v>0</v>
          </cell>
          <cell r="W365">
            <v>5343083</v>
          </cell>
          <cell r="X365">
            <v>5</v>
          </cell>
          <cell r="Z365">
            <v>16</v>
          </cell>
          <cell r="AB365">
            <v>21</v>
          </cell>
          <cell r="AC365">
            <v>1272162.6190476192</v>
          </cell>
          <cell r="AD365">
            <v>4070920.3809523811</v>
          </cell>
          <cell r="AE365">
            <v>5343083</v>
          </cell>
          <cell r="AF365">
            <v>0</v>
          </cell>
          <cell r="AG365">
            <v>5343083</v>
          </cell>
          <cell r="AH365" t="b">
            <v>1</v>
          </cell>
          <cell r="AK365">
            <v>5343083</v>
          </cell>
          <cell r="AL365" t="str">
            <v>K1</v>
          </cell>
          <cell r="AM365">
            <v>5343083</v>
          </cell>
          <cell r="AN365">
            <v>0</v>
          </cell>
          <cell r="AQ365">
            <v>0</v>
          </cell>
          <cell r="AR365">
            <v>38000</v>
          </cell>
          <cell r="AS365">
            <v>31700</v>
          </cell>
          <cell r="AU365">
            <v>10000</v>
          </cell>
          <cell r="AV365">
            <v>53430.83</v>
          </cell>
          <cell r="AW365">
            <v>106861.66</v>
          </cell>
          <cell r="AX365">
            <v>53430.83</v>
          </cell>
          <cell r="AY365">
            <v>293423</v>
          </cell>
          <cell r="AZ365">
            <v>5049660</v>
          </cell>
          <cell r="BA365">
            <v>0</v>
          </cell>
          <cell r="BB365">
            <v>293423</v>
          </cell>
          <cell r="BC365">
            <v>5049660</v>
          </cell>
        </row>
        <row r="366">
          <cell r="F366" t="str">
            <v>040220-001</v>
          </cell>
          <cell r="G366" t="str">
            <v>Pembaharuan</v>
          </cell>
          <cell r="H366" t="str">
            <v>Pelaksana</v>
          </cell>
          <cell r="I366" t="str">
            <v>Quality Control</v>
          </cell>
          <cell r="J366">
            <v>43865</v>
          </cell>
          <cell r="K366" t="b">
            <v>1</v>
          </cell>
          <cell r="L366">
            <v>43865</v>
          </cell>
          <cell r="M366">
            <v>1</v>
          </cell>
          <cell r="N366">
            <v>3</v>
          </cell>
          <cell r="O366">
            <v>20</v>
          </cell>
          <cell r="Q366">
            <v>5343082</v>
          </cell>
          <cell r="R366">
            <v>4924046</v>
          </cell>
          <cell r="S366">
            <v>5343083</v>
          </cell>
          <cell r="T366">
            <v>0</v>
          </cell>
          <cell r="U366">
            <v>0</v>
          </cell>
          <cell r="V366">
            <v>0</v>
          </cell>
          <cell r="W366">
            <v>5343083</v>
          </cell>
          <cell r="X366">
            <v>5</v>
          </cell>
          <cell r="Z366">
            <v>16</v>
          </cell>
          <cell r="AB366">
            <v>21</v>
          </cell>
          <cell r="AC366">
            <v>1272162.6190476192</v>
          </cell>
          <cell r="AD366">
            <v>4070920.3809523811</v>
          </cell>
          <cell r="AE366">
            <v>5343083</v>
          </cell>
          <cell r="AF366">
            <v>0</v>
          </cell>
          <cell r="AG366">
            <v>5343083</v>
          </cell>
          <cell r="AH366" t="b">
            <v>1</v>
          </cell>
          <cell r="AK366">
            <v>5343083</v>
          </cell>
          <cell r="AL366" t="str">
            <v>K2</v>
          </cell>
          <cell r="AM366">
            <v>5343083</v>
          </cell>
          <cell r="AN366">
            <v>0</v>
          </cell>
          <cell r="AQ366">
            <v>0</v>
          </cell>
          <cell r="AR366">
            <v>38000</v>
          </cell>
          <cell r="AS366">
            <v>31700</v>
          </cell>
          <cell r="AU366">
            <v>10000</v>
          </cell>
          <cell r="AV366">
            <v>53430.83</v>
          </cell>
          <cell r="AW366">
            <v>106861.66</v>
          </cell>
          <cell r="AX366">
            <v>53430.83</v>
          </cell>
          <cell r="AY366">
            <v>293423</v>
          </cell>
          <cell r="AZ366">
            <v>5049660</v>
          </cell>
          <cell r="BA366">
            <v>0</v>
          </cell>
          <cell r="BB366">
            <v>293423</v>
          </cell>
          <cell r="BC366">
            <v>5049660</v>
          </cell>
        </row>
        <row r="367">
          <cell r="F367" t="str">
            <v>231120-001</v>
          </cell>
          <cell r="G367" t="str">
            <v>Kontrak 1</v>
          </cell>
          <cell r="H367" t="str">
            <v>Pelaksana</v>
          </cell>
          <cell r="I367" t="str">
            <v>Quality Control</v>
          </cell>
          <cell r="J367">
            <v>44158</v>
          </cell>
          <cell r="K367" t="b">
            <v>1</v>
          </cell>
          <cell r="L367">
            <v>44158</v>
          </cell>
          <cell r="M367">
            <v>0</v>
          </cell>
          <cell r="N367">
            <v>6</v>
          </cell>
          <cell r="O367">
            <v>1</v>
          </cell>
          <cell r="Q367">
            <v>5343082</v>
          </cell>
          <cell r="R367">
            <v>4924046</v>
          </cell>
          <cell r="S367">
            <v>5343083</v>
          </cell>
          <cell r="T367">
            <v>0</v>
          </cell>
          <cell r="U367">
            <v>0</v>
          </cell>
          <cell r="V367">
            <v>0</v>
          </cell>
          <cell r="W367">
            <v>5343083</v>
          </cell>
          <cell r="X367">
            <v>5</v>
          </cell>
          <cell r="Z367">
            <v>16</v>
          </cell>
          <cell r="AB367">
            <v>21</v>
          </cell>
          <cell r="AC367">
            <v>1272162.6190476192</v>
          </cell>
          <cell r="AD367">
            <v>4070920.3809523811</v>
          </cell>
          <cell r="AE367">
            <v>5343083</v>
          </cell>
          <cell r="AF367">
            <v>0</v>
          </cell>
          <cell r="AG367">
            <v>5343083</v>
          </cell>
          <cell r="AH367" t="b">
            <v>1</v>
          </cell>
          <cell r="AK367">
            <v>5343083</v>
          </cell>
          <cell r="AL367" t="str">
            <v>K1</v>
          </cell>
          <cell r="AM367">
            <v>5343083</v>
          </cell>
          <cell r="AN367">
            <v>0</v>
          </cell>
          <cell r="AQ367">
            <v>0</v>
          </cell>
          <cell r="AR367">
            <v>38000</v>
          </cell>
          <cell r="AS367">
            <v>31700</v>
          </cell>
          <cell r="AU367">
            <v>10000</v>
          </cell>
          <cell r="AV367">
            <v>53430.83</v>
          </cell>
          <cell r="AW367">
            <v>106861.66</v>
          </cell>
          <cell r="AX367">
            <v>53430.83</v>
          </cell>
          <cell r="AY367">
            <v>293423</v>
          </cell>
          <cell r="AZ367">
            <v>5049660</v>
          </cell>
          <cell r="BA367">
            <v>0</v>
          </cell>
          <cell r="BB367">
            <v>293423</v>
          </cell>
          <cell r="BC367">
            <v>5049660</v>
          </cell>
        </row>
        <row r="368">
          <cell r="F368" t="str">
            <v>070521-001</v>
          </cell>
          <cell r="G368" t="str">
            <v>Recall Kontrak 1</v>
          </cell>
          <cell r="H368" t="str">
            <v>Pelaksana</v>
          </cell>
          <cell r="I368" t="str">
            <v>Quality Control</v>
          </cell>
          <cell r="J368">
            <v>44323</v>
          </cell>
          <cell r="K368" t="b">
            <v>1</v>
          </cell>
          <cell r="L368">
            <v>44323</v>
          </cell>
          <cell r="M368">
            <v>0</v>
          </cell>
          <cell r="N368">
            <v>0</v>
          </cell>
          <cell r="O368">
            <v>17</v>
          </cell>
          <cell r="Q368">
            <v>5343082</v>
          </cell>
          <cell r="R368">
            <v>4924046</v>
          </cell>
          <cell r="S368">
            <v>5343083</v>
          </cell>
          <cell r="T368">
            <v>0</v>
          </cell>
          <cell r="U368">
            <v>0</v>
          </cell>
          <cell r="V368">
            <v>0</v>
          </cell>
          <cell r="W368">
            <v>5343083</v>
          </cell>
          <cell r="X368">
            <v>5</v>
          </cell>
          <cell r="Z368">
            <v>16</v>
          </cell>
          <cell r="AB368">
            <v>21</v>
          </cell>
          <cell r="AC368">
            <v>1272162.6190476192</v>
          </cell>
          <cell r="AD368">
            <v>4070920.3809523811</v>
          </cell>
          <cell r="AE368">
            <v>5343083</v>
          </cell>
          <cell r="AF368">
            <v>0</v>
          </cell>
          <cell r="AG368">
            <v>5343083</v>
          </cell>
          <cell r="AH368" t="b">
            <v>1</v>
          </cell>
          <cell r="AK368">
            <v>5343083</v>
          </cell>
          <cell r="AL368" t="str">
            <v>K0</v>
          </cell>
          <cell r="AM368">
            <v>5088650</v>
          </cell>
          <cell r="AN368">
            <v>3519.0170907499892</v>
          </cell>
          <cell r="AP368">
            <v>1</v>
          </cell>
          <cell r="AQ368">
            <v>254433</v>
          </cell>
          <cell r="AR368">
            <v>38000</v>
          </cell>
          <cell r="AS368">
            <v>31700</v>
          </cell>
          <cell r="AU368">
            <v>10000</v>
          </cell>
          <cell r="AV368">
            <v>53430.83</v>
          </cell>
          <cell r="AW368">
            <v>106861.66</v>
          </cell>
          <cell r="AX368">
            <v>53430.83</v>
          </cell>
          <cell r="AY368">
            <v>551375</v>
          </cell>
          <cell r="AZ368">
            <v>4791708</v>
          </cell>
          <cell r="BA368">
            <v>3519.0170907499892</v>
          </cell>
          <cell r="BB368">
            <v>547856</v>
          </cell>
          <cell r="BC368">
            <v>4795227</v>
          </cell>
        </row>
        <row r="369">
          <cell r="F369" t="str">
            <v>040220-004</v>
          </cell>
          <cell r="G369" t="str">
            <v>Pembaharuan</v>
          </cell>
          <cell r="H369" t="str">
            <v>Pelaksana</v>
          </cell>
          <cell r="I369" t="str">
            <v>Quality Control</v>
          </cell>
          <cell r="J369">
            <v>43865</v>
          </cell>
          <cell r="K369" t="b">
            <v>1</v>
          </cell>
          <cell r="L369">
            <v>43865</v>
          </cell>
          <cell r="M369">
            <v>1</v>
          </cell>
          <cell r="N369">
            <v>3</v>
          </cell>
          <cell r="O369">
            <v>20</v>
          </cell>
          <cell r="Q369">
            <v>5343082</v>
          </cell>
          <cell r="R369">
            <v>4924046</v>
          </cell>
          <cell r="S369">
            <v>5343083</v>
          </cell>
          <cell r="T369">
            <v>0</v>
          </cell>
          <cell r="U369">
            <v>0</v>
          </cell>
          <cell r="V369">
            <v>0</v>
          </cell>
          <cell r="W369">
            <v>5343083</v>
          </cell>
          <cell r="X369">
            <v>5</v>
          </cell>
          <cell r="Z369">
            <v>16</v>
          </cell>
          <cell r="AB369">
            <v>21</v>
          </cell>
          <cell r="AC369">
            <v>1272162.6190476192</v>
          </cell>
          <cell r="AD369">
            <v>4070920.3809523811</v>
          </cell>
          <cell r="AE369">
            <v>5343083</v>
          </cell>
          <cell r="AF369">
            <v>0</v>
          </cell>
          <cell r="AG369">
            <v>5343083</v>
          </cell>
          <cell r="AH369" t="b">
            <v>1</v>
          </cell>
          <cell r="AK369">
            <v>5343083</v>
          </cell>
          <cell r="AL369" t="str">
            <v>K1</v>
          </cell>
          <cell r="AM369">
            <v>5343083</v>
          </cell>
          <cell r="AN369">
            <v>0</v>
          </cell>
          <cell r="AQ369">
            <v>0</v>
          </cell>
          <cell r="AR369">
            <v>38000</v>
          </cell>
          <cell r="AS369">
            <v>31700</v>
          </cell>
          <cell r="AU369">
            <v>10000</v>
          </cell>
          <cell r="AV369">
            <v>53430.83</v>
          </cell>
          <cell r="AW369">
            <v>106861.66</v>
          </cell>
          <cell r="AX369">
            <v>53430.83</v>
          </cell>
          <cell r="AY369">
            <v>293423</v>
          </cell>
          <cell r="AZ369">
            <v>5049660</v>
          </cell>
          <cell r="BA369">
            <v>0</v>
          </cell>
          <cell r="BB369">
            <v>293423</v>
          </cell>
          <cell r="BC369">
            <v>5049660</v>
          </cell>
        </row>
        <row r="370">
          <cell r="F370" t="str">
            <v>051020-042</v>
          </cell>
          <cell r="G370" t="str">
            <v>Pembaharuan</v>
          </cell>
          <cell r="H370" t="str">
            <v>Pelaksana</v>
          </cell>
          <cell r="I370" t="str">
            <v>Quality Control</v>
          </cell>
          <cell r="J370" t="str">
            <v>05 Oktober 2020</v>
          </cell>
          <cell r="K370" t="b">
            <v>0</v>
          </cell>
          <cell r="L370">
            <v>44109</v>
          </cell>
          <cell r="M370">
            <v>0</v>
          </cell>
          <cell r="N370">
            <v>7</v>
          </cell>
          <cell r="O370">
            <v>19</v>
          </cell>
          <cell r="Q370">
            <v>5343082</v>
          </cell>
          <cell r="R370">
            <v>4924046</v>
          </cell>
          <cell r="S370">
            <v>5343083</v>
          </cell>
          <cell r="T370">
            <v>0</v>
          </cell>
          <cell r="U370">
            <v>0</v>
          </cell>
          <cell r="V370">
            <v>0</v>
          </cell>
          <cell r="W370">
            <v>5343083</v>
          </cell>
          <cell r="X370">
            <v>5</v>
          </cell>
          <cell r="Z370">
            <v>16</v>
          </cell>
          <cell r="AB370">
            <v>21</v>
          </cell>
          <cell r="AC370">
            <v>1272162.6190476192</v>
          </cell>
          <cell r="AD370">
            <v>4070920.3809523811</v>
          </cell>
          <cell r="AE370">
            <v>5343083</v>
          </cell>
          <cell r="AF370">
            <v>0</v>
          </cell>
          <cell r="AG370">
            <v>5343083</v>
          </cell>
          <cell r="AH370" t="b">
            <v>1</v>
          </cell>
          <cell r="AK370">
            <v>5343083</v>
          </cell>
          <cell r="AL370" t="str">
            <v>TK</v>
          </cell>
          <cell r="AM370">
            <v>5343083</v>
          </cell>
          <cell r="AN370">
            <v>34354.584590750004</v>
          </cell>
          <cell r="AQ370">
            <v>0</v>
          </cell>
          <cell r="AS370">
            <v>31700</v>
          </cell>
          <cell r="AV370">
            <v>53430.83</v>
          </cell>
          <cell r="AW370">
            <v>106861.66</v>
          </cell>
          <cell r="AX370">
            <v>53430.83</v>
          </cell>
          <cell r="AY370">
            <v>279778</v>
          </cell>
          <cell r="AZ370">
            <v>5063305</v>
          </cell>
          <cell r="BA370">
            <v>34354.584590750004</v>
          </cell>
          <cell r="BB370">
            <v>245423</v>
          </cell>
          <cell r="BC370">
            <v>5097660</v>
          </cell>
        </row>
        <row r="371">
          <cell r="F371" t="str">
            <v>051020-043</v>
          </cell>
          <cell r="G371" t="str">
            <v>Pembaharuan</v>
          </cell>
          <cell r="H371" t="str">
            <v>Pelaksana</v>
          </cell>
          <cell r="I371" t="str">
            <v>Quality Control</v>
          </cell>
          <cell r="J371" t="str">
            <v>05 Oktober 2020</v>
          </cell>
          <cell r="K371" t="b">
            <v>0</v>
          </cell>
          <cell r="L371">
            <v>44109</v>
          </cell>
          <cell r="M371">
            <v>0</v>
          </cell>
          <cell r="N371">
            <v>7</v>
          </cell>
          <cell r="O371">
            <v>19</v>
          </cell>
          <cell r="Q371">
            <v>5343082</v>
          </cell>
          <cell r="R371">
            <v>4924046</v>
          </cell>
          <cell r="S371">
            <v>5343083</v>
          </cell>
          <cell r="T371">
            <v>0</v>
          </cell>
          <cell r="U371">
            <v>0</v>
          </cell>
          <cell r="V371">
            <v>0</v>
          </cell>
          <cell r="W371">
            <v>5343083</v>
          </cell>
          <cell r="X371">
            <v>5</v>
          </cell>
          <cell r="Z371">
            <v>16</v>
          </cell>
          <cell r="AB371">
            <v>21</v>
          </cell>
          <cell r="AC371">
            <v>1272162.6190476192</v>
          </cell>
          <cell r="AD371">
            <v>4070920.3809523811</v>
          </cell>
          <cell r="AE371">
            <v>5343083</v>
          </cell>
          <cell r="AF371">
            <v>0</v>
          </cell>
          <cell r="AG371">
            <v>5343083</v>
          </cell>
          <cell r="AH371" t="b">
            <v>1</v>
          </cell>
          <cell r="AK371">
            <v>5343083</v>
          </cell>
          <cell r="AL371" t="str">
            <v>K1</v>
          </cell>
          <cell r="AM371">
            <v>5343083</v>
          </cell>
          <cell r="AN371">
            <v>0</v>
          </cell>
          <cell r="AQ371">
            <v>0</v>
          </cell>
          <cell r="AS371">
            <v>31700</v>
          </cell>
          <cell r="AV371">
            <v>53430.83</v>
          </cell>
          <cell r="AW371">
            <v>106861.66</v>
          </cell>
          <cell r="AX371">
            <v>53430.83</v>
          </cell>
          <cell r="AY371">
            <v>245423</v>
          </cell>
          <cell r="AZ371">
            <v>5097660</v>
          </cell>
          <cell r="BA371">
            <v>0</v>
          </cell>
          <cell r="BB371">
            <v>245423</v>
          </cell>
          <cell r="BC371">
            <v>5097660</v>
          </cell>
        </row>
        <row r="372">
          <cell r="F372" t="str">
            <v>201117-002</v>
          </cell>
          <cell r="G372" t="str">
            <v>Tetap</v>
          </cell>
          <cell r="H372" t="str">
            <v>Pelaksana</v>
          </cell>
          <cell r="I372" t="str">
            <v>Quality Control</v>
          </cell>
          <cell r="J372">
            <v>43059</v>
          </cell>
          <cell r="K372" t="b">
            <v>1</v>
          </cell>
          <cell r="L372">
            <v>43059</v>
          </cell>
          <cell r="M372">
            <v>3</v>
          </cell>
          <cell r="N372">
            <v>6</v>
          </cell>
          <cell r="O372">
            <v>4</v>
          </cell>
          <cell r="Q372">
            <v>5343082</v>
          </cell>
          <cell r="R372">
            <v>4924046</v>
          </cell>
          <cell r="S372">
            <v>5343083</v>
          </cell>
          <cell r="T372">
            <v>0</v>
          </cell>
          <cell r="U372">
            <v>200000</v>
          </cell>
          <cell r="V372">
            <v>0</v>
          </cell>
          <cell r="W372">
            <v>5543083</v>
          </cell>
          <cell r="X372">
            <v>5</v>
          </cell>
          <cell r="Z372">
            <v>16</v>
          </cell>
          <cell r="AB372">
            <v>21</v>
          </cell>
          <cell r="AC372">
            <v>1319781.6666666665</v>
          </cell>
          <cell r="AD372">
            <v>4223301.333333333</v>
          </cell>
          <cell r="AE372">
            <v>5543083</v>
          </cell>
          <cell r="AF372">
            <v>0</v>
          </cell>
          <cell r="AG372">
            <v>5543083</v>
          </cell>
          <cell r="AH372" t="b">
            <v>1</v>
          </cell>
          <cell r="AK372">
            <v>5543083</v>
          </cell>
          <cell r="AL372" t="str">
            <v>K2</v>
          </cell>
          <cell r="AM372">
            <v>5543083</v>
          </cell>
          <cell r="AN372">
            <v>0</v>
          </cell>
          <cell r="AQ372">
            <v>0</v>
          </cell>
          <cell r="AR372">
            <v>38000</v>
          </cell>
          <cell r="AS372">
            <v>31700</v>
          </cell>
          <cell r="AV372">
            <v>53430.83</v>
          </cell>
          <cell r="AW372">
            <v>110861.66</v>
          </cell>
          <cell r="AX372">
            <v>55430.83</v>
          </cell>
          <cell r="AY372">
            <v>289423</v>
          </cell>
          <cell r="AZ372">
            <v>5253660</v>
          </cell>
          <cell r="BA372">
            <v>0</v>
          </cell>
          <cell r="BB372">
            <v>289423</v>
          </cell>
          <cell r="BC372">
            <v>5253660</v>
          </cell>
        </row>
        <row r="373">
          <cell r="F373" t="str">
            <v>250918-001</v>
          </cell>
          <cell r="G373" t="str">
            <v>Kontrak 2</v>
          </cell>
          <cell r="H373" t="str">
            <v>Pelaksana</v>
          </cell>
          <cell r="I373" t="str">
            <v>Quality Control</v>
          </cell>
          <cell r="J373">
            <v>43368</v>
          </cell>
          <cell r="K373" t="b">
            <v>1</v>
          </cell>
          <cell r="L373">
            <v>43368</v>
          </cell>
          <cell r="M373">
            <v>2</v>
          </cell>
          <cell r="N373">
            <v>7</v>
          </cell>
          <cell r="O373">
            <v>29</v>
          </cell>
          <cell r="Q373">
            <v>5343082</v>
          </cell>
          <cell r="R373">
            <v>4924046</v>
          </cell>
          <cell r="S373">
            <v>5343083</v>
          </cell>
          <cell r="T373">
            <v>0</v>
          </cell>
          <cell r="U373">
            <v>0</v>
          </cell>
          <cell r="V373">
            <v>0</v>
          </cell>
          <cell r="W373">
            <v>5343083</v>
          </cell>
          <cell r="X373">
            <v>5</v>
          </cell>
          <cell r="Z373">
            <v>16</v>
          </cell>
          <cell r="AB373">
            <v>21</v>
          </cell>
          <cell r="AC373">
            <v>1272162.6190476192</v>
          </cell>
          <cell r="AD373">
            <v>4070920.3809523811</v>
          </cell>
          <cell r="AE373">
            <v>5343083</v>
          </cell>
          <cell r="AF373">
            <v>0</v>
          </cell>
          <cell r="AG373">
            <v>5343083</v>
          </cell>
          <cell r="AH373" t="b">
            <v>1</v>
          </cell>
          <cell r="AK373">
            <v>5343083</v>
          </cell>
          <cell r="AL373" t="str">
            <v>K1</v>
          </cell>
          <cell r="AM373">
            <v>5343083</v>
          </cell>
          <cell r="AN373">
            <v>0</v>
          </cell>
          <cell r="AQ373">
            <v>0</v>
          </cell>
          <cell r="AR373">
            <v>38000</v>
          </cell>
          <cell r="AS373">
            <v>31700</v>
          </cell>
          <cell r="AU373">
            <v>10000</v>
          </cell>
          <cell r="AV373">
            <v>53430.83</v>
          </cell>
          <cell r="AW373">
            <v>106861.66</v>
          </cell>
          <cell r="AX373">
            <v>53430.83</v>
          </cell>
          <cell r="AY373">
            <v>293423</v>
          </cell>
          <cell r="AZ373">
            <v>5049660</v>
          </cell>
          <cell r="BA373">
            <v>0</v>
          </cell>
          <cell r="BB373">
            <v>293423</v>
          </cell>
          <cell r="BC373">
            <v>5049660</v>
          </cell>
        </row>
        <row r="374">
          <cell r="F374" t="str">
            <v>250918-002</v>
          </cell>
          <cell r="G374" t="str">
            <v>Kontrak 2</v>
          </cell>
          <cell r="H374" t="str">
            <v>Pelaksana</v>
          </cell>
          <cell r="I374" t="str">
            <v>Quality Control</v>
          </cell>
          <cell r="J374">
            <v>43368</v>
          </cell>
          <cell r="K374" t="b">
            <v>1</v>
          </cell>
          <cell r="L374">
            <v>43368</v>
          </cell>
          <cell r="M374">
            <v>2</v>
          </cell>
          <cell r="N374">
            <v>7</v>
          </cell>
          <cell r="O374">
            <v>29</v>
          </cell>
          <cell r="Q374">
            <v>5343082</v>
          </cell>
          <cell r="R374">
            <v>4924046</v>
          </cell>
          <cell r="S374">
            <v>5343083</v>
          </cell>
          <cell r="T374">
            <v>0</v>
          </cell>
          <cell r="U374">
            <v>0</v>
          </cell>
          <cell r="V374">
            <v>0</v>
          </cell>
          <cell r="W374">
            <v>5343083</v>
          </cell>
          <cell r="X374">
            <v>5</v>
          </cell>
          <cell r="Z374">
            <v>16</v>
          </cell>
          <cell r="AB374">
            <v>21</v>
          </cell>
          <cell r="AC374">
            <v>1272162.6190476192</v>
          </cell>
          <cell r="AD374">
            <v>4070920.3809523811</v>
          </cell>
          <cell r="AE374">
            <v>5343083</v>
          </cell>
          <cell r="AF374">
            <v>0</v>
          </cell>
          <cell r="AG374">
            <v>5343083</v>
          </cell>
          <cell r="AH374" t="b">
            <v>1</v>
          </cell>
          <cell r="AK374">
            <v>5343083</v>
          </cell>
          <cell r="AL374" t="str">
            <v>TK</v>
          </cell>
          <cell r="AM374">
            <v>5343083</v>
          </cell>
          <cell r="AN374">
            <v>34354.584590750004</v>
          </cell>
          <cell r="AQ374">
            <v>0</v>
          </cell>
          <cell r="AR374">
            <v>38000</v>
          </cell>
          <cell r="AS374">
            <v>31700</v>
          </cell>
          <cell r="AU374">
            <v>10000</v>
          </cell>
          <cell r="AV374">
            <v>53430.83</v>
          </cell>
          <cell r="AW374">
            <v>106861.66</v>
          </cell>
          <cell r="AX374">
            <v>53430.83</v>
          </cell>
          <cell r="AY374">
            <v>327778</v>
          </cell>
          <cell r="AZ374">
            <v>5015305</v>
          </cell>
          <cell r="BA374">
            <v>34354.584590750004</v>
          </cell>
          <cell r="BB374">
            <v>293423</v>
          </cell>
          <cell r="BC374">
            <v>5049660</v>
          </cell>
        </row>
        <row r="375">
          <cell r="F375" t="str">
            <v>190219-002</v>
          </cell>
          <cell r="G375" t="str">
            <v>Kontrak 2</v>
          </cell>
          <cell r="H375" t="str">
            <v>Pelaksana</v>
          </cell>
          <cell r="I375" t="str">
            <v>Quality Control</v>
          </cell>
          <cell r="J375" t="str">
            <v>19 Februari 2019</v>
          </cell>
          <cell r="K375" t="b">
            <v>0</v>
          </cell>
          <cell r="L375">
            <v>43515</v>
          </cell>
          <cell r="M375">
            <v>2</v>
          </cell>
          <cell r="N375">
            <v>3</v>
          </cell>
          <cell r="O375">
            <v>5</v>
          </cell>
          <cell r="Q375">
            <v>5343082</v>
          </cell>
          <cell r="R375">
            <v>4924046</v>
          </cell>
          <cell r="S375">
            <v>5343083</v>
          </cell>
          <cell r="T375">
            <v>0</v>
          </cell>
          <cell r="U375">
            <v>0</v>
          </cell>
          <cell r="V375">
            <v>0</v>
          </cell>
          <cell r="W375">
            <v>5343083</v>
          </cell>
          <cell r="X375">
            <v>5</v>
          </cell>
          <cell r="Z375">
            <v>16</v>
          </cell>
          <cell r="AB375">
            <v>21</v>
          </cell>
          <cell r="AC375">
            <v>1272162.6190476192</v>
          </cell>
          <cell r="AD375">
            <v>4070920.3809523811</v>
          </cell>
          <cell r="AE375">
            <v>5343083</v>
          </cell>
          <cell r="AF375">
            <v>0</v>
          </cell>
          <cell r="AG375">
            <v>5343083</v>
          </cell>
          <cell r="AH375" t="b">
            <v>1</v>
          </cell>
          <cell r="AK375">
            <v>5343083</v>
          </cell>
          <cell r="AL375" t="str">
            <v>TK</v>
          </cell>
          <cell r="AM375">
            <v>5343083</v>
          </cell>
          <cell r="AN375">
            <v>34354.584590750004</v>
          </cell>
          <cell r="AQ375">
            <v>0</v>
          </cell>
          <cell r="AR375">
            <v>38000</v>
          </cell>
          <cell r="AS375">
            <v>31700</v>
          </cell>
          <cell r="AV375">
            <v>53430.83</v>
          </cell>
          <cell r="AW375">
            <v>106861.66</v>
          </cell>
          <cell r="AX375">
            <v>53430.83</v>
          </cell>
          <cell r="AY375">
            <v>317778</v>
          </cell>
          <cell r="AZ375">
            <v>5025305</v>
          </cell>
          <cell r="BA375">
            <v>34354.584590750004</v>
          </cell>
          <cell r="BB375">
            <v>283423</v>
          </cell>
          <cell r="BC375">
            <v>5059660</v>
          </cell>
        </row>
        <row r="376">
          <cell r="F376" t="str">
            <v>140319-001</v>
          </cell>
          <cell r="G376" t="str">
            <v>Kontrak 2</v>
          </cell>
          <cell r="H376" t="str">
            <v>Pelaksana</v>
          </cell>
          <cell r="I376" t="str">
            <v>Quality Control</v>
          </cell>
          <cell r="J376" t="str">
            <v>14 Maret 2019</v>
          </cell>
          <cell r="K376" t="b">
            <v>0</v>
          </cell>
          <cell r="L376">
            <v>43538</v>
          </cell>
          <cell r="M376">
            <v>2</v>
          </cell>
          <cell r="N376">
            <v>2</v>
          </cell>
          <cell r="O376">
            <v>10</v>
          </cell>
          <cell r="Q376">
            <v>5343082</v>
          </cell>
          <cell r="R376">
            <v>4924046</v>
          </cell>
          <cell r="S376">
            <v>5343083</v>
          </cell>
          <cell r="T376">
            <v>0</v>
          </cell>
          <cell r="U376">
            <v>0</v>
          </cell>
          <cell r="V376">
            <v>0</v>
          </cell>
          <cell r="W376">
            <v>5343083</v>
          </cell>
          <cell r="X376">
            <v>5</v>
          </cell>
          <cell r="Z376">
            <v>16</v>
          </cell>
          <cell r="AB376">
            <v>21</v>
          </cell>
          <cell r="AC376">
            <v>1272162.6190476192</v>
          </cell>
          <cell r="AD376">
            <v>4070920.3809523811</v>
          </cell>
          <cell r="AE376">
            <v>5343083</v>
          </cell>
          <cell r="AF376">
            <v>0</v>
          </cell>
          <cell r="AG376">
            <v>5343083</v>
          </cell>
          <cell r="AH376" t="b">
            <v>1</v>
          </cell>
          <cell r="AK376">
            <v>5343083</v>
          </cell>
          <cell r="AL376" t="str">
            <v>K1</v>
          </cell>
          <cell r="AM376">
            <v>5343083</v>
          </cell>
          <cell r="AN376">
            <v>0</v>
          </cell>
          <cell r="AQ376">
            <v>0</v>
          </cell>
          <cell r="AR376">
            <v>38000</v>
          </cell>
          <cell r="AS376">
            <v>31700</v>
          </cell>
          <cell r="AV376">
            <v>53430.83</v>
          </cell>
          <cell r="AW376">
            <v>106861.66</v>
          </cell>
          <cell r="AX376">
            <v>53430.83</v>
          </cell>
          <cell r="AY376">
            <v>283423</v>
          </cell>
          <cell r="AZ376">
            <v>5059660</v>
          </cell>
          <cell r="BA376">
            <v>0</v>
          </cell>
          <cell r="BB376">
            <v>283423</v>
          </cell>
          <cell r="BC376">
            <v>5059660</v>
          </cell>
        </row>
        <row r="377">
          <cell r="F377" t="str">
            <v>130819-005</v>
          </cell>
          <cell r="G377" t="str">
            <v>Kontrak 2</v>
          </cell>
          <cell r="H377" t="str">
            <v>Pelaksana</v>
          </cell>
          <cell r="I377" t="str">
            <v>Quality Control</v>
          </cell>
          <cell r="J377" t="str">
            <v>13 Agustus 2019</v>
          </cell>
          <cell r="K377" t="b">
            <v>0</v>
          </cell>
          <cell r="L377">
            <v>43690</v>
          </cell>
          <cell r="M377">
            <v>1</v>
          </cell>
          <cell r="N377">
            <v>9</v>
          </cell>
          <cell r="O377">
            <v>11</v>
          </cell>
          <cell r="Q377">
            <v>5343082</v>
          </cell>
          <cell r="R377">
            <v>4924046</v>
          </cell>
          <cell r="S377">
            <v>5343083</v>
          </cell>
          <cell r="T377">
            <v>0</v>
          </cell>
          <cell r="U377">
            <v>0</v>
          </cell>
          <cell r="V377">
            <v>0</v>
          </cell>
          <cell r="W377">
            <v>5343083</v>
          </cell>
          <cell r="X377">
            <v>5</v>
          </cell>
          <cell r="Z377">
            <v>16</v>
          </cell>
          <cell r="AB377">
            <v>21</v>
          </cell>
          <cell r="AC377">
            <v>1272162.6190476192</v>
          </cell>
          <cell r="AD377">
            <v>4070920.3809523811</v>
          </cell>
          <cell r="AE377">
            <v>5343083</v>
          </cell>
          <cell r="AF377">
            <v>0</v>
          </cell>
          <cell r="AG377">
            <v>5343083</v>
          </cell>
          <cell r="AH377" t="b">
            <v>1</v>
          </cell>
          <cell r="AK377">
            <v>5343083</v>
          </cell>
          <cell r="AL377" t="str">
            <v>TK</v>
          </cell>
          <cell r="AM377">
            <v>5343083</v>
          </cell>
          <cell r="AN377">
            <v>34354.584590750004</v>
          </cell>
          <cell r="AQ377">
            <v>0</v>
          </cell>
          <cell r="AR377">
            <v>38000</v>
          </cell>
          <cell r="AS377">
            <v>31700</v>
          </cell>
          <cell r="AV377">
            <v>53430.83</v>
          </cell>
          <cell r="AW377">
            <v>106861.66</v>
          </cell>
          <cell r="AX377">
            <v>53430.83</v>
          </cell>
          <cell r="AY377">
            <v>317778</v>
          </cell>
          <cell r="AZ377">
            <v>5025305</v>
          </cell>
          <cell r="BA377">
            <v>34354.584590750004</v>
          </cell>
          <cell r="BB377">
            <v>283423</v>
          </cell>
          <cell r="BC377">
            <v>5059660</v>
          </cell>
        </row>
        <row r="378">
          <cell r="F378" t="str">
            <v>221019-001</v>
          </cell>
          <cell r="G378" t="str">
            <v>Pembaharuan</v>
          </cell>
          <cell r="H378" t="str">
            <v>Pelaksana</v>
          </cell>
          <cell r="I378" t="str">
            <v>Quality Control</v>
          </cell>
          <cell r="J378">
            <v>43760</v>
          </cell>
          <cell r="K378" t="b">
            <v>1</v>
          </cell>
          <cell r="L378">
            <v>43760</v>
          </cell>
          <cell r="M378">
            <v>1</v>
          </cell>
          <cell r="N378">
            <v>7</v>
          </cell>
          <cell r="O378">
            <v>2</v>
          </cell>
          <cell r="Q378">
            <v>5343082</v>
          </cell>
          <cell r="R378">
            <v>4924046</v>
          </cell>
          <cell r="S378">
            <v>5343083</v>
          </cell>
          <cell r="T378">
            <v>0</v>
          </cell>
          <cell r="U378">
            <v>0</v>
          </cell>
          <cell r="V378">
            <v>0</v>
          </cell>
          <cell r="W378">
            <v>5343083</v>
          </cell>
          <cell r="X378">
            <v>5</v>
          </cell>
          <cell r="Z378">
            <v>16</v>
          </cell>
          <cell r="AB378">
            <v>21</v>
          </cell>
          <cell r="AC378">
            <v>1272162.6190476192</v>
          </cell>
          <cell r="AD378">
            <v>4070920.3809523811</v>
          </cell>
          <cell r="AE378">
            <v>5343083</v>
          </cell>
          <cell r="AF378">
            <v>0</v>
          </cell>
          <cell r="AG378">
            <v>5343083</v>
          </cell>
          <cell r="AH378" t="b">
            <v>1</v>
          </cell>
          <cell r="AK378">
            <v>5343083</v>
          </cell>
          <cell r="AL378" t="str">
            <v>K2</v>
          </cell>
          <cell r="AM378">
            <v>5343083</v>
          </cell>
          <cell r="AN378">
            <v>0</v>
          </cell>
          <cell r="AQ378">
            <v>0</v>
          </cell>
          <cell r="AR378">
            <v>38000</v>
          </cell>
          <cell r="AS378">
            <v>31700</v>
          </cell>
          <cell r="AV378">
            <v>53430.83</v>
          </cell>
          <cell r="AW378">
            <v>106861.66</v>
          </cell>
          <cell r="AX378">
            <v>53430.83</v>
          </cell>
          <cell r="AY378">
            <v>283423</v>
          </cell>
          <cell r="AZ378">
            <v>5059660</v>
          </cell>
          <cell r="BA378">
            <v>0</v>
          </cell>
          <cell r="BB378">
            <v>283423</v>
          </cell>
          <cell r="BC378">
            <v>5059660</v>
          </cell>
        </row>
        <row r="379">
          <cell r="F379" t="str">
            <v>110419-002</v>
          </cell>
          <cell r="G379" t="str">
            <v>Recall Kontrak 2</v>
          </cell>
          <cell r="H379" t="str">
            <v>Pelaksana</v>
          </cell>
          <cell r="I379" t="str">
            <v>Quality Control</v>
          </cell>
          <cell r="J379">
            <v>43566</v>
          </cell>
          <cell r="K379" t="b">
            <v>1</v>
          </cell>
          <cell r="L379">
            <v>43566</v>
          </cell>
          <cell r="M379">
            <v>2</v>
          </cell>
          <cell r="N379">
            <v>1</v>
          </cell>
          <cell r="O379">
            <v>13</v>
          </cell>
          <cell r="Q379">
            <v>5343082</v>
          </cell>
          <cell r="R379">
            <v>4924046</v>
          </cell>
          <cell r="S379">
            <v>5343083</v>
          </cell>
          <cell r="T379">
            <v>0</v>
          </cell>
          <cell r="U379">
            <v>0</v>
          </cell>
          <cell r="V379">
            <v>0</v>
          </cell>
          <cell r="W379">
            <v>5343083</v>
          </cell>
          <cell r="X379">
            <v>5</v>
          </cell>
          <cell r="Z379">
            <v>16</v>
          </cell>
          <cell r="AB379">
            <v>21</v>
          </cell>
          <cell r="AC379">
            <v>1272162.6190476192</v>
          </cell>
          <cell r="AD379">
            <v>4070920.3809523811</v>
          </cell>
          <cell r="AE379">
            <v>5343083</v>
          </cell>
          <cell r="AF379">
            <v>0</v>
          </cell>
          <cell r="AG379">
            <v>5343083</v>
          </cell>
          <cell r="AH379" t="b">
            <v>1</v>
          </cell>
          <cell r="AK379">
            <v>5343083</v>
          </cell>
          <cell r="AL379" t="str">
            <v>K1</v>
          </cell>
          <cell r="AM379">
            <v>5343083</v>
          </cell>
          <cell r="AN379">
            <v>0</v>
          </cell>
          <cell r="AQ379">
            <v>0</v>
          </cell>
          <cell r="AR379">
            <v>38000</v>
          </cell>
          <cell r="AS379">
            <v>31700</v>
          </cell>
          <cell r="AV379">
            <v>53430.83</v>
          </cell>
          <cell r="AW379">
            <v>106861.66</v>
          </cell>
          <cell r="AX379">
            <v>53430.83</v>
          </cell>
          <cell r="AY379">
            <v>283423</v>
          </cell>
          <cell r="AZ379">
            <v>5059660</v>
          </cell>
          <cell r="BA379">
            <v>0</v>
          </cell>
          <cell r="BB379">
            <v>283423</v>
          </cell>
          <cell r="BC379">
            <v>5059660</v>
          </cell>
        </row>
        <row r="380">
          <cell r="F380" t="str">
            <v>190219-007</v>
          </cell>
          <cell r="G380" t="str">
            <v>Kontrak 2</v>
          </cell>
          <cell r="H380" t="str">
            <v>Pelaksana</v>
          </cell>
          <cell r="I380" t="str">
            <v>Quality Control</v>
          </cell>
          <cell r="J380" t="str">
            <v>19 Februari 2019</v>
          </cell>
          <cell r="K380" t="b">
            <v>0</v>
          </cell>
          <cell r="L380">
            <v>43515</v>
          </cell>
          <cell r="M380">
            <v>2</v>
          </cell>
          <cell r="N380">
            <v>3</v>
          </cell>
          <cell r="O380">
            <v>5</v>
          </cell>
          <cell r="Q380">
            <v>5343082</v>
          </cell>
          <cell r="R380">
            <v>4924046</v>
          </cell>
          <cell r="S380">
            <v>5343083</v>
          </cell>
          <cell r="T380">
            <v>0</v>
          </cell>
          <cell r="U380">
            <v>0</v>
          </cell>
          <cell r="V380">
            <v>0</v>
          </cell>
          <cell r="W380">
            <v>5343083</v>
          </cell>
          <cell r="X380">
            <v>5</v>
          </cell>
          <cell r="Z380">
            <v>16</v>
          </cell>
          <cell r="AB380">
            <v>21</v>
          </cell>
          <cell r="AC380">
            <v>1272162.6190476192</v>
          </cell>
          <cell r="AD380">
            <v>4070920.3809523811</v>
          </cell>
          <cell r="AE380">
            <v>5343083</v>
          </cell>
          <cell r="AF380">
            <v>0</v>
          </cell>
          <cell r="AG380">
            <v>5343083</v>
          </cell>
          <cell r="AH380" t="b">
            <v>1</v>
          </cell>
          <cell r="AK380">
            <v>5343083</v>
          </cell>
          <cell r="AL380" t="str">
            <v>K0</v>
          </cell>
          <cell r="AM380">
            <v>5343083</v>
          </cell>
          <cell r="AN380">
            <v>15604.584590750002</v>
          </cell>
          <cell r="AQ380">
            <v>0</v>
          </cell>
          <cell r="AR380">
            <v>38000</v>
          </cell>
          <cell r="AS380">
            <v>31700</v>
          </cell>
          <cell r="AV380">
            <v>53430.83</v>
          </cell>
          <cell r="AW380">
            <v>106861.66</v>
          </cell>
          <cell r="AX380">
            <v>53430.83</v>
          </cell>
          <cell r="AY380">
            <v>299028</v>
          </cell>
          <cell r="AZ380">
            <v>5044055</v>
          </cell>
          <cell r="BA380">
            <v>15604.584590750002</v>
          </cell>
          <cell r="BB380">
            <v>283423</v>
          </cell>
          <cell r="BC380">
            <v>5059660</v>
          </cell>
        </row>
        <row r="381">
          <cell r="F381" t="str">
            <v>150221-003</v>
          </cell>
          <cell r="G381" t="str">
            <v>Pembaharuan</v>
          </cell>
          <cell r="H381" t="str">
            <v>Pelaksana</v>
          </cell>
          <cell r="I381" t="str">
            <v>Quality Control</v>
          </cell>
          <cell r="J381" t="str">
            <v>15 Februari 2021</v>
          </cell>
          <cell r="K381" t="b">
            <v>0</v>
          </cell>
          <cell r="L381">
            <v>44242</v>
          </cell>
          <cell r="M381">
            <v>0</v>
          </cell>
          <cell r="N381">
            <v>3</v>
          </cell>
          <cell r="O381">
            <v>9</v>
          </cell>
          <cell r="Q381">
            <v>5343082</v>
          </cell>
          <cell r="R381">
            <v>4924046</v>
          </cell>
          <cell r="S381">
            <v>5343083</v>
          </cell>
          <cell r="T381">
            <v>0</v>
          </cell>
          <cell r="U381">
            <v>0</v>
          </cell>
          <cell r="V381">
            <v>0</v>
          </cell>
          <cell r="W381">
            <v>5343083</v>
          </cell>
          <cell r="X381">
            <v>5</v>
          </cell>
          <cell r="Z381">
            <v>16</v>
          </cell>
          <cell r="AB381">
            <v>21</v>
          </cell>
          <cell r="AC381">
            <v>1272162.6190476192</v>
          </cell>
          <cell r="AD381">
            <v>4070920.3809523811</v>
          </cell>
          <cell r="AE381">
            <v>5343083</v>
          </cell>
          <cell r="AF381">
            <v>0</v>
          </cell>
          <cell r="AG381">
            <v>5343083</v>
          </cell>
          <cell r="AH381" t="b">
            <v>1</v>
          </cell>
          <cell r="AK381">
            <v>5343083</v>
          </cell>
          <cell r="AL381" t="str">
            <v>K2</v>
          </cell>
          <cell r="AM381">
            <v>5343083</v>
          </cell>
          <cell r="AN381">
            <v>0</v>
          </cell>
          <cell r="AQ381">
            <v>0</v>
          </cell>
          <cell r="AS381">
            <v>31700</v>
          </cell>
          <cell r="AV381">
            <v>53430.83</v>
          </cell>
          <cell r="AW381">
            <v>106861.66</v>
          </cell>
          <cell r="AX381">
            <v>53430.83</v>
          </cell>
          <cell r="AY381">
            <v>245423</v>
          </cell>
          <cell r="AZ381">
            <v>5097660</v>
          </cell>
          <cell r="BA381">
            <v>0</v>
          </cell>
          <cell r="BB381">
            <v>245423</v>
          </cell>
          <cell r="BC381">
            <v>5097660</v>
          </cell>
        </row>
        <row r="382">
          <cell r="F382" t="str">
            <v>040220-003</v>
          </cell>
          <cell r="G382" t="str">
            <v>Pembaharuan</v>
          </cell>
          <cell r="H382" t="str">
            <v>Pelaksana</v>
          </cell>
          <cell r="I382" t="str">
            <v>Quality Control</v>
          </cell>
          <cell r="J382">
            <v>43865</v>
          </cell>
          <cell r="K382" t="b">
            <v>1</v>
          </cell>
          <cell r="L382">
            <v>43865</v>
          </cell>
          <cell r="M382">
            <v>1</v>
          </cell>
          <cell r="N382">
            <v>3</v>
          </cell>
          <cell r="O382">
            <v>20</v>
          </cell>
          <cell r="Q382">
            <v>5343082</v>
          </cell>
          <cell r="R382">
            <v>4924046</v>
          </cell>
          <cell r="S382">
            <v>5343083</v>
          </cell>
          <cell r="T382">
            <v>0</v>
          </cell>
          <cell r="U382">
            <v>0</v>
          </cell>
          <cell r="V382">
            <v>0</v>
          </cell>
          <cell r="W382">
            <v>5343083</v>
          </cell>
          <cell r="X382">
            <v>5</v>
          </cell>
          <cell r="Z382">
            <v>16</v>
          </cell>
          <cell r="AB382">
            <v>21</v>
          </cell>
          <cell r="AC382">
            <v>1272162.6190476192</v>
          </cell>
          <cell r="AD382">
            <v>4070920.3809523811</v>
          </cell>
          <cell r="AE382">
            <v>5343083</v>
          </cell>
          <cell r="AF382">
            <v>0</v>
          </cell>
          <cell r="AG382">
            <v>5343083</v>
          </cell>
          <cell r="AH382" t="b">
            <v>1</v>
          </cell>
          <cell r="AK382">
            <v>5343083</v>
          </cell>
          <cell r="AL382" t="str">
            <v>K0</v>
          </cell>
          <cell r="AM382">
            <v>5343083</v>
          </cell>
          <cell r="AN382">
            <v>15604.584590750002</v>
          </cell>
          <cell r="AQ382">
            <v>0</v>
          </cell>
          <cell r="AR382">
            <v>38000</v>
          </cell>
          <cell r="AS382">
            <v>31700</v>
          </cell>
          <cell r="AU382">
            <v>10000</v>
          </cell>
          <cell r="AV382">
            <v>53430.83</v>
          </cell>
          <cell r="AW382">
            <v>106861.66</v>
          </cell>
          <cell r="AX382">
            <v>53430.83</v>
          </cell>
          <cell r="AY382">
            <v>309028</v>
          </cell>
          <cell r="AZ382">
            <v>5034055</v>
          </cell>
          <cell r="BA382">
            <v>15604.584590750002</v>
          </cell>
          <cell r="BB382">
            <v>293423</v>
          </cell>
          <cell r="BC382">
            <v>5049660</v>
          </cell>
        </row>
        <row r="383">
          <cell r="F383" t="str">
            <v>040220-002</v>
          </cell>
          <cell r="G383" t="str">
            <v>Pembaharuan</v>
          </cell>
          <cell r="H383" t="str">
            <v>Pelaksana</v>
          </cell>
          <cell r="I383" t="str">
            <v>Quality Control</v>
          </cell>
          <cell r="J383">
            <v>43865</v>
          </cell>
          <cell r="K383" t="b">
            <v>1</v>
          </cell>
          <cell r="L383">
            <v>43865</v>
          </cell>
          <cell r="M383">
            <v>1</v>
          </cell>
          <cell r="N383">
            <v>3</v>
          </cell>
          <cell r="O383">
            <v>20</v>
          </cell>
          <cell r="Q383">
            <v>5343082</v>
          </cell>
          <cell r="R383">
            <v>4924046</v>
          </cell>
          <cell r="S383">
            <v>5343083</v>
          </cell>
          <cell r="T383">
            <v>0</v>
          </cell>
          <cell r="U383">
            <v>0</v>
          </cell>
          <cell r="V383">
            <v>0</v>
          </cell>
          <cell r="W383">
            <v>5343083</v>
          </cell>
          <cell r="X383">
            <v>5</v>
          </cell>
          <cell r="Z383">
            <v>16</v>
          </cell>
          <cell r="AB383">
            <v>21</v>
          </cell>
          <cell r="AC383">
            <v>1272162.6190476192</v>
          </cell>
          <cell r="AD383">
            <v>4070920.3809523811</v>
          </cell>
          <cell r="AE383">
            <v>5343083</v>
          </cell>
          <cell r="AF383">
            <v>0</v>
          </cell>
          <cell r="AG383">
            <v>5343083</v>
          </cell>
          <cell r="AH383" t="b">
            <v>1</v>
          </cell>
          <cell r="AK383">
            <v>5343083</v>
          </cell>
          <cell r="AL383" t="str">
            <v>K0</v>
          </cell>
          <cell r="AM383">
            <v>5343083</v>
          </cell>
          <cell r="AN383">
            <v>15604.584590750002</v>
          </cell>
          <cell r="AQ383">
            <v>0</v>
          </cell>
          <cell r="AR383">
            <v>38000</v>
          </cell>
          <cell r="AS383">
            <v>31700</v>
          </cell>
          <cell r="AU383">
            <v>10000</v>
          </cell>
          <cell r="AV383">
            <v>53430.83</v>
          </cell>
          <cell r="AW383">
            <v>106861.66</v>
          </cell>
          <cell r="AX383">
            <v>53430.83</v>
          </cell>
          <cell r="AY383">
            <v>309028</v>
          </cell>
          <cell r="AZ383">
            <v>5034055</v>
          </cell>
          <cell r="BA383">
            <v>15604.584590750002</v>
          </cell>
          <cell r="BB383">
            <v>293423</v>
          </cell>
          <cell r="BC383">
            <v>5049660</v>
          </cell>
        </row>
        <row r="384">
          <cell r="F384" t="str">
            <v>120918-011</v>
          </cell>
          <cell r="G384" t="str">
            <v>Kontrak 2</v>
          </cell>
          <cell r="H384" t="str">
            <v>Pelaksana</v>
          </cell>
          <cell r="I384" t="str">
            <v>Quality Control</v>
          </cell>
          <cell r="J384">
            <v>43355</v>
          </cell>
          <cell r="K384" t="b">
            <v>1</v>
          </cell>
          <cell r="L384">
            <v>43355</v>
          </cell>
          <cell r="M384">
            <v>2</v>
          </cell>
          <cell r="N384">
            <v>8</v>
          </cell>
          <cell r="O384">
            <v>12</v>
          </cell>
          <cell r="Q384">
            <v>5343082</v>
          </cell>
          <cell r="R384">
            <v>4924046</v>
          </cell>
          <cell r="S384">
            <v>5343083</v>
          </cell>
          <cell r="T384">
            <v>0</v>
          </cell>
          <cell r="U384">
            <v>0</v>
          </cell>
          <cell r="V384">
            <v>0</v>
          </cell>
          <cell r="W384">
            <v>5343083</v>
          </cell>
          <cell r="X384">
            <v>5</v>
          </cell>
          <cell r="Z384">
            <v>16</v>
          </cell>
          <cell r="AB384">
            <v>21</v>
          </cell>
          <cell r="AC384">
            <v>1272162.6190476192</v>
          </cell>
          <cell r="AD384">
            <v>4070920.3809523811</v>
          </cell>
          <cell r="AE384">
            <v>5343083</v>
          </cell>
          <cell r="AF384">
            <v>0</v>
          </cell>
          <cell r="AG384">
            <v>5343083</v>
          </cell>
          <cell r="AH384" t="b">
            <v>1</v>
          </cell>
          <cell r="AK384">
            <v>5343083</v>
          </cell>
          <cell r="AL384" t="str">
            <v>K1</v>
          </cell>
          <cell r="AM384">
            <v>5343083</v>
          </cell>
          <cell r="AN384">
            <v>0</v>
          </cell>
          <cell r="AQ384">
            <v>0</v>
          </cell>
          <cell r="AR384">
            <v>38000</v>
          </cell>
          <cell r="AS384">
            <v>31700</v>
          </cell>
          <cell r="AV384">
            <v>53430.83</v>
          </cell>
          <cell r="AW384">
            <v>106861.66</v>
          </cell>
          <cell r="AX384">
            <v>53430.83</v>
          </cell>
          <cell r="AY384">
            <v>283423</v>
          </cell>
          <cell r="AZ384">
            <v>5059660</v>
          </cell>
          <cell r="BA384">
            <v>0</v>
          </cell>
          <cell r="BB384">
            <v>283423</v>
          </cell>
          <cell r="BC384">
            <v>5059660</v>
          </cell>
        </row>
        <row r="385">
          <cell r="F385" t="str">
            <v>190219-004</v>
          </cell>
          <cell r="G385" t="str">
            <v>Kontrak 2</v>
          </cell>
          <cell r="H385" t="str">
            <v>Pelaksana</v>
          </cell>
          <cell r="I385" t="str">
            <v>Quality Control</v>
          </cell>
          <cell r="J385" t="str">
            <v>19 Februari 2019</v>
          </cell>
          <cell r="K385" t="b">
            <v>0</v>
          </cell>
          <cell r="L385">
            <v>43515</v>
          </cell>
          <cell r="M385">
            <v>2</v>
          </cell>
          <cell r="N385">
            <v>3</v>
          </cell>
          <cell r="O385">
            <v>5</v>
          </cell>
          <cell r="Q385">
            <v>5343082</v>
          </cell>
          <cell r="R385">
            <v>4924046</v>
          </cell>
          <cell r="S385">
            <v>5343083</v>
          </cell>
          <cell r="T385">
            <v>0</v>
          </cell>
          <cell r="U385">
            <v>0</v>
          </cell>
          <cell r="V385">
            <v>0</v>
          </cell>
          <cell r="W385">
            <v>5343083</v>
          </cell>
          <cell r="X385">
            <v>5</v>
          </cell>
          <cell r="Z385">
            <v>16</v>
          </cell>
          <cell r="AB385">
            <v>21</v>
          </cell>
          <cell r="AC385">
            <v>1272162.6190476192</v>
          </cell>
          <cell r="AD385">
            <v>4070920.3809523811</v>
          </cell>
          <cell r="AE385">
            <v>5343083</v>
          </cell>
          <cell r="AF385">
            <v>0</v>
          </cell>
          <cell r="AG385">
            <v>5343083</v>
          </cell>
          <cell r="AH385" t="b">
            <v>1</v>
          </cell>
          <cell r="AK385">
            <v>5343083</v>
          </cell>
          <cell r="AL385" t="str">
            <v>K0</v>
          </cell>
          <cell r="AM385">
            <v>5343083</v>
          </cell>
          <cell r="AN385">
            <v>15604.584590750002</v>
          </cell>
          <cell r="AQ385">
            <v>0</v>
          </cell>
          <cell r="AR385">
            <v>38000</v>
          </cell>
          <cell r="AS385">
            <v>31700</v>
          </cell>
          <cell r="AV385">
            <v>53430.83</v>
          </cell>
          <cell r="AW385">
            <v>106861.66</v>
          </cell>
          <cell r="AX385">
            <v>53430.83</v>
          </cell>
          <cell r="AY385">
            <v>299028</v>
          </cell>
          <cell r="AZ385">
            <v>5044055</v>
          </cell>
          <cell r="BA385">
            <v>15604.584590750002</v>
          </cell>
          <cell r="BB385">
            <v>283423</v>
          </cell>
          <cell r="BC385">
            <v>5059660</v>
          </cell>
        </row>
        <row r="386">
          <cell r="F386" t="str">
            <v>190919-001</v>
          </cell>
          <cell r="G386" t="str">
            <v>Pembaharuan</v>
          </cell>
          <cell r="H386" t="str">
            <v>Pelaksana</v>
          </cell>
          <cell r="I386" t="str">
            <v>Quality Control</v>
          </cell>
          <cell r="J386">
            <v>43727</v>
          </cell>
          <cell r="K386" t="b">
            <v>1</v>
          </cell>
          <cell r="L386">
            <v>43727</v>
          </cell>
          <cell r="M386">
            <v>1</v>
          </cell>
          <cell r="N386">
            <v>8</v>
          </cell>
          <cell r="O386">
            <v>5</v>
          </cell>
          <cell r="Q386">
            <v>5343082</v>
          </cell>
          <cell r="R386">
            <v>4924046</v>
          </cell>
          <cell r="S386">
            <v>5343083</v>
          </cell>
          <cell r="T386">
            <v>0</v>
          </cell>
          <cell r="U386">
            <v>0</v>
          </cell>
          <cell r="V386">
            <v>0</v>
          </cell>
          <cell r="W386">
            <v>5343083</v>
          </cell>
          <cell r="X386">
            <v>5</v>
          </cell>
          <cell r="Z386">
            <v>16</v>
          </cell>
          <cell r="AB386">
            <v>21</v>
          </cell>
          <cell r="AC386">
            <v>1272162.6190476192</v>
          </cell>
          <cell r="AD386">
            <v>4070920.3809523811</v>
          </cell>
          <cell r="AE386">
            <v>5343083</v>
          </cell>
          <cell r="AF386">
            <v>0</v>
          </cell>
          <cell r="AG386">
            <v>5343083</v>
          </cell>
          <cell r="AH386" t="b">
            <v>1</v>
          </cell>
          <cell r="AK386">
            <v>5343083</v>
          </cell>
          <cell r="AL386" t="str">
            <v>K0</v>
          </cell>
          <cell r="AM386">
            <v>5343083</v>
          </cell>
          <cell r="AN386">
            <v>15604.584590750002</v>
          </cell>
          <cell r="AQ386">
            <v>0</v>
          </cell>
          <cell r="AS386">
            <v>31700</v>
          </cell>
          <cell r="AV386">
            <v>53430.83</v>
          </cell>
          <cell r="AW386">
            <v>106861.66</v>
          </cell>
          <cell r="AX386">
            <v>53430.83</v>
          </cell>
          <cell r="AY386">
            <v>261028</v>
          </cell>
          <cell r="AZ386">
            <v>5082055</v>
          </cell>
          <cell r="BA386">
            <v>15604.584590750002</v>
          </cell>
          <cell r="BB386">
            <v>245423</v>
          </cell>
          <cell r="BC386">
            <v>5097660</v>
          </cell>
        </row>
        <row r="387">
          <cell r="F387" t="str">
            <v>190219-010</v>
          </cell>
          <cell r="G387" t="str">
            <v>Kontrak 2</v>
          </cell>
          <cell r="H387" t="str">
            <v>Pelaksana</v>
          </cell>
          <cell r="I387" t="str">
            <v>Quality Control</v>
          </cell>
          <cell r="J387" t="str">
            <v>19 Februari 2019</v>
          </cell>
          <cell r="K387" t="b">
            <v>0</v>
          </cell>
          <cell r="L387">
            <v>43515</v>
          </cell>
          <cell r="M387">
            <v>2</v>
          </cell>
          <cell r="N387">
            <v>3</v>
          </cell>
          <cell r="O387">
            <v>5</v>
          </cell>
          <cell r="Q387">
            <v>5343082</v>
          </cell>
          <cell r="R387">
            <v>4924046</v>
          </cell>
          <cell r="S387">
            <v>5343083</v>
          </cell>
          <cell r="T387">
            <v>0</v>
          </cell>
          <cell r="U387">
            <v>0</v>
          </cell>
          <cell r="V387">
            <v>0</v>
          </cell>
          <cell r="W387">
            <v>5343083</v>
          </cell>
          <cell r="X387">
            <v>5</v>
          </cell>
          <cell r="Z387">
            <v>16</v>
          </cell>
          <cell r="AB387">
            <v>21</v>
          </cell>
          <cell r="AC387">
            <v>1272162.6190476192</v>
          </cell>
          <cell r="AD387">
            <v>4070920.3809523811</v>
          </cell>
          <cell r="AE387">
            <v>5343083</v>
          </cell>
          <cell r="AF387">
            <v>0</v>
          </cell>
          <cell r="AG387">
            <v>5343083</v>
          </cell>
          <cell r="AH387" t="b">
            <v>1</v>
          </cell>
          <cell r="AK387">
            <v>5343083</v>
          </cell>
          <cell r="AL387" t="str">
            <v>K0</v>
          </cell>
          <cell r="AM387">
            <v>5343083</v>
          </cell>
          <cell r="AN387">
            <v>15604.584590750002</v>
          </cell>
          <cell r="AQ387">
            <v>0</v>
          </cell>
          <cell r="AR387">
            <v>38000</v>
          </cell>
          <cell r="AS387">
            <v>31700</v>
          </cell>
          <cell r="AV387">
            <v>53430.83</v>
          </cell>
          <cell r="AW387">
            <v>106861.66</v>
          </cell>
          <cell r="AX387">
            <v>53430.83</v>
          </cell>
          <cell r="AY387">
            <v>299028</v>
          </cell>
          <cell r="AZ387">
            <v>5044055</v>
          </cell>
          <cell r="BA387">
            <v>15604.584590750002</v>
          </cell>
          <cell r="BB387">
            <v>283423</v>
          </cell>
          <cell r="BC387">
            <v>5059660</v>
          </cell>
        </row>
        <row r="388">
          <cell r="F388" t="str">
            <v>190219-006</v>
          </cell>
          <cell r="G388" t="str">
            <v>Kontrak 2</v>
          </cell>
          <cell r="H388" t="str">
            <v>Pelaksana</v>
          </cell>
          <cell r="I388" t="str">
            <v>Quality Control</v>
          </cell>
          <cell r="J388" t="str">
            <v>19 Februari 2019</v>
          </cell>
          <cell r="K388" t="b">
            <v>0</v>
          </cell>
          <cell r="L388">
            <v>43515</v>
          </cell>
          <cell r="M388">
            <v>2</v>
          </cell>
          <cell r="N388">
            <v>3</v>
          </cell>
          <cell r="O388">
            <v>5</v>
          </cell>
          <cell r="Q388">
            <v>5343082</v>
          </cell>
          <cell r="R388">
            <v>4924046</v>
          </cell>
          <cell r="S388">
            <v>5343083</v>
          </cell>
          <cell r="T388">
            <v>0</v>
          </cell>
          <cell r="U388">
            <v>0</v>
          </cell>
          <cell r="V388">
            <v>0</v>
          </cell>
          <cell r="W388">
            <v>5343083</v>
          </cell>
          <cell r="X388">
            <v>5</v>
          </cell>
          <cell r="Z388">
            <v>16</v>
          </cell>
          <cell r="AB388">
            <v>21</v>
          </cell>
          <cell r="AC388">
            <v>1272162.6190476192</v>
          </cell>
          <cell r="AD388">
            <v>4070920.3809523811</v>
          </cell>
          <cell r="AE388">
            <v>5343083</v>
          </cell>
          <cell r="AF388">
            <v>0</v>
          </cell>
          <cell r="AG388">
            <v>5343083</v>
          </cell>
          <cell r="AH388" t="b">
            <v>1</v>
          </cell>
          <cell r="AK388">
            <v>5343083</v>
          </cell>
          <cell r="AL388" t="str">
            <v>K0</v>
          </cell>
          <cell r="AM388">
            <v>5343083</v>
          </cell>
          <cell r="AN388">
            <v>15604.584590750002</v>
          </cell>
          <cell r="AQ388">
            <v>0</v>
          </cell>
          <cell r="AR388">
            <v>38000</v>
          </cell>
          <cell r="AS388">
            <v>31700</v>
          </cell>
          <cell r="AV388">
            <v>53430.83</v>
          </cell>
          <cell r="AW388">
            <v>106861.66</v>
          </cell>
          <cell r="AX388">
            <v>53430.83</v>
          </cell>
          <cell r="AY388">
            <v>299028</v>
          </cell>
          <cell r="AZ388">
            <v>5044055</v>
          </cell>
          <cell r="BA388">
            <v>15604.584590750002</v>
          </cell>
          <cell r="BB388">
            <v>283423</v>
          </cell>
          <cell r="BC388">
            <v>5059660</v>
          </cell>
        </row>
        <row r="389">
          <cell r="F389" t="str">
            <v>070817-025</v>
          </cell>
          <cell r="G389" t="str">
            <v>Tetap</v>
          </cell>
          <cell r="H389" t="str">
            <v>Pelaksana</v>
          </cell>
          <cell r="I389" t="str">
            <v>Quality Control</v>
          </cell>
          <cell r="J389">
            <v>42954</v>
          </cell>
          <cell r="K389" t="b">
            <v>1</v>
          </cell>
          <cell r="L389">
            <v>42954</v>
          </cell>
          <cell r="M389">
            <v>3</v>
          </cell>
          <cell r="N389">
            <v>9</v>
          </cell>
          <cell r="O389">
            <v>17</v>
          </cell>
          <cell r="Q389">
            <v>5343082</v>
          </cell>
          <cell r="R389">
            <v>4924046</v>
          </cell>
          <cell r="S389">
            <v>5343083</v>
          </cell>
          <cell r="T389">
            <v>0</v>
          </cell>
          <cell r="U389">
            <v>0</v>
          </cell>
          <cell r="V389">
            <v>0</v>
          </cell>
          <cell r="W389">
            <v>5343083</v>
          </cell>
          <cell r="X389">
            <v>5</v>
          </cell>
          <cell r="Z389">
            <v>16</v>
          </cell>
          <cell r="AB389">
            <v>21</v>
          </cell>
          <cell r="AC389">
            <v>1272162.6190476192</v>
          </cell>
          <cell r="AD389">
            <v>4070920.3809523811</v>
          </cell>
          <cell r="AE389">
            <v>5343083</v>
          </cell>
          <cell r="AF389">
            <v>0</v>
          </cell>
          <cell r="AG389">
            <v>5343083</v>
          </cell>
          <cell r="AH389" t="b">
            <v>1</v>
          </cell>
          <cell r="AK389">
            <v>5343083</v>
          </cell>
          <cell r="AL389" t="str">
            <v>K1</v>
          </cell>
          <cell r="AM389">
            <v>5343083</v>
          </cell>
          <cell r="AN389">
            <v>0</v>
          </cell>
          <cell r="AQ389">
            <v>0</v>
          </cell>
          <cell r="AR389">
            <v>38000</v>
          </cell>
          <cell r="AS389">
            <v>31700</v>
          </cell>
          <cell r="AV389">
            <v>53430.83</v>
          </cell>
          <cell r="AW389">
            <v>106861.66</v>
          </cell>
          <cell r="AX389">
            <v>53430.83</v>
          </cell>
          <cell r="AY389">
            <v>283423</v>
          </cell>
          <cell r="AZ389">
            <v>5059660</v>
          </cell>
          <cell r="BA389">
            <v>0</v>
          </cell>
          <cell r="BB389">
            <v>283423</v>
          </cell>
          <cell r="BC389">
            <v>5059660</v>
          </cell>
        </row>
        <row r="390">
          <cell r="F390" t="str">
            <v>190219-009</v>
          </cell>
          <cell r="G390" t="str">
            <v>Kontrak 2</v>
          </cell>
          <cell r="H390" t="str">
            <v>Pelaksana</v>
          </cell>
          <cell r="I390" t="str">
            <v>Quality Control</v>
          </cell>
          <cell r="J390" t="str">
            <v>19 Februari 2019</v>
          </cell>
          <cell r="K390" t="b">
            <v>0</v>
          </cell>
          <cell r="L390">
            <v>43515</v>
          </cell>
          <cell r="M390">
            <v>2</v>
          </cell>
          <cell r="N390">
            <v>3</v>
          </cell>
          <cell r="O390">
            <v>5</v>
          </cell>
          <cell r="Q390">
            <v>5343082</v>
          </cell>
          <cell r="R390">
            <v>4924046</v>
          </cell>
          <cell r="S390">
            <v>5343083</v>
          </cell>
          <cell r="T390">
            <v>0</v>
          </cell>
          <cell r="U390">
            <v>0</v>
          </cell>
          <cell r="V390">
            <v>0</v>
          </cell>
          <cell r="W390">
            <v>5343083</v>
          </cell>
          <cell r="X390">
            <v>5</v>
          </cell>
          <cell r="Z390">
            <v>16</v>
          </cell>
          <cell r="AB390">
            <v>21</v>
          </cell>
          <cell r="AC390">
            <v>1272162.6190476192</v>
          </cell>
          <cell r="AD390">
            <v>4070920.3809523811</v>
          </cell>
          <cell r="AE390">
            <v>5343083</v>
          </cell>
          <cell r="AF390">
            <v>0</v>
          </cell>
          <cell r="AG390">
            <v>5343083</v>
          </cell>
          <cell r="AH390" t="b">
            <v>1</v>
          </cell>
          <cell r="AK390">
            <v>5343083</v>
          </cell>
          <cell r="AL390" t="str">
            <v>TK</v>
          </cell>
          <cell r="AM390">
            <v>5343083</v>
          </cell>
          <cell r="AN390">
            <v>34354.584590750004</v>
          </cell>
          <cell r="AQ390">
            <v>0</v>
          </cell>
          <cell r="AR390">
            <v>38000</v>
          </cell>
          <cell r="AS390">
            <v>31700</v>
          </cell>
          <cell r="AV390">
            <v>53430.83</v>
          </cell>
          <cell r="AW390">
            <v>106861.66</v>
          </cell>
          <cell r="AX390">
            <v>53430.83</v>
          </cell>
          <cell r="AY390">
            <v>317778</v>
          </cell>
          <cell r="AZ390">
            <v>5025305</v>
          </cell>
          <cell r="BA390">
            <v>34354.584590750004</v>
          </cell>
          <cell r="BB390">
            <v>283423</v>
          </cell>
          <cell r="BC390">
            <v>5059660</v>
          </cell>
        </row>
        <row r="391">
          <cell r="F391" t="str">
            <v>110419-001</v>
          </cell>
          <cell r="G391" t="str">
            <v>Recall Kontrak 2</v>
          </cell>
          <cell r="H391" t="str">
            <v>Pelaksana</v>
          </cell>
          <cell r="I391" t="str">
            <v>Quality Control</v>
          </cell>
          <cell r="J391">
            <v>43566</v>
          </cell>
          <cell r="K391" t="b">
            <v>1</v>
          </cell>
          <cell r="L391">
            <v>43566</v>
          </cell>
          <cell r="M391">
            <v>2</v>
          </cell>
          <cell r="N391">
            <v>1</v>
          </cell>
          <cell r="O391">
            <v>13</v>
          </cell>
          <cell r="Q391">
            <v>5343082</v>
          </cell>
          <cell r="R391">
            <v>4924046</v>
          </cell>
          <cell r="S391">
            <v>5343083</v>
          </cell>
          <cell r="T391">
            <v>0</v>
          </cell>
          <cell r="U391">
            <v>0</v>
          </cell>
          <cell r="V391">
            <v>0</v>
          </cell>
          <cell r="W391">
            <v>5343083</v>
          </cell>
          <cell r="X391">
            <v>5</v>
          </cell>
          <cell r="Z391">
            <v>16</v>
          </cell>
          <cell r="AB391">
            <v>21</v>
          </cell>
          <cell r="AC391">
            <v>1272162.6190476192</v>
          </cell>
          <cell r="AD391">
            <v>4070920.3809523811</v>
          </cell>
          <cell r="AE391">
            <v>5343083</v>
          </cell>
          <cell r="AF391">
            <v>0</v>
          </cell>
          <cell r="AG391">
            <v>5343083</v>
          </cell>
          <cell r="AH391" t="b">
            <v>1</v>
          </cell>
          <cell r="AK391">
            <v>5343083</v>
          </cell>
          <cell r="AL391" t="str">
            <v>K2</v>
          </cell>
          <cell r="AM391">
            <v>5343083</v>
          </cell>
          <cell r="AN391">
            <v>0</v>
          </cell>
          <cell r="AQ391">
            <v>0</v>
          </cell>
          <cell r="AR391">
            <v>38000</v>
          </cell>
          <cell r="AS391">
            <v>31700</v>
          </cell>
          <cell r="AV391">
            <v>53430.83</v>
          </cell>
          <cell r="AW391">
            <v>106861.66</v>
          </cell>
          <cell r="AX391">
            <v>53430.83</v>
          </cell>
          <cell r="AY391">
            <v>283423</v>
          </cell>
          <cell r="AZ391">
            <v>5059660</v>
          </cell>
          <cell r="BA391">
            <v>0</v>
          </cell>
          <cell r="BB391">
            <v>283423</v>
          </cell>
          <cell r="BC391">
            <v>5059660</v>
          </cell>
        </row>
        <row r="392">
          <cell r="F392" t="str">
            <v>190219-005</v>
          </cell>
          <cell r="G392" t="str">
            <v>Kontrak 2</v>
          </cell>
          <cell r="H392" t="str">
            <v>Pelaksana</v>
          </cell>
          <cell r="I392" t="str">
            <v>Quality Control</v>
          </cell>
          <cell r="J392" t="str">
            <v>19 Februari 2019</v>
          </cell>
          <cell r="K392" t="b">
            <v>0</v>
          </cell>
          <cell r="L392">
            <v>43515</v>
          </cell>
          <cell r="M392">
            <v>2</v>
          </cell>
          <cell r="N392">
            <v>3</v>
          </cell>
          <cell r="O392">
            <v>5</v>
          </cell>
          <cell r="Q392">
            <v>5343082</v>
          </cell>
          <cell r="R392">
            <v>4924046</v>
          </cell>
          <cell r="S392">
            <v>5343083</v>
          </cell>
          <cell r="T392">
            <v>0</v>
          </cell>
          <cell r="U392">
            <v>0</v>
          </cell>
          <cell r="V392">
            <v>0</v>
          </cell>
          <cell r="W392">
            <v>5343083</v>
          </cell>
          <cell r="X392">
            <v>5</v>
          </cell>
          <cell r="Z392">
            <v>16</v>
          </cell>
          <cell r="AB392">
            <v>21</v>
          </cell>
          <cell r="AC392">
            <v>1272162.6190476192</v>
          </cell>
          <cell r="AD392">
            <v>4070920.3809523811</v>
          </cell>
          <cell r="AE392">
            <v>5343083</v>
          </cell>
          <cell r="AF392">
            <v>0</v>
          </cell>
          <cell r="AG392">
            <v>5343083</v>
          </cell>
          <cell r="AH392" t="b">
            <v>1</v>
          </cell>
          <cell r="AK392">
            <v>5343083</v>
          </cell>
          <cell r="AL392" t="str">
            <v>TK</v>
          </cell>
          <cell r="AM392">
            <v>5343083</v>
          </cell>
          <cell r="AN392">
            <v>34354.584590750004</v>
          </cell>
          <cell r="AQ392">
            <v>0</v>
          </cell>
          <cell r="AR392">
            <v>38000</v>
          </cell>
          <cell r="AS392">
            <v>31700</v>
          </cell>
          <cell r="AV392">
            <v>53430.83</v>
          </cell>
          <cell r="AW392">
            <v>106861.66</v>
          </cell>
          <cell r="AX392">
            <v>53430.83</v>
          </cell>
          <cell r="AY392">
            <v>317778</v>
          </cell>
          <cell r="AZ392">
            <v>5025305</v>
          </cell>
          <cell r="BA392">
            <v>34354.584590750004</v>
          </cell>
          <cell r="BB392">
            <v>283423</v>
          </cell>
          <cell r="BC392">
            <v>5059660</v>
          </cell>
        </row>
        <row r="393">
          <cell r="F393" t="str">
            <v>130819-003</v>
          </cell>
          <cell r="G393" t="str">
            <v>Kontrak 2</v>
          </cell>
          <cell r="H393" t="str">
            <v>Pelaksana</v>
          </cell>
          <cell r="I393" t="str">
            <v>Quality Control</v>
          </cell>
          <cell r="J393" t="str">
            <v>13 Agustus 2019</v>
          </cell>
          <cell r="K393" t="b">
            <v>0</v>
          </cell>
          <cell r="L393">
            <v>43690</v>
          </cell>
          <cell r="M393">
            <v>1</v>
          </cell>
          <cell r="N393">
            <v>9</v>
          </cell>
          <cell r="O393">
            <v>11</v>
          </cell>
          <cell r="Q393">
            <v>5343082</v>
          </cell>
          <cell r="R393">
            <v>4924046</v>
          </cell>
          <cell r="S393">
            <v>5343083</v>
          </cell>
          <cell r="T393">
            <v>0</v>
          </cell>
          <cell r="U393">
            <v>0</v>
          </cell>
          <cell r="V393">
            <v>0</v>
          </cell>
          <cell r="W393">
            <v>5343083</v>
          </cell>
          <cell r="X393">
            <v>5</v>
          </cell>
          <cell r="Z393">
            <v>16</v>
          </cell>
          <cell r="AB393">
            <v>21</v>
          </cell>
          <cell r="AC393">
            <v>1272162.6190476192</v>
          </cell>
          <cell r="AD393">
            <v>4070920.3809523811</v>
          </cell>
          <cell r="AE393">
            <v>5343083</v>
          </cell>
          <cell r="AF393">
            <v>0</v>
          </cell>
          <cell r="AG393">
            <v>5343083</v>
          </cell>
          <cell r="AH393" t="b">
            <v>1</v>
          </cell>
          <cell r="AK393">
            <v>5343083</v>
          </cell>
          <cell r="AL393" t="str">
            <v>TK</v>
          </cell>
          <cell r="AM393">
            <v>5343083</v>
          </cell>
          <cell r="AN393">
            <v>34354.584590750004</v>
          </cell>
          <cell r="AQ393">
            <v>0</v>
          </cell>
          <cell r="AR393">
            <v>38000</v>
          </cell>
          <cell r="AS393">
            <v>31700</v>
          </cell>
          <cell r="AV393">
            <v>53430.83</v>
          </cell>
          <cell r="AW393">
            <v>106861.66</v>
          </cell>
          <cell r="AX393">
            <v>53430.83</v>
          </cell>
          <cell r="AY393">
            <v>317778</v>
          </cell>
          <cell r="AZ393">
            <v>5025305</v>
          </cell>
          <cell r="BA393">
            <v>34354.584590750004</v>
          </cell>
          <cell r="BB393">
            <v>283423</v>
          </cell>
          <cell r="BC393">
            <v>5059660</v>
          </cell>
        </row>
        <row r="394">
          <cell r="F394" t="str">
            <v>020718-022</v>
          </cell>
          <cell r="G394" t="str">
            <v>Recall Kontrak 2</v>
          </cell>
          <cell r="H394" t="str">
            <v>Pelaksana</v>
          </cell>
          <cell r="I394" t="str">
            <v>Quality Control</v>
          </cell>
          <cell r="J394">
            <v>43283</v>
          </cell>
          <cell r="K394" t="b">
            <v>1</v>
          </cell>
          <cell r="L394">
            <v>43283</v>
          </cell>
          <cell r="M394">
            <v>2</v>
          </cell>
          <cell r="N394">
            <v>10</v>
          </cell>
          <cell r="O394">
            <v>22</v>
          </cell>
          <cell r="Q394">
            <v>5343082</v>
          </cell>
          <cell r="R394">
            <v>4924046</v>
          </cell>
          <cell r="S394">
            <v>5343083</v>
          </cell>
          <cell r="T394">
            <v>0</v>
          </cell>
          <cell r="U394">
            <v>0</v>
          </cell>
          <cell r="V394">
            <v>0</v>
          </cell>
          <cell r="W394">
            <v>5343083</v>
          </cell>
          <cell r="X394">
            <v>5</v>
          </cell>
          <cell r="Z394">
            <v>16</v>
          </cell>
          <cell r="AB394">
            <v>21</v>
          </cell>
          <cell r="AC394">
            <v>1272162.6190476192</v>
          </cell>
          <cell r="AD394">
            <v>4070920.3809523811</v>
          </cell>
          <cell r="AE394">
            <v>5343083</v>
          </cell>
          <cell r="AF394">
            <v>0</v>
          </cell>
          <cell r="AG394">
            <v>5343083</v>
          </cell>
          <cell r="AH394" t="b">
            <v>1</v>
          </cell>
          <cell r="AK394">
            <v>5343083</v>
          </cell>
          <cell r="AL394" t="str">
            <v>K1</v>
          </cell>
          <cell r="AM394">
            <v>5343083</v>
          </cell>
          <cell r="AN394">
            <v>0</v>
          </cell>
          <cell r="AQ394">
            <v>0</v>
          </cell>
          <cell r="AS394">
            <v>31700</v>
          </cell>
          <cell r="AU394">
            <v>10000</v>
          </cell>
          <cell r="AV394">
            <v>53430.83</v>
          </cell>
          <cell r="AW394">
            <v>106861.66</v>
          </cell>
          <cell r="AX394">
            <v>53430.83</v>
          </cell>
          <cell r="AY394">
            <v>255423</v>
          </cell>
          <cell r="AZ394">
            <v>5087660</v>
          </cell>
          <cell r="BA394">
            <v>0</v>
          </cell>
          <cell r="BB394">
            <v>255423</v>
          </cell>
          <cell r="BC394">
            <v>5087660</v>
          </cell>
        </row>
        <row r="395">
          <cell r="F395" t="str">
            <v>051020-022</v>
          </cell>
          <cell r="G395" t="str">
            <v>Kontrak 1</v>
          </cell>
          <cell r="H395" t="str">
            <v>Pelaksana</v>
          </cell>
          <cell r="I395" t="str">
            <v>Quality Control</v>
          </cell>
          <cell r="J395" t="str">
            <v>05 Oktober 2020</v>
          </cell>
          <cell r="K395" t="b">
            <v>0</v>
          </cell>
          <cell r="L395">
            <v>44109</v>
          </cell>
          <cell r="M395">
            <v>0</v>
          </cell>
          <cell r="N395">
            <v>7</v>
          </cell>
          <cell r="O395">
            <v>19</v>
          </cell>
          <cell r="Q395">
            <v>5343082</v>
          </cell>
          <cell r="R395">
            <v>4924046</v>
          </cell>
          <cell r="S395">
            <v>5343083</v>
          </cell>
          <cell r="T395">
            <v>0</v>
          </cell>
          <cell r="U395">
            <v>0</v>
          </cell>
          <cell r="V395">
            <v>0</v>
          </cell>
          <cell r="W395">
            <v>5343083</v>
          </cell>
          <cell r="X395">
            <v>5</v>
          </cell>
          <cell r="Z395">
            <v>16</v>
          </cell>
          <cell r="AB395">
            <v>21</v>
          </cell>
          <cell r="AC395">
            <v>1272162.6190476192</v>
          </cell>
          <cell r="AD395">
            <v>4070920.3809523811</v>
          </cell>
          <cell r="AE395">
            <v>5343083</v>
          </cell>
          <cell r="AF395">
            <v>0</v>
          </cell>
          <cell r="AG395">
            <v>5343083</v>
          </cell>
          <cell r="AH395" t="b">
            <v>1</v>
          </cell>
          <cell r="AK395">
            <v>5343083</v>
          </cell>
          <cell r="AL395" t="str">
            <v>TK</v>
          </cell>
          <cell r="AM395">
            <v>5343083</v>
          </cell>
          <cell r="AN395">
            <v>34354.584590750004</v>
          </cell>
          <cell r="AQ395">
            <v>0</v>
          </cell>
          <cell r="AR395">
            <v>38000</v>
          </cell>
          <cell r="AS395">
            <v>31700</v>
          </cell>
          <cell r="AV395">
            <v>53430.83</v>
          </cell>
          <cell r="AW395">
            <v>106861.66</v>
          </cell>
          <cell r="AX395">
            <v>53430.83</v>
          </cell>
          <cell r="AY395">
            <v>317778</v>
          </cell>
          <cell r="AZ395">
            <v>5025305</v>
          </cell>
          <cell r="BA395">
            <v>34354.584590750004</v>
          </cell>
          <cell r="BB395">
            <v>283423</v>
          </cell>
          <cell r="BC395">
            <v>5059660</v>
          </cell>
        </row>
        <row r="396">
          <cell r="F396" t="str">
            <v>051020-023</v>
          </cell>
          <cell r="G396" t="str">
            <v>Kontrak 1</v>
          </cell>
          <cell r="H396" t="str">
            <v>Pelaksana</v>
          </cell>
          <cell r="I396" t="str">
            <v>Quality Control</v>
          </cell>
          <cell r="J396" t="str">
            <v>05 Oktober 2020</v>
          </cell>
          <cell r="K396" t="b">
            <v>0</v>
          </cell>
          <cell r="L396">
            <v>44109</v>
          </cell>
          <cell r="M396">
            <v>0</v>
          </cell>
          <cell r="N396">
            <v>7</v>
          </cell>
          <cell r="O396">
            <v>19</v>
          </cell>
          <cell r="Q396">
            <v>5343082</v>
          </cell>
          <cell r="R396">
            <v>4924046</v>
          </cell>
          <cell r="S396">
            <v>5343083</v>
          </cell>
          <cell r="T396">
            <v>0</v>
          </cell>
          <cell r="U396">
            <v>0</v>
          </cell>
          <cell r="V396">
            <v>0</v>
          </cell>
          <cell r="W396">
            <v>5343083</v>
          </cell>
          <cell r="X396">
            <v>5</v>
          </cell>
          <cell r="Z396">
            <v>16</v>
          </cell>
          <cell r="AB396">
            <v>21</v>
          </cell>
          <cell r="AC396">
            <v>1272162.6190476192</v>
          </cell>
          <cell r="AD396">
            <v>4070920.3809523811</v>
          </cell>
          <cell r="AE396">
            <v>5343083</v>
          </cell>
          <cell r="AF396">
            <v>0</v>
          </cell>
          <cell r="AG396">
            <v>5343083</v>
          </cell>
          <cell r="AH396" t="b">
            <v>1</v>
          </cell>
          <cell r="AK396">
            <v>5343083</v>
          </cell>
          <cell r="AL396" t="str">
            <v>K1</v>
          </cell>
          <cell r="AM396">
            <v>5343083</v>
          </cell>
          <cell r="AN396">
            <v>0</v>
          </cell>
          <cell r="AQ396">
            <v>0</v>
          </cell>
          <cell r="AR396">
            <v>38000</v>
          </cell>
          <cell r="AS396">
            <v>31700</v>
          </cell>
          <cell r="AV396">
            <v>53430.83</v>
          </cell>
          <cell r="AW396">
            <v>106861.66</v>
          </cell>
          <cell r="AX396">
            <v>53430.83</v>
          </cell>
          <cell r="AY396">
            <v>283423</v>
          </cell>
          <cell r="AZ396">
            <v>5059660</v>
          </cell>
          <cell r="BA396">
            <v>0</v>
          </cell>
          <cell r="BB396">
            <v>283423</v>
          </cell>
          <cell r="BC396">
            <v>5059660</v>
          </cell>
        </row>
        <row r="397">
          <cell r="F397" t="str">
            <v>051020-034</v>
          </cell>
          <cell r="G397" t="str">
            <v>Kontrak 1</v>
          </cell>
          <cell r="H397" t="str">
            <v>Pelaksana</v>
          </cell>
          <cell r="I397" t="str">
            <v>Quality Control</v>
          </cell>
          <cell r="J397" t="str">
            <v>05 Oktober 2020</v>
          </cell>
          <cell r="K397" t="b">
            <v>0</v>
          </cell>
          <cell r="L397">
            <v>44109</v>
          </cell>
          <cell r="M397">
            <v>0</v>
          </cell>
          <cell r="N397">
            <v>7</v>
          </cell>
          <cell r="O397">
            <v>19</v>
          </cell>
          <cell r="Q397">
            <v>5343082</v>
          </cell>
          <cell r="R397">
            <v>4924046</v>
          </cell>
          <cell r="S397">
            <v>5343083</v>
          </cell>
          <cell r="T397">
            <v>0</v>
          </cell>
          <cell r="U397">
            <v>0</v>
          </cell>
          <cell r="V397">
            <v>0</v>
          </cell>
          <cell r="W397">
            <v>5343083</v>
          </cell>
          <cell r="X397">
            <v>5</v>
          </cell>
          <cell r="Z397">
            <v>16</v>
          </cell>
          <cell r="AB397">
            <v>21</v>
          </cell>
          <cell r="AC397">
            <v>1272162.6190476192</v>
          </cell>
          <cell r="AD397">
            <v>4070920.3809523811</v>
          </cell>
          <cell r="AE397">
            <v>5343083</v>
          </cell>
          <cell r="AF397">
            <v>0</v>
          </cell>
          <cell r="AG397">
            <v>5343083</v>
          </cell>
          <cell r="AH397" t="b">
            <v>1</v>
          </cell>
          <cell r="AK397">
            <v>5343083</v>
          </cell>
          <cell r="AL397" t="str">
            <v>K0</v>
          </cell>
          <cell r="AM397">
            <v>5343083</v>
          </cell>
          <cell r="AN397">
            <v>15604.584590750002</v>
          </cell>
          <cell r="AQ397">
            <v>0</v>
          </cell>
          <cell r="AR397">
            <v>38000</v>
          </cell>
          <cell r="AS397">
            <v>31700</v>
          </cell>
          <cell r="AV397">
            <v>53430.83</v>
          </cell>
          <cell r="AW397">
            <v>106861.66</v>
          </cell>
          <cell r="AX397">
            <v>53430.83</v>
          </cell>
          <cell r="AY397">
            <v>299028</v>
          </cell>
          <cell r="AZ397">
            <v>5044055</v>
          </cell>
          <cell r="BA397">
            <v>15604.584590750002</v>
          </cell>
          <cell r="BB397">
            <v>283423</v>
          </cell>
          <cell r="BC397">
            <v>5059660</v>
          </cell>
        </row>
        <row r="398">
          <cell r="F398" t="str">
            <v>051020-036</v>
          </cell>
          <cell r="G398" t="str">
            <v>Kontrak 1</v>
          </cell>
          <cell r="H398" t="str">
            <v>Pelaksana</v>
          </cell>
          <cell r="I398" t="str">
            <v>Quality Control</v>
          </cell>
          <cell r="J398" t="str">
            <v>05 Oktober 2020</v>
          </cell>
          <cell r="K398" t="b">
            <v>0</v>
          </cell>
          <cell r="L398">
            <v>44109</v>
          </cell>
          <cell r="M398">
            <v>0</v>
          </cell>
          <cell r="N398">
            <v>7</v>
          </cell>
          <cell r="O398">
            <v>19</v>
          </cell>
          <cell r="Q398">
            <v>5343082</v>
          </cell>
          <cell r="R398">
            <v>4924046</v>
          </cell>
          <cell r="S398">
            <v>5343083</v>
          </cell>
          <cell r="T398">
            <v>0</v>
          </cell>
          <cell r="U398">
            <v>0</v>
          </cell>
          <cell r="V398">
            <v>0</v>
          </cell>
          <cell r="W398">
            <v>5343083</v>
          </cell>
          <cell r="X398">
            <v>5</v>
          </cell>
          <cell r="Z398">
            <v>16</v>
          </cell>
          <cell r="AB398">
            <v>21</v>
          </cell>
          <cell r="AC398">
            <v>1272162.6190476192</v>
          </cell>
          <cell r="AD398">
            <v>4070920.3809523811</v>
          </cell>
          <cell r="AE398">
            <v>5343083</v>
          </cell>
          <cell r="AF398">
            <v>0</v>
          </cell>
          <cell r="AG398">
            <v>5343083</v>
          </cell>
          <cell r="AH398" t="b">
            <v>1</v>
          </cell>
          <cell r="AK398">
            <v>5343083</v>
          </cell>
          <cell r="AL398" t="str">
            <v>K1</v>
          </cell>
          <cell r="AM398">
            <v>5343083</v>
          </cell>
          <cell r="AN398">
            <v>0</v>
          </cell>
          <cell r="AQ398">
            <v>0</v>
          </cell>
          <cell r="AR398">
            <v>38000</v>
          </cell>
          <cell r="AS398">
            <v>31700</v>
          </cell>
          <cell r="AV398">
            <v>53430.83</v>
          </cell>
          <cell r="AW398">
            <v>106861.66</v>
          </cell>
          <cell r="AX398">
            <v>53430.83</v>
          </cell>
          <cell r="AY398">
            <v>283423</v>
          </cell>
          <cell r="AZ398">
            <v>5059660</v>
          </cell>
          <cell r="BA398">
            <v>0</v>
          </cell>
          <cell r="BB398">
            <v>283423</v>
          </cell>
          <cell r="BC398">
            <v>5059660</v>
          </cell>
        </row>
        <row r="399">
          <cell r="F399" t="str">
            <v>051020-037</v>
          </cell>
          <cell r="G399" t="str">
            <v>Kontrak 1</v>
          </cell>
          <cell r="H399" t="str">
            <v>Pelaksana</v>
          </cell>
          <cell r="I399" t="str">
            <v>Quality Control</v>
          </cell>
          <cell r="J399" t="str">
            <v>05 Oktober 2020</v>
          </cell>
          <cell r="K399" t="b">
            <v>0</v>
          </cell>
          <cell r="L399">
            <v>44109</v>
          </cell>
          <cell r="M399">
            <v>0</v>
          </cell>
          <cell r="N399">
            <v>7</v>
          </cell>
          <cell r="O399">
            <v>19</v>
          </cell>
          <cell r="Q399">
            <v>5343082</v>
          </cell>
          <cell r="R399">
            <v>4924046</v>
          </cell>
          <cell r="S399">
            <v>5343083</v>
          </cell>
          <cell r="T399">
            <v>0</v>
          </cell>
          <cell r="U399">
            <v>300000</v>
          </cell>
          <cell r="V399">
            <v>0</v>
          </cell>
          <cell r="W399">
            <v>5643083</v>
          </cell>
          <cell r="X399">
            <v>5</v>
          </cell>
          <cell r="Z399">
            <v>16</v>
          </cell>
          <cell r="AB399">
            <v>21</v>
          </cell>
          <cell r="AC399">
            <v>1343591.1904761905</v>
          </cell>
          <cell r="AD399">
            <v>4299491.8095238097</v>
          </cell>
          <cell r="AE399">
            <v>5643083</v>
          </cell>
          <cell r="AF399">
            <v>0</v>
          </cell>
          <cell r="AG399">
            <v>5643083</v>
          </cell>
          <cell r="AH399" t="b">
            <v>1</v>
          </cell>
          <cell r="AK399">
            <v>5643083</v>
          </cell>
          <cell r="AL399" t="str">
            <v>TK</v>
          </cell>
          <cell r="AM399">
            <v>5643083</v>
          </cell>
          <cell r="AN399">
            <v>48346.659590749972</v>
          </cell>
          <cell r="AQ399">
            <v>0</v>
          </cell>
          <cell r="AR399">
            <v>38000</v>
          </cell>
          <cell r="AS399">
            <v>31700</v>
          </cell>
          <cell r="AV399">
            <v>53430.83</v>
          </cell>
          <cell r="AW399">
            <v>112861.66</v>
          </cell>
          <cell r="AX399">
            <v>56430.83</v>
          </cell>
          <cell r="AY399">
            <v>340770</v>
          </cell>
          <cell r="AZ399">
            <v>5302313</v>
          </cell>
          <cell r="BA399">
            <v>48346.659590749972</v>
          </cell>
          <cell r="BB399">
            <v>292423</v>
          </cell>
          <cell r="BC399">
            <v>5350660</v>
          </cell>
        </row>
        <row r="400">
          <cell r="F400" t="str">
            <v>051020-038</v>
          </cell>
          <cell r="G400" t="str">
            <v>Kontrak 1</v>
          </cell>
          <cell r="H400" t="str">
            <v>Pelaksana</v>
          </cell>
          <cell r="I400" t="str">
            <v>Quality Control</v>
          </cell>
          <cell r="J400" t="str">
            <v>05 Oktober 2020</v>
          </cell>
          <cell r="K400" t="b">
            <v>0</v>
          </cell>
          <cell r="L400">
            <v>44109</v>
          </cell>
          <cell r="M400">
            <v>0</v>
          </cell>
          <cell r="N400">
            <v>7</v>
          </cell>
          <cell r="O400">
            <v>19</v>
          </cell>
          <cell r="Q400">
            <v>5343082</v>
          </cell>
          <cell r="R400">
            <v>4924046</v>
          </cell>
          <cell r="S400">
            <v>5343083</v>
          </cell>
          <cell r="T400">
            <v>0</v>
          </cell>
          <cell r="U400">
            <v>0</v>
          </cell>
          <cell r="V400">
            <v>0</v>
          </cell>
          <cell r="W400">
            <v>5343083</v>
          </cell>
          <cell r="X400">
            <v>5</v>
          </cell>
          <cell r="Z400">
            <v>16</v>
          </cell>
          <cell r="AB400">
            <v>21</v>
          </cell>
          <cell r="AC400">
            <v>1272162.6190476192</v>
          </cell>
          <cell r="AD400">
            <v>4070920.3809523811</v>
          </cell>
          <cell r="AE400">
            <v>5343083</v>
          </cell>
          <cell r="AF400">
            <v>0</v>
          </cell>
          <cell r="AG400">
            <v>5343083</v>
          </cell>
          <cell r="AH400" t="b">
            <v>1</v>
          </cell>
          <cell r="AK400">
            <v>5343083</v>
          </cell>
          <cell r="AL400" t="str">
            <v>K1</v>
          </cell>
          <cell r="AM400">
            <v>5343083</v>
          </cell>
          <cell r="AN400">
            <v>0</v>
          </cell>
          <cell r="AQ400">
            <v>0</v>
          </cell>
          <cell r="AR400">
            <v>38000</v>
          </cell>
          <cell r="AS400">
            <v>31700</v>
          </cell>
          <cell r="AV400">
            <v>53430.83</v>
          </cell>
          <cell r="AW400">
            <v>106861.66</v>
          </cell>
          <cell r="AX400">
            <v>53430.83</v>
          </cell>
          <cell r="AY400">
            <v>283423</v>
          </cell>
          <cell r="AZ400">
            <v>5059660</v>
          </cell>
          <cell r="BA400">
            <v>0</v>
          </cell>
          <cell r="BB400">
            <v>283423</v>
          </cell>
          <cell r="BC400">
            <v>5059660</v>
          </cell>
        </row>
        <row r="401">
          <cell r="F401" t="str">
            <v>051020-039</v>
          </cell>
          <cell r="G401" t="str">
            <v>Kontrak 1</v>
          </cell>
          <cell r="H401" t="str">
            <v>Pelaksana</v>
          </cell>
          <cell r="I401" t="str">
            <v>Quality Control</v>
          </cell>
          <cell r="J401" t="str">
            <v>05 Oktober 2020</v>
          </cell>
          <cell r="K401" t="b">
            <v>0</v>
          </cell>
          <cell r="L401">
            <v>44109</v>
          </cell>
          <cell r="M401">
            <v>0</v>
          </cell>
          <cell r="N401">
            <v>7</v>
          </cell>
          <cell r="O401">
            <v>19</v>
          </cell>
          <cell r="Q401">
            <v>5343082</v>
          </cell>
          <cell r="R401">
            <v>4924046</v>
          </cell>
          <cell r="S401">
            <v>5343083</v>
          </cell>
          <cell r="T401">
            <v>0</v>
          </cell>
          <cell r="U401">
            <v>0</v>
          </cell>
          <cell r="V401">
            <v>0</v>
          </cell>
          <cell r="W401">
            <v>5343083</v>
          </cell>
          <cell r="X401">
            <v>5</v>
          </cell>
          <cell r="Z401">
            <v>16</v>
          </cell>
          <cell r="AB401">
            <v>21</v>
          </cell>
          <cell r="AC401">
            <v>1272162.6190476192</v>
          </cell>
          <cell r="AD401">
            <v>4070920.3809523811</v>
          </cell>
          <cell r="AE401">
            <v>5343083</v>
          </cell>
          <cell r="AF401">
            <v>0</v>
          </cell>
          <cell r="AG401">
            <v>5343083</v>
          </cell>
          <cell r="AH401" t="b">
            <v>1</v>
          </cell>
          <cell r="AK401">
            <v>5343083</v>
          </cell>
          <cell r="AL401" t="str">
            <v>TK</v>
          </cell>
          <cell r="AM401">
            <v>5343083</v>
          </cell>
          <cell r="AN401">
            <v>34354.584590750004</v>
          </cell>
          <cell r="AQ401">
            <v>0</v>
          </cell>
          <cell r="AR401">
            <v>38000</v>
          </cell>
          <cell r="AS401">
            <v>31700</v>
          </cell>
          <cell r="AV401">
            <v>53430.83</v>
          </cell>
          <cell r="AW401">
            <v>106861.66</v>
          </cell>
          <cell r="AX401">
            <v>53430.83</v>
          </cell>
          <cell r="AY401">
            <v>317778</v>
          </cell>
          <cell r="AZ401">
            <v>5025305</v>
          </cell>
          <cell r="BA401">
            <v>34354.584590750004</v>
          </cell>
          <cell r="BB401">
            <v>283423</v>
          </cell>
          <cell r="BC401">
            <v>5059660</v>
          </cell>
        </row>
        <row r="402">
          <cell r="F402" t="str">
            <v>051020-040</v>
          </cell>
          <cell r="G402" t="str">
            <v>Kontrak 1</v>
          </cell>
          <cell r="H402" t="str">
            <v>Pelaksana</v>
          </cell>
          <cell r="I402" t="str">
            <v>Quality Control</v>
          </cell>
          <cell r="J402" t="str">
            <v>05 Oktober 2020</v>
          </cell>
          <cell r="K402" t="b">
            <v>0</v>
          </cell>
          <cell r="L402">
            <v>44109</v>
          </cell>
          <cell r="M402">
            <v>0</v>
          </cell>
          <cell r="N402">
            <v>7</v>
          </cell>
          <cell r="O402">
            <v>19</v>
          </cell>
          <cell r="Q402">
            <v>5343082</v>
          </cell>
          <cell r="R402">
            <v>4924046</v>
          </cell>
          <cell r="S402">
            <v>5343083</v>
          </cell>
          <cell r="T402">
            <v>0</v>
          </cell>
          <cell r="U402">
            <v>0</v>
          </cell>
          <cell r="V402">
            <v>0</v>
          </cell>
          <cell r="W402">
            <v>5343083</v>
          </cell>
          <cell r="X402">
            <v>5</v>
          </cell>
          <cell r="Z402">
            <v>16</v>
          </cell>
          <cell r="AB402">
            <v>21</v>
          </cell>
          <cell r="AC402">
            <v>1272162.6190476192</v>
          </cell>
          <cell r="AD402">
            <v>4070920.3809523811</v>
          </cell>
          <cell r="AE402">
            <v>5343083</v>
          </cell>
          <cell r="AF402">
            <v>0</v>
          </cell>
          <cell r="AG402">
            <v>5343083</v>
          </cell>
          <cell r="AH402" t="b">
            <v>1</v>
          </cell>
          <cell r="AK402">
            <v>5343083</v>
          </cell>
          <cell r="AL402" t="str">
            <v>K2</v>
          </cell>
          <cell r="AM402">
            <v>5343083</v>
          </cell>
          <cell r="AN402">
            <v>0</v>
          </cell>
          <cell r="AQ402">
            <v>0</v>
          </cell>
          <cell r="AR402">
            <v>38000</v>
          </cell>
          <cell r="AS402">
            <v>31700</v>
          </cell>
          <cell r="AV402">
            <v>53430.83</v>
          </cell>
          <cell r="AW402">
            <v>106861.66</v>
          </cell>
          <cell r="AX402">
            <v>53430.83</v>
          </cell>
          <cell r="AY402">
            <v>283423</v>
          </cell>
          <cell r="AZ402">
            <v>5059660</v>
          </cell>
          <cell r="BA402">
            <v>0</v>
          </cell>
          <cell r="BB402">
            <v>283423</v>
          </cell>
          <cell r="BC402">
            <v>5059660</v>
          </cell>
        </row>
        <row r="403">
          <cell r="F403" t="str">
            <v>020321-026</v>
          </cell>
          <cell r="G403" t="str">
            <v>Kontrak 1</v>
          </cell>
          <cell r="H403" t="str">
            <v>Pelaksana</v>
          </cell>
          <cell r="I403" t="str">
            <v>Quality Control</v>
          </cell>
          <cell r="L403">
            <v>44257</v>
          </cell>
          <cell r="M403">
            <v>0</v>
          </cell>
          <cell r="N403">
            <v>2</v>
          </cell>
          <cell r="O403">
            <v>22</v>
          </cell>
          <cell r="S403">
            <v>5343083</v>
          </cell>
          <cell r="T403">
            <v>0</v>
          </cell>
          <cell r="U403">
            <v>0</v>
          </cell>
          <cell r="V403">
            <v>0</v>
          </cell>
          <cell r="W403">
            <v>5343083</v>
          </cell>
          <cell r="X403">
            <v>5</v>
          </cell>
          <cell r="Z403">
            <v>16</v>
          </cell>
          <cell r="AB403">
            <v>21</v>
          </cell>
          <cell r="AC403">
            <v>1272162.6190476192</v>
          </cell>
          <cell r="AD403">
            <v>4070920.3809523811</v>
          </cell>
          <cell r="AE403">
            <v>5343083</v>
          </cell>
          <cell r="AF403">
            <v>0</v>
          </cell>
          <cell r="AG403">
            <v>5343083</v>
          </cell>
          <cell r="AH403" t="b">
            <v>1</v>
          </cell>
          <cell r="AK403">
            <v>5343083</v>
          </cell>
          <cell r="AL403" t="str">
            <v>TK</v>
          </cell>
          <cell r="AM403">
            <v>5343083</v>
          </cell>
          <cell r="AN403">
            <v>24202.726890749982</v>
          </cell>
          <cell r="AQ403">
            <v>0</v>
          </cell>
          <cell r="AS403">
            <v>31700</v>
          </cell>
          <cell r="AV403">
            <v>0</v>
          </cell>
          <cell r="AW403">
            <v>106861.66</v>
          </cell>
          <cell r="AX403">
            <v>53430.83</v>
          </cell>
          <cell r="AY403">
            <v>216195</v>
          </cell>
          <cell r="AZ403">
            <v>5126888</v>
          </cell>
          <cell r="BA403">
            <v>24202.726890749982</v>
          </cell>
          <cell r="BB403">
            <v>191992</v>
          </cell>
          <cell r="BC403">
            <v>5151091</v>
          </cell>
        </row>
        <row r="404">
          <cell r="F404" t="str">
            <v>040321-009</v>
          </cell>
          <cell r="G404" t="str">
            <v>Kontrak 1</v>
          </cell>
          <cell r="H404" t="str">
            <v>Pelaksana</v>
          </cell>
          <cell r="I404" t="str">
            <v>Quality Control</v>
          </cell>
          <cell r="L404">
            <v>44259</v>
          </cell>
          <cell r="M404">
            <v>0</v>
          </cell>
          <cell r="N404">
            <v>2</v>
          </cell>
          <cell r="O404">
            <v>20</v>
          </cell>
          <cell r="S404">
            <v>5343083</v>
          </cell>
          <cell r="T404">
            <v>0</v>
          </cell>
          <cell r="U404">
            <v>0</v>
          </cell>
          <cell r="V404">
            <v>0</v>
          </cell>
          <cell r="W404">
            <v>5343083</v>
          </cell>
          <cell r="X404">
            <v>5</v>
          </cell>
          <cell r="Z404">
            <v>16</v>
          </cell>
          <cell r="AB404">
            <v>21</v>
          </cell>
          <cell r="AC404">
            <v>1272162.6190476192</v>
          </cell>
          <cell r="AD404">
            <v>4070920.3809523811</v>
          </cell>
          <cell r="AE404">
            <v>5343083</v>
          </cell>
          <cell r="AF404">
            <v>0</v>
          </cell>
          <cell r="AG404">
            <v>5343083</v>
          </cell>
          <cell r="AH404" t="b">
            <v>1</v>
          </cell>
          <cell r="AK404">
            <v>5343083</v>
          </cell>
          <cell r="AL404" t="str">
            <v>TK</v>
          </cell>
          <cell r="AM404">
            <v>5343083</v>
          </cell>
          <cell r="AN404">
            <v>34354.584590750004</v>
          </cell>
          <cell r="AQ404">
            <v>0</v>
          </cell>
          <cell r="AS404">
            <v>31700</v>
          </cell>
          <cell r="AV404">
            <v>53430.83</v>
          </cell>
          <cell r="AW404">
            <v>106861.66</v>
          </cell>
          <cell r="AX404">
            <v>53430.83</v>
          </cell>
          <cell r="AY404">
            <v>279778</v>
          </cell>
          <cell r="AZ404">
            <v>5063305</v>
          </cell>
          <cell r="BA404">
            <v>34354.584590750004</v>
          </cell>
          <cell r="BB404">
            <v>245423</v>
          </cell>
          <cell r="BC404">
            <v>5097660</v>
          </cell>
        </row>
        <row r="405">
          <cell r="F405" t="str">
            <v>040321-010</v>
          </cell>
          <cell r="G405" t="str">
            <v>Kontrak 1</v>
          </cell>
          <cell r="H405" t="str">
            <v>Pelaksana</v>
          </cell>
          <cell r="I405" t="str">
            <v>Quality Control</v>
          </cell>
          <cell r="L405">
            <v>44259</v>
          </cell>
          <cell r="M405">
            <v>0</v>
          </cell>
          <cell r="N405">
            <v>2</v>
          </cell>
          <cell r="O405">
            <v>20</v>
          </cell>
          <cell r="S405">
            <v>5343083</v>
          </cell>
          <cell r="T405">
            <v>0</v>
          </cell>
          <cell r="U405">
            <v>0</v>
          </cell>
          <cell r="V405">
            <v>0</v>
          </cell>
          <cell r="W405">
            <v>5343083</v>
          </cell>
          <cell r="X405">
            <v>5</v>
          </cell>
          <cell r="Z405">
            <v>16</v>
          </cell>
          <cell r="AB405">
            <v>21</v>
          </cell>
          <cell r="AC405">
            <v>1272162.6190476192</v>
          </cell>
          <cell r="AD405">
            <v>4070920.3809523811</v>
          </cell>
          <cell r="AE405">
            <v>5343083</v>
          </cell>
          <cell r="AF405">
            <v>0</v>
          </cell>
          <cell r="AG405">
            <v>5343083</v>
          </cell>
          <cell r="AH405" t="b">
            <v>1</v>
          </cell>
          <cell r="AK405">
            <v>5343083</v>
          </cell>
          <cell r="AL405" t="str">
            <v>TK</v>
          </cell>
          <cell r="AM405">
            <v>5343083</v>
          </cell>
          <cell r="AN405">
            <v>41225.501508900001</v>
          </cell>
          <cell r="AQ405">
            <v>0</v>
          </cell>
          <cell r="AS405">
            <v>31700</v>
          </cell>
          <cell r="AV405">
            <v>53430.83</v>
          </cell>
          <cell r="AW405">
            <v>106861.66</v>
          </cell>
          <cell r="AX405">
            <v>53430.83</v>
          </cell>
          <cell r="AY405">
            <v>286649</v>
          </cell>
          <cell r="AZ405">
            <v>5056434</v>
          </cell>
          <cell r="BA405">
            <v>0</v>
          </cell>
          <cell r="BB405">
            <v>286649</v>
          </cell>
          <cell r="BC405">
            <v>5056434</v>
          </cell>
        </row>
        <row r="406">
          <cell r="F406" t="str">
            <v>060321-001</v>
          </cell>
          <cell r="G406" t="str">
            <v>Kontrak 1</v>
          </cell>
          <cell r="H406" t="str">
            <v>Pelaksana</v>
          </cell>
          <cell r="I406" t="str">
            <v>Quality Control</v>
          </cell>
          <cell r="L406">
            <v>44261</v>
          </cell>
          <cell r="M406">
            <v>0</v>
          </cell>
          <cell r="N406">
            <v>2</v>
          </cell>
          <cell r="O406">
            <v>18</v>
          </cell>
          <cell r="S406">
            <v>5343083</v>
          </cell>
          <cell r="T406">
            <v>0</v>
          </cell>
          <cell r="U406">
            <v>0</v>
          </cell>
          <cell r="V406">
            <v>0</v>
          </cell>
          <cell r="W406">
            <v>5343083</v>
          </cell>
          <cell r="X406">
            <v>5</v>
          </cell>
          <cell r="Z406">
            <v>16</v>
          </cell>
          <cell r="AB406">
            <v>21</v>
          </cell>
          <cell r="AC406">
            <v>1272162.6190476192</v>
          </cell>
          <cell r="AD406">
            <v>4070920.3809523811</v>
          </cell>
          <cell r="AE406">
            <v>5343083</v>
          </cell>
          <cell r="AF406">
            <v>0</v>
          </cell>
          <cell r="AG406">
            <v>5343083</v>
          </cell>
          <cell r="AH406" t="b">
            <v>1</v>
          </cell>
          <cell r="AK406">
            <v>5343083</v>
          </cell>
          <cell r="AL406" t="str">
            <v>K0</v>
          </cell>
          <cell r="AM406">
            <v>5343083</v>
          </cell>
          <cell r="AN406">
            <v>15604.584590750002</v>
          </cell>
          <cell r="AQ406">
            <v>0</v>
          </cell>
          <cell r="AS406">
            <v>31700</v>
          </cell>
          <cell r="AV406">
            <v>53430.83</v>
          </cell>
          <cell r="AW406">
            <v>106861.66</v>
          </cell>
          <cell r="AX406">
            <v>53430.83</v>
          </cell>
          <cell r="AY406">
            <v>261028</v>
          </cell>
          <cell r="AZ406">
            <v>5082055</v>
          </cell>
          <cell r="BA406">
            <v>15604.584590750002</v>
          </cell>
          <cell r="BB406">
            <v>245423</v>
          </cell>
          <cell r="BC406">
            <v>5097660</v>
          </cell>
        </row>
        <row r="407">
          <cell r="F407" t="str">
            <v>060321-002</v>
          </cell>
          <cell r="G407" t="str">
            <v>Kontrak 1</v>
          </cell>
          <cell r="H407" t="str">
            <v>Pelaksana</v>
          </cell>
          <cell r="I407" t="str">
            <v>Quality Control</v>
          </cell>
          <cell r="L407">
            <v>44261</v>
          </cell>
          <cell r="M407">
            <v>0</v>
          </cell>
          <cell r="N407">
            <v>2</v>
          </cell>
          <cell r="O407">
            <v>18</v>
          </cell>
          <cell r="S407">
            <v>5343083</v>
          </cell>
          <cell r="T407">
            <v>0</v>
          </cell>
          <cell r="U407">
            <v>0</v>
          </cell>
          <cell r="V407">
            <v>0</v>
          </cell>
          <cell r="W407">
            <v>5343083</v>
          </cell>
          <cell r="X407">
            <v>5</v>
          </cell>
          <cell r="Z407">
            <v>16</v>
          </cell>
          <cell r="AB407">
            <v>21</v>
          </cell>
          <cell r="AC407">
            <v>1272162.6190476192</v>
          </cell>
          <cell r="AD407">
            <v>4070920.3809523811</v>
          </cell>
          <cell r="AE407">
            <v>5343083</v>
          </cell>
          <cell r="AF407">
            <v>0</v>
          </cell>
          <cell r="AG407">
            <v>5343083</v>
          </cell>
          <cell r="AH407" t="b">
            <v>1</v>
          </cell>
          <cell r="AK407">
            <v>5343083</v>
          </cell>
          <cell r="AL407" t="str">
            <v>K0</v>
          </cell>
          <cell r="AM407">
            <v>5343083</v>
          </cell>
          <cell r="AN407">
            <v>15604.584590750002</v>
          </cell>
          <cell r="AQ407">
            <v>0</v>
          </cell>
          <cell r="AS407">
            <v>31700</v>
          </cell>
          <cell r="AV407">
            <v>53430.83</v>
          </cell>
          <cell r="AW407">
            <v>106861.66</v>
          </cell>
          <cell r="AX407">
            <v>53430.83</v>
          </cell>
          <cell r="AY407">
            <v>261028</v>
          </cell>
          <cell r="AZ407">
            <v>5082055</v>
          </cell>
          <cell r="BA407">
            <v>15604.584590750002</v>
          </cell>
          <cell r="BB407">
            <v>245423</v>
          </cell>
          <cell r="BC407">
            <v>5097660</v>
          </cell>
        </row>
        <row r="408">
          <cell r="F408" t="str">
            <v>060321-003</v>
          </cell>
          <cell r="G408" t="str">
            <v>Kontrak 1</v>
          </cell>
          <cell r="H408" t="str">
            <v>Pelaksana</v>
          </cell>
          <cell r="I408" t="str">
            <v>Quality Control</v>
          </cell>
          <cell r="L408">
            <v>44261</v>
          </cell>
          <cell r="M408">
            <v>0</v>
          </cell>
          <cell r="N408">
            <v>2</v>
          </cell>
          <cell r="O408">
            <v>18</v>
          </cell>
          <cell r="S408">
            <v>5343083</v>
          </cell>
          <cell r="T408">
            <v>0</v>
          </cell>
          <cell r="U408">
            <v>0</v>
          </cell>
          <cell r="V408">
            <v>0</v>
          </cell>
          <cell r="W408">
            <v>5343083</v>
          </cell>
          <cell r="X408">
            <v>5</v>
          </cell>
          <cell r="Z408">
            <v>16</v>
          </cell>
          <cell r="AB408">
            <v>21</v>
          </cell>
          <cell r="AC408">
            <v>1272162.6190476192</v>
          </cell>
          <cell r="AD408">
            <v>4070920.3809523811</v>
          </cell>
          <cell r="AE408">
            <v>5343083</v>
          </cell>
          <cell r="AF408">
            <v>0</v>
          </cell>
          <cell r="AG408">
            <v>5343083</v>
          </cell>
          <cell r="AH408" t="b">
            <v>1</v>
          </cell>
          <cell r="AK408">
            <v>5343083</v>
          </cell>
          <cell r="AL408" t="str">
            <v>TK</v>
          </cell>
          <cell r="AM408">
            <v>5343083</v>
          </cell>
          <cell r="AN408">
            <v>34354.584590750004</v>
          </cell>
          <cell r="AQ408">
            <v>0</v>
          </cell>
          <cell r="AS408">
            <v>31700</v>
          </cell>
          <cell r="AV408">
            <v>53430.83</v>
          </cell>
          <cell r="AW408">
            <v>106861.66</v>
          </cell>
          <cell r="AX408">
            <v>53430.83</v>
          </cell>
          <cell r="AY408">
            <v>279778</v>
          </cell>
          <cell r="AZ408">
            <v>5063305</v>
          </cell>
          <cell r="BA408">
            <v>34354.584590750004</v>
          </cell>
          <cell r="BB408">
            <v>245423</v>
          </cell>
          <cell r="BC408">
            <v>5097660</v>
          </cell>
        </row>
        <row r="409">
          <cell r="F409" t="str">
            <v>060321-004</v>
          </cell>
          <cell r="G409" t="str">
            <v>Kontrak 1</v>
          </cell>
          <cell r="H409" t="str">
            <v>Pelaksana</v>
          </cell>
          <cell r="I409" t="str">
            <v>Quality Control</v>
          </cell>
          <cell r="L409">
            <v>44261</v>
          </cell>
          <cell r="M409">
            <v>0</v>
          </cell>
          <cell r="N409">
            <v>2</v>
          </cell>
          <cell r="O409">
            <v>18</v>
          </cell>
          <cell r="S409">
            <v>5343083</v>
          </cell>
          <cell r="T409">
            <v>0</v>
          </cell>
          <cell r="U409">
            <v>0</v>
          </cell>
          <cell r="V409">
            <v>0</v>
          </cell>
          <cell r="W409">
            <v>5343083</v>
          </cell>
          <cell r="X409">
            <v>5</v>
          </cell>
          <cell r="Z409">
            <v>16</v>
          </cell>
          <cell r="AB409">
            <v>21</v>
          </cell>
          <cell r="AC409">
            <v>1272162.6190476192</v>
          </cell>
          <cell r="AD409">
            <v>4070920.3809523811</v>
          </cell>
          <cell r="AE409">
            <v>5343083</v>
          </cell>
          <cell r="AF409">
            <v>0</v>
          </cell>
          <cell r="AG409">
            <v>5343083</v>
          </cell>
          <cell r="AH409" t="b">
            <v>1</v>
          </cell>
          <cell r="AK409">
            <v>5343083</v>
          </cell>
          <cell r="AL409" t="str">
            <v>K1</v>
          </cell>
          <cell r="AM409">
            <v>5343083</v>
          </cell>
          <cell r="AN409">
            <v>0</v>
          </cell>
          <cell r="AQ409">
            <v>0</v>
          </cell>
          <cell r="AS409">
            <v>31700</v>
          </cell>
          <cell r="AV409">
            <v>53430.83</v>
          </cell>
          <cell r="AW409">
            <v>106861.66</v>
          </cell>
          <cell r="AX409">
            <v>53430.83</v>
          </cell>
          <cell r="AY409">
            <v>245423</v>
          </cell>
          <cell r="AZ409">
            <v>5097660</v>
          </cell>
          <cell r="BA409">
            <v>0</v>
          </cell>
          <cell r="BB409">
            <v>245423</v>
          </cell>
          <cell r="BC409">
            <v>5097660</v>
          </cell>
        </row>
        <row r="410">
          <cell r="F410" t="str">
            <v>060321-006</v>
          </cell>
          <cell r="G410" t="str">
            <v>Kontrak 1</v>
          </cell>
          <cell r="H410" t="str">
            <v>Pelaksana</v>
          </cell>
          <cell r="I410" t="str">
            <v>Quality Control</v>
          </cell>
          <cell r="L410">
            <v>44261</v>
          </cell>
          <cell r="M410">
            <v>0</v>
          </cell>
          <cell r="N410">
            <v>2</v>
          </cell>
          <cell r="O410">
            <v>18</v>
          </cell>
          <cell r="S410">
            <v>5343083</v>
          </cell>
          <cell r="T410">
            <v>0</v>
          </cell>
          <cell r="U410">
            <v>0</v>
          </cell>
          <cell r="V410">
            <v>0</v>
          </cell>
          <cell r="W410">
            <v>5343083</v>
          </cell>
          <cell r="X410">
            <v>5</v>
          </cell>
          <cell r="Z410">
            <v>16</v>
          </cell>
          <cell r="AB410">
            <v>21</v>
          </cell>
          <cell r="AC410">
            <v>1272162.6190476192</v>
          </cell>
          <cell r="AD410">
            <v>4070920.3809523811</v>
          </cell>
          <cell r="AE410">
            <v>5343083</v>
          </cell>
          <cell r="AF410">
            <v>0</v>
          </cell>
          <cell r="AG410">
            <v>5343083</v>
          </cell>
          <cell r="AH410" t="b">
            <v>1</v>
          </cell>
          <cell r="AK410">
            <v>5343083</v>
          </cell>
          <cell r="AL410" t="str">
            <v>K0</v>
          </cell>
          <cell r="AM410">
            <v>5343083</v>
          </cell>
          <cell r="AN410">
            <v>15604.584590750002</v>
          </cell>
          <cell r="AQ410">
            <v>0</v>
          </cell>
          <cell r="AS410">
            <v>31700</v>
          </cell>
          <cell r="AV410">
            <v>53430.83</v>
          </cell>
          <cell r="AW410">
            <v>106861.66</v>
          </cell>
          <cell r="AX410">
            <v>53430.83</v>
          </cell>
          <cell r="AY410">
            <v>261028</v>
          </cell>
          <cell r="AZ410">
            <v>5082055</v>
          </cell>
          <cell r="BA410">
            <v>15604.584590750002</v>
          </cell>
          <cell r="BB410">
            <v>245423</v>
          </cell>
          <cell r="BC410">
            <v>5097660</v>
          </cell>
        </row>
        <row r="411">
          <cell r="F411" t="str">
            <v>060321-007</v>
          </cell>
          <cell r="G411" t="str">
            <v>Kontrak 1</v>
          </cell>
          <cell r="H411" t="str">
            <v>Pelaksana</v>
          </cell>
          <cell r="I411" t="str">
            <v>Quality Control</v>
          </cell>
          <cell r="L411">
            <v>44261</v>
          </cell>
          <cell r="M411">
            <v>0</v>
          </cell>
          <cell r="N411">
            <v>2</v>
          </cell>
          <cell r="O411">
            <v>18</v>
          </cell>
          <cell r="S411">
            <v>5343083</v>
          </cell>
          <cell r="T411">
            <v>0</v>
          </cell>
          <cell r="U411">
            <v>0</v>
          </cell>
          <cell r="V411">
            <v>0</v>
          </cell>
          <cell r="W411">
            <v>5343083</v>
          </cell>
          <cell r="X411">
            <v>5</v>
          </cell>
          <cell r="Z411">
            <v>16</v>
          </cell>
          <cell r="AB411">
            <v>21</v>
          </cell>
          <cell r="AC411">
            <v>1272162.6190476192</v>
          </cell>
          <cell r="AD411">
            <v>4070920.3809523811</v>
          </cell>
          <cell r="AE411">
            <v>5343083</v>
          </cell>
          <cell r="AF411">
            <v>0</v>
          </cell>
          <cell r="AG411">
            <v>5343083</v>
          </cell>
          <cell r="AH411" t="b">
            <v>1</v>
          </cell>
          <cell r="AK411">
            <v>5343083</v>
          </cell>
          <cell r="AL411" t="str">
            <v>TK</v>
          </cell>
          <cell r="AM411">
            <v>5343083</v>
          </cell>
          <cell r="AN411">
            <v>34354.584590750004</v>
          </cell>
          <cell r="AQ411">
            <v>0</v>
          </cell>
          <cell r="AS411">
            <v>31700</v>
          </cell>
          <cell r="AV411">
            <v>53430.83</v>
          </cell>
          <cell r="AW411">
            <v>106861.66</v>
          </cell>
          <cell r="AX411">
            <v>53430.83</v>
          </cell>
          <cell r="AY411">
            <v>279778</v>
          </cell>
          <cell r="AZ411">
            <v>5063305</v>
          </cell>
          <cell r="BA411">
            <v>34354.584590750004</v>
          </cell>
          <cell r="BB411">
            <v>245423</v>
          </cell>
          <cell r="BC411">
            <v>5097660</v>
          </cell>
        </row>
        <row r="412">
          <cell r="F412" t="str">
            <v>010321-033</v>
          </cell>
          <cell r="G412" t="str">
            <v>Kontrak 1</v>
          </cell>
          <cell r="H412" t="str">
            <v>Pelaksana</v>
          </cell>
          <cell r="I412" t="str">
            <v>Prod. Stamping</v>
          </cell>
          <cell r="L412">
            <v>44256</v>
          </cell>
          <cell r="M412">
            <v>0</v>
          </cell>
          <cell r="N412">
            <v>2</v>
          </cell>
          <cell r="O412">
            <v>23</v>
          </cell>
          <cell r="S412">
            <v>5343083</v>
          </cell>
          <cell r="T412">
            <v>0</v>
          </cell>
          <cell r="U412">
            <v>0</v>
          </cell>
          <cell r="V412">
            <v>0</v>
          </cell>
          <cell r="W412">
            <v>5343083</v>
          </cell>
          <cell r="X412">
            <v>5</v>
          </cell>
          <cell r="Z412">
            <v>16</v>
          </cell>
          <cell r="AB412">
            <v>21</v>
          </cell>
          <cell r="AC412">
            <v>1272162.6190476192</v>
          </cell>
          <cell r="AD412">
            <v>4070920.3809523811</v>
          </cell>
          <cell r="AE412">
            <v>5343083</v>
          </cell>
          <cell r="AF412">
            <v>0</v>
          </cell>
          <cell r="AG412">
            <v>5343083</v>
          </cell>
          <cell r="AH412" t="b">
            <v>1</v>
          </cell>
          <cell r="AK412">
            <v>5343083</v>
          </cell>
          <cell r="AL412" t="str">
            <v>TK</v>
          </cell>
          <cell r="AM412">
            <v>5343083</v>
          </cell>
          <cell r="AN412">
            <v>24202.726890749982</v>
          </cell>
          <cell r="AQ412">
            <v>0</v>
          </cell>
          <cell r="AS412">
            <v>31700</v>
          </cell>
          <cell r="AV412">
            <v>0</v>
          </cell>
          <cell r="AW412">
            <v>106861.66</v>
          </cell>
          <cell r="AX412">
            <v>53430.83</v>
          </cell>
          <cell r="AY412">
            <v>216195</v>
          </cell>
          <cell r="AZ412">
            <v>5126888</v>
          </cell>
          <cell r="BA412">
            <v>24202.726890749982</v>
          </cell>
          <cell r="BB412">
            <v>191992</v>
          </cell>
          <cell r="BC412">
            <v>5151091</v>
          </cell>
        </row>
        <row r="413">
          <cell r="F413" t="str">
            <v>100321-003</v>
          </cell>
          <cell r="G413" t="str">
            <v>Kontrak 1</v>
          </cell>
          <cell r="H413" t="str">
            <v>Pelaksana</v>
          </cell>
          <cell r="I413" t="str">
            <v>Quality Control</v>
          </cell>
          <cell r="L413">
            <v>44265</v>
          </cell>
          <cell r="M413">
            <v>0</v>
          </cell>
          <cell r="N413">
            <v>2</v>
          </cell>
          <cell r="O413">
            <v>14</v>
          </cell>
          <cell r="S413">
            <v>5343083</v>
          </cell>
          <cell r="T413">
            <v>0</v>
          </cell>
          <cell r="U413">
            <v>0</v>
          </cell>
          <cell r="V413">
            <v>0</v>
          </cell>
          <cell r="W413">
            <v>5343083</v>
          </cell>
          <cell r="X413">
            <v>5</v>
          </cell>
          <cell r="Z413">
            <v>16</v>
          </cell>
          <cell r="AB413">
            <v>21</v>
          </cell>
          <cell r="AC413">
            <v>1272162.6190476192</v>
          </cell>
          <cell r="AD413">
            <v>4070920.3809523811</v>
          </cell>
          <cell r="AE413">
            <v>5343083</v>
          </cell>
          <cell r="AF413">
            <v>0</v>
          </cell>
          <cell r="AG413">
            <v>5343083</v>
          </cell>
          <cell r="AH413" t="b">
            <v>1</v>
          </cell>
          <cell r="AK413">
            <v>5343083</v>
          </cell>
          <cell r="AL413" t="str">
            <v>K1</v>
          </cell>
          <cell r="AM413">
            <v>5343083</v>
          </cell>
          <cell r="AN413">
            <v>0</v>
          </cell>
          <cell r="AQ413">
            <v>0</v>
          </cell>
          <cell r="AS413">
            <v>31700</v>
          </cell>
          <cell r="AV413">
            <v>53430.83</v>
          </cell>
          <cell r="AW413">
            <v>106861.66</v>
          </cell>
          <cell r="AX413">
            <v>53430.83</v>
          </cell>
          <cell r="AY413">
            <v>245423</v>
          </cell>
          <cell r="AZ413">
            <v>5097660</v>
          </cell>
          <cell r="BA413">
            <v>0</v>
          </cell>
          <cell r="BB413">
            <v>245423</v>
          </cell>
          <cell r="BC413">
            <v>5097660</v>
          </cell>
        </row>
        <row r="414">
          <cell r="F414" t="str">
            <v>120321-008</v>
          </cell>
          <cell r="G414" t="str">
            <v>Kontrak 1</v>
          </cell>
          <cell r="H414" t="str">
            <v>Pelaksana</v>
          </cell>
          <cell r="I414" t="str">
            <v>Quality Control</v>
          </cell>
          <cell r="L414">
            <v>44267</v>
          </cell>
          <cell r="M414">
            <v>0</v>
          </cell>
          <cell r="N414">
            <v>2</v>
          </cell>
          <cell r="O414">
            <v>12</v>
          </cell>
          <cell r="S414">
            <v>5343083</v>
          </cell>
          <cell r="T414">
            <v>0</v>
          </cell>
          <cell r="U414">
            <v>0</v>
          </cell>
          <cell r="V414">
            <v>0</v>
          </cell>
          <cell r="W414">
            <v>5343083</v>
          </cell>
          <cell r="X414">
            <v>5</v>
          </cell>
          <cell r="Z414">
            <v>16</v>
          </cell>
          <cell r="AB414">
            <v>21</v>
          </cell>
          <cell r="AC414">
            <v>1272162.6190476192</v>
          </cell>
          <cell r="AD414">
            <v>4070920.3809523811</v>
          </cell>
          <cell r="AE414">
            <v>5343083</v>
          </cell>
          <cell r="AF414">
            <v>0</v>
          </cell>
          <cell r="AG414">
            <v>5343083</v>
          </cell>
          <cell r="AH414" t="b">
            <v>1</v>
          </cell>
          <cell r="AK414">
            <v>5343083</v>
          </cell>
          <cell r="AL414" t="str">
            <v>TK</v>
          </cell>
          <cell r="AM414">
            <v>5343083</v>
          </cell>
          <cell r="AN414">
            <v>34354.584590750004</v>
          </cell>
          <cell r="AQ414">
            <v>0</v>
          </cell>
          <cell r="AS414">
            <v>31700</v>
          </cell>
          <cell r="AV414">
            <v>53430.83</v>
          </cell>
          <cell r="AW414">
            <v>106861.66</v>
          </cell>
          <cell r="AX414">
            <v>53430.83</v>
          </cell>
          <cell r="AY414">
            <v>279778</v>
          </cell>
          <cell r="AZ414">
            <v>5063305</v>
          </cell>
          <cell r="BA414">
            <v>34354.584590750004</v>
          </cell>
          <cell r="BB414">
            <v>245423</v>
          </cell>
          <cell r="BC414">
            <v>5097660</v>
          </cell>
        </row>
        <row r="416">
          <cell r="F416" t="str">
            <v>100321-002</v>
          </cell>
          <cell r="G416" t="str">
            <v>Kontrak 1</v>
          </cell>
          <cell r="H416" t="str">
            <v>Pelaksana</v>
          </cell>
          <cell r="I416" t="str">
            <v>Quality Control</v>
          </cell>
          <cell r="L416">
            <v>44265</v>
          </cell>
          <cell r="M416">
            <v>0</v>
          </cell>
          <cell r="N416">
            <v>2</v>
          </cell>
          <cell r="O416">
            <v>14</v>
          </cell>
          <cell r="S416">
            <v>5343083</v>
          </cell>
          <cell r="T416">
            <v>0</v>
          </cell>
          <cell r="U416">
            <v>0</v>
          </cell>
          <cell r="V416">
            <v>0</v>
          </cell>
          <cell r="W416">
            <v>5343083</v>
          </cell>
          <cell r="X416">
            <v>5</v>
          </cell>
          <cell r="Z416">
            <v>16</v>
          </cell>
          <cell r="AB416">
            <v>21</v>
          </cell>
          <cell r="AC416">
            <v>1272162.6190476192</v>
          </cell>
          <cell r="AD416">
            <v>4070920.3809523811</v>
          </cell>
          <cell r="AE416">
            <v>5343083</v>
          </cell>
          <cell r="AF416">
            <v>0</v>
          </cell>
          <cell r="AG416">
            <v>5343083</v>
          </cell>
          <cell r="AH416" t="b">
            <v>1</v>
          </cell>
          <cell r="AK416">
            <v>5343083</v>
          </cell>
          <cell r="AL416" t="str">
            <v>TK</v>
          </cell>
          <cell r="AM416">
            <v>5343083</v>
          </cell>
          <cell r="AN416">
            <v>34354.584590750004</v>
          </cell>
          <cell r="AQ416">
            <v>0</v>
          </cell>
          <cell r="AS416">
            <v>31700</v>
          </cell>
          <cell r="AV416">
            <v>53430.83</v>
          </cell>
          <cell r="AW416">
            <v>106861.66</v>
          </cell>
          <cell r="AX416">
            <v>53430.83</v>
          </cell>
          <cell r="AY416">
            <v>279778</v>
          </cell>
          <cell r="AZ416">
            <v>5063305</v>
          </cell>
          <cell r="BA416">
            <v>34354.584590750004</v>
          </cell>
          <cell r="BB416">
            <v>245423</v>
          </cell>
          <cell r="BC416">
            <v>5097660</v>
          </cell>
        </row>
        <row r="417">
          <cell r="F417" t="str">
            <v>240521-001</v>
          </cell>
          <cell r="G417" t="str">
            <v>Pembaharuan</v>
          </cell>
          <cell r="H417" t="str">
            <v>Pelaksana</v>
          </cell>
          <cell r="I417" t="str">
            <v>Quality Control</v>
          </cell>
          <cell r="J417">
            <v>44340</v>
          </cell>
          <cell r="K417" t="b">
            <v>1</v>
          </cell>
          <cell r="L417">
            <v>44340</v>
          </cell>
          <cell r="M417">
            <v>0</v>
          </cell>
          <cell r="N417">
            <v>0</v>
          </cell>
          <cell r="O417">
            <v>0</v>
          </cell>
          <cell r="Q417">
            <v>5343082</v>
          </cell>
          <cell r="R417">
            <v>4924046</v>
          </cell>
          <cell r="S417">
            <v>5343083</v>
          </cell>
          <cell r="T417">
            <v>0</v>
          </cell>
          <cell r="U417">
            <v>0</v>
          </cell>
          <cell r="V417">
            <v>0</v>
          </cell>
          <cell r="W417">
            <v>5343083</v>
          </cell>
          <cell r="X417">
            <v>5</v>
          </cell>
          <cell r="Z417">
            <v>16</v>
          </cell>
          <cell r="AB417">
            <v>21</v>
          </cell>
          <cell r="AC417">
            <v>1272162.6190476192</v>
          </cell>
          <cell r="AD417">
            <v>4070920.3809523811</v>
          </cell>
          <cell r="AE417">
            <v>5343083</v>
          </cell>
          <cell r="AF417">
            <v>0</v>
          </cell>
          <cell r="AG417">
            <v>5343083</v>
          </cell>
          <cell r="AH417" t="b">
            <v>1</v>
          </cell>
          <cell r="AK417">
            <v>5343083</v>
          </cell>
          <cell r="AL417" t="str">
            <v>TK</v>
          </cell>
          <cell r="AM417">
            <v>4701913</v>
          </cell>
          <cell r="AN417">
            <v>3899.0095907500017</v>
          </cell>
          <cell r="AP417">
            <v>3</v>
          </cell>
          <cell r="AQ417">
            <v>641170</v>
          </cell>
          <cell r="AR417">
            <v>38000</v>
          </cell>
          <cell r="AS417">
            <v>31700</v>
          </cell>
          <cell r="AU417">
            <v>10000</v>
          </cell>
          <cell r="AV417">
            <v>53430.83</v>
          </cell>
          <cell r="AW417">
            <v>106861.66</v>
          </cell>
          <cell r="AX417">
            <v>53430.83</v>
          </cell>
          <cell r="AY417">
            <v>938492</v>
          </cell>
          <cell r="AZ417">
            <v>4404591</v>
          </cell>
          <cell r="BA417">
            <v>3899.0095907500017</v>
          </cell>
          <cell r="BB417">
            <v>934593</v>
          </cell>
          <cell r="BC417">
            <v>4408490</v>
          </cell>
        </row>
        <row r="418">
          <cell r="F418" t="str">
            <v>211019-004</v>
          </cell>
          <cell r="G418" t="str">
            <v>Kontrak 2</v>
          </cell>
          <cell r="H418" t="str">
            <v>Pelaksana</v>
          </cell>
          <cell r="I418" t="str">
            <v>Quality Control</v>
          </cell>
          <cell r="J418">
            <v>43759</v>
          </cell>
          <cell r="K418" t="b">
            <v>1</v>
          </cell>
          <cell r="L418">
            <v>43759</v>
          </cell>
          <cell r="M418">
            <v>1</v>
          </cell>
          <cell r="N418">
            <v>7</v>
          </cell>
          <cell r="O418">
            <v>3</v>
          </cell>
          <cell r="Q418">
            <v>5343082</v>
          </cell>
          <cell r="R418">
            <v>4924046</v>
          </cell>
          <cell r="S418">
            <v>5343083</v>
          </cell>
          <cell r="T418">
            <v>0</v>
          </cell>
          <cell r="U418">
            <v>0</v>
          </cell>
          <cell r="V418">
            <v>0</v>
          </cell>
          <cell r="W418">
            <v>5343083</v>
          </cell>
          <cell r="X418">
            <v>5</v>
          </cell>
          <cell r="Z418">
            <v>16</v>
          </cell>
          <cell r="AB418">
            <v>21</v>
          </cell>
          <cell r="AC418">
            <v>1272162.6190476192</v>
          </cell>
          <cell r="AD418">
            <v>4070920.3809523811</v>
          </cell>
          <cell r="AE418">
            <v>5343083</v>
          </cell>
          <cell r="AF418">
            <v>0</v>
          </cell>
          <cell r="AG418">
            <v>5343083</v>
          </cell>
          <cell r="AH418" t="b">
            <v>1</v>
          </cell>
          <cell r="AK418">
            <v>5343083</v>
          </cell>
          <cell r="AL418" t="str">
            <v>TK</v>
          </cell>
          <cell r="AM418">
            <v>5343083</v>
          </cell>
          <cell r="AN418">
            <v>34354.584590750004</v>
          </cell>
          <cell r="AQ418">
            <v>0</v>
          </cell>
          <cell r="AR418">
            <v>38000</v>
          </cell>
          <cell r="AS418">
            <v>31700</v>
          </cell>
          <cell r="AV418">
            <v>53430.83</v>
          </cell>
          <cell r="AW418">
            <v>106861.66</v>
          </cell>
          <cell r="AX418">
            <v>53430.83</v>
          </cell>
          <cell r="AY418">
            <v>317778</v>
          </cell>
          <cell r="AZ418">
            <v>5025305</v>
          </cell>
          <cell r="BA418">
            <v>34354.584590750004</v>
          </cell>
          <cell r="BB418">
            <v>283423</v>
          </cell>
          <cell r="BC418">
            <v>5059660</v>
          </cell>
        </row>
        <row r="419">
          <cell r="Q419">
            <v>286547182</v>
          </cell>
          <cell r="R419">
            <v>265595382</v>
          </cell>
          <cell r="S419">
            <v>356507311</v>
          </cell>
          <cell r="T419">
            <v>7300000</v>
          </cell>
          <cell r="U419">
            <v>1100000</v>
          </cell>
          <cell r="V419">
            <v>1420000</v>
          </cell>
          <cell r="W419">
            <v>366327311</v>
          </cell>
          <cell r="X419">
            <v>330</v>
          </cell>
          <cell r="Y419">
            <v>0</v>
          </cell>
          <cell r="Z419">
            <v>1056</v>
          </cell>
          <cell r="AA419">
            <v>0</v>
          </cell>
          <cell r="AB419">
            <v>1386</v>
          </cell>
          <cell r="AC419">
            <v>87220788.333333239</v>
          </cell>
          <cell r="AD419">
            <v>279106522.66666692</v>
          </cell>
          <cell r="AE419">
            <v>366327311</v>
          </cell>
          <cell r="AF419">
            <v>0</v>
          </cell>
          <cell r="AG419">
            <v>366327311</v>
          </cell>
          <cell r="AH419">
            <v>0</v>
          </cell>
          <cell r="AJ419">
            <v>0</v>
          </cell>
          <cell r="AK419">
            <v>366327311</v>
          </cell>
          <cell r="AL419">
            <v>0</v>
          </cell>
          <cell r="AM419">
            <v>365153466</v>
          </cell>
          <cell r="AN419">
            <v>1318881.282426401</v>
          </cell>
          <cell r="AO419">
            <v>0</v>
          </cell>
          <cell r="AP419">
            <v>5</v>
          </cell>
          <cell r="AQ419">
            <v>1173845</v>
          </cell>
          <cell r="AR419">
            <v>1596000</v>
          </cell>
          <cell r="AS419">
            <v>2092200</v>
          </cell>
          <cell r="AT419">
            <v>4972900</v>
          </cell>
          <cell r="AU419">
            <v>190000</v>
          </cell>
          <cell r="AV419">
            <v>3519571.450000003</v>
          </cell>
          <cell r="AW419">
            <v>7326546.2200000063</v>
          </cell>
          <cell r="AX419">
            <v>3655419.1100000031</v>
          </cell>
          <cell r="AY419">
            <v>25845356</v>
          </cell>
          <cell r="AZ419">
            <v>340481955</v>
          </cell>
          <cell r="BA419">
            <v>1277655.7809175011</v>
          </cell>
          <cell r="BB419">
            <v>24567687</v>
          </cell>
          <cell r="BC419">
            <v>341759624</v>
          </cell>
        </row>
        <row r="422">
          <cell r="F422" t="str">
            <v>NIK</v>
          </cell>
          <cell r="G422" t="str">
            <v>STATUS</v>
          </cell>
          <cell r="H422" t="str">
            <v>LEVEL</v>
          </cell>
          <cell r="I422" t="str">
            <v>BAGIAN</v>
          </cell>
          <cell r="J422" t="str">
            <v>DB</v>
          </cell>
          <cell r="L422" t="str">
            <v>JOIN</v>
          </cell>
          <cell r="M422" t="str">
            <v>MK</v>
          </cell>
          <cell r="Q422" t="str">
            <v>FIXED SALARY (KESEPAKATAN 2020)</v>
          </cell>
          <cell r="R422" t="str">
            <v>FIXED SALARY (NOVEMBER 2020)</v>
          </cell>
          <cell r="S422" t="str">
            <v>FIXED SALARY (UMSK 2020)</v>
          </cell>
          <cell r="T422" t="str">
            <v>JOB STRUCTURE ALLOWANCE</v>
          </cell>
          <cell r="U422" t="str">
            <v>SKILL ALLOWANCE</v>
          </cell>
          <cell r="V422" t="str">
            <v>PERFORMANCE ALLOWANCE 2020</v>
          </cell>
          <cell r="W422" t="str">
            <v>TOTAL</v>
          </cell>
          <cell r="X422" t="str">
            <v>WORKDAYS</v>
          </cell>
          <cell r="AB422" t="str">
            <v>CEK</v>
          </cell>
          <cell r="AC422" t="str">
            <v xml:space="preserve">SALARY </v>
          </cell>
          <cell r="AD422" t="str">
            <v>SALARY</v>
          </cell>
          <cell r="AE422" t="str">
            <v>TOTAL SALARY (COVID-19)</v>
          </cell>
          <cell r="AF422" t="str">
            <v>POT OFF</v>
          </cell>
          <cell r="AG422" t="str">
            <v>CEK</v>
          </cell>
          <cell r="AH422" t="str">
            <v>CEK</v>
          </cell>
          <cell r="AJ422" t="str">
            <v>BACK PAY ( RAPEL) / INCENTIVE</v>
          </cell>
          <cell r="AK422" t="str">
            <v>TOTAL</v>
          </cell>
          <cell r="AL422" t="str">
            <v>PERHITUNGAN PPh</v>
          </cell>
          <cell r="AN422" t="str">
            <v>TAX</v>
          </cell>
          <cell r="AO422" t="str">
            <v>RETURND</v>
          </cell>
          <cell r="AP422" t="str">
            <v>ABSEN</v>
          </cell>
          <cell r="AR422" t="str">
            <v>DEDUCTION</v>
          </cell>
          <cell r="AV422" t="str">
            <v>BPJS</v>
          </cell>
          <cell r="AW422" t="str">
            <v>BPJS KETENAGAKERJAAN</v>
          </cell>
          <cell r="AY422" t="str">
            <v>TOTAL</v>
          </cell>
          <cell r="AZ422" t="str">
            <v>TOTAL</v>
          </cell>
          <cell r="BA422" t="str">
            <v>INSENTIF</v>
          </cell>
          <cell r="BB422" t="str">
            <v>WITH INSENTIF PPh21</v>
          </cell>
        </row>
        <row r="423">
          <cell r="F423" t="str">
            <v>SAI</v>
          </cell>
          <cell r="G423" t="str">
            <v>KONTRAK</v>
          </cell>
          <cell r="J423" t="str">
            <v>DATEJOIN</v>
          </cell>
          <cell r="K423" t="str">
            <v>CHECK</v>
          </cell>
          <cell r="L423" t="str">
            <v>DATE</v>
          </cell>
          <cell r="M423" t="str">
            <v>YEAR</v>
          </cell>
          <cell r="N423" t="str">
            <v>MONTH</v>
          </cell>
          <cell r="O423" t="str">
            <v>DAY</v>
          </cell>
          <cell r="W423" t="str">
            <v>SALARY</v>
          </cell>
          <cell r="X423" t="str">
            <v>ON</v>
          </cell>
          <cell r="Y423" t="str">
            <v>OFF</v>
          </cell>
          <cell r="Z423" t="str">
            <v>ON</v>
          </cell>
          <cell r="AA423" t="str">
            <v>OFF</v>
          </cell>
          <cell r="AB423" t="str">
            <v>WORKINGDAYS</v>
          </cell>
          <cell r="AC423" t="str">
            <v>PERIODE 25-31 FEB</v>
          </cell>
          <cell r="AD423" t="str">
            <v xml:space="preserve"> PERIODE 1-24 MAR</v>
          </cell>
          <cell r="AK423" t="str">
            <v xml:space="preserve">RECIEVED       </v>
          </cell>
          <cell r="AL423" t="str">
            <v>STATUS</v>
          </cell>
          <cell r="AM423" t="str">
            <v xml:space="preserve">TOTAL    GROSS </v>
          </cell>
          <cell r="AN423">
            <v>21</v>
          </cell>
          <cell r="AO423" t="str">
            <v>TAX JAN 2021</v>
          </cell>
          <cell r="AP423" t="str">
            <v>DAY</v>
          </cell>
          <cell r="AQ423" t="str">
            <v>( Rp )</v>
          </cell>
          <cell r="AR423" t="str">
            <v>UNION</v>
          </cell>
          <cell r="AS423" t="str">
            <v>RAPID TEST</v>
          </cell>
          <cell r="AT423" t="str">
            <v>OTHERS</v>
          </cell>
          <cell r="AU423" t="str">
            <v>KOPERASI</v>
          </cell>
          <cell r="AV423" t="str">
            <v>KESEHATAN</v>
          </cell>
          <cell r="AW423" t="str">
            <v>JHT</v>
          </cell>
          <cell r="AX423" t="str">
            <v>PENSIUN</v>
          </cell>
          <cell r="AY423" t="str">
            <v>DEDUCTION</v>
          </cell>
          <cell r="AZ423" t="str">
            <v>PAID</v>
          </cell>
          <cell r="BA423" t="str">
            <v>PPh21</v>
          </cell>
          <cell r="BB423" t="str">
            <v>TOTAL DEDUCTION</v>
          </cell>
          <cell r="BC423" t="str">
            <v>TOTAL PAID</v>
          </cell>
        </row>
        <row r="424">
          <cell r="F424" t="str">
            <v>150517-001</v>
          </cell>
          <cell r="G424" t="str">
            <v>Tetap</v>
          </cell>
          <cell r="H424" t="str">
            <v>Sect Head</v>
          </cell>
          <cell r="I424" t="str">
            <v>Plant Maintenance</v>
          </cell>
          <cell r="J424">
            <v>42870</v>
          </cell>
          <cell r="K424" t="b">
            <v>1</v>
          </cell>
          <cell r="L424">
            <v>42870</v>
          </cell>
          <cell r="M424">
            <v>4</v>
          </cell>
          <cell r="N424">
            <v>0</v>
          </cell>
          <cell r="O424">
            <v>9</v>
          </cell>
          <cell r="Q424">
            <v>7025000</v>
          </cell>
          <cell r="R424">
            <v>7025000</v>
          </cell>
          <cell r="S424">
            <v>7025000</v>
          </cell>
          <cell r="T424">
            <v>1500000</v>
          </cell>
          <cell r="U424">
            <v>1000000</v>
          </cell>
          <cell r="V424">
            <v>270000</v>
          </cell>
          <cell r="W424">
            <v>9795000</v>
          </cell>
          <cell r="X424">
            <v>5</v>
          </cell>
          <cell r="Z424">
            <v>16</v>
          </cell>
          <cell r="AB424">
            <v>21</v>
          </cell>
          <cell r="AC424">
            <v>2332142.8571428573</v>
          </cell>
          <cell r="AD424">
            <v>7462857.1428571427</v>
          </cell>
          <cell r="AE424">
            <v>9795000</v>
          </cell>
          <cell r="AF424">
            <v>0</v>
          </cell>
          <cell r="AG424">
            <v>9795000</v>
          </cell>
          <cell r="AH424" t="b">
            <v>1</v>
          </cell>
          <cell r="AK424">
            <v>9795000</v>
          </cell>
          <cell r="AL424" t="str">
            <v>K0</v>
          </cell>
          <cell r="AM424">
            <v>9795000</v>
          </cell>
          <cell r="AN424">
            <v>280070.50833333336</v>
          </cell>
          <cell r="AQ424">
            <v>0</v>
          </cell>
          <cell r="AR424">
            <v>38000</v>
          </cell>
          <cell r="AS424">
            <v>31700</v>
          </cell>
          <cell r="AV424">
            <v>97950</v>
          </cell>
          <cell r="AW424">
            <v>195900</v>
          </cell>
          <cell r="AX424">
            <v>87546</v>
          </cell>
          <cell r="AY424">
            <v>731167</v>
          </cell>
          <cell r="AZ424">
            <v>9063833</v>
          </cell>
          <cell r="BA424">
            <v>280070.50833333336</v>
          </cell>
          <cell r="BB424">
            <v>451096</v>
          </cell>
          <cell r="BC424">
            <v>9343904</v>
          </cell>
        </row>
        <row r="425">
          <cell r="F425" t="str">
            <v>080814-004</v>
          </cell>
          <cell r="G425" t="str">
            <v>Tetap</v>
          </cell>
          <cell r="H425" t="str">
            <v>Leader</v>
          </cell>
          <cell r="I425" t="str">
            <v>Plant Maintenance</v>
          </cell>
          <cell r="J425">
            <v>41859</v>
          </cell>
          <cell r="K425" t="b">
            <v>1</v>
          </cell>
          <cell r="L425">
            <v>41859</v>
          </cell>
          <cell r="M425">
            <v>6</v>
          </cell>
          <cell r="N425">
            <v>9</v>
          </cell>
          <cell r="O425">
            <v>16</v>
          </cell>
          <cell r="Q425">
            <v>5343082</v>
          </cell>
          <cell r="R425">
            <v>4924046</v>
          </cell>
          <cell r="S425">
            <v>5343083</v>
          </cell>
          <cell r="T425">
            <v>300000</v>
          </cell>
          <cell r="U425">
            <v>276098</v>
          </cell>
          <cell r="V425">
            <v>0</v>
          </cell>
          <cell r="W425">
            <v>5919181</v>
          </cell>
          <cell r="X425">
            <v>5</v>
          </cell>
          <cell r="Z425">
            <v>16</v>
          </cell>
          <cell r="AB425">
            <v>21</v>
          </cell>
          <cell r="AC425">
            <v>1409328.8095238095</v>
          </cell>
          <cell r="AD425">
            <v>4509852.1904761903</v>
          </cell>
          <cell r="AE425">
            <v>5919181</v>
          </cell>
          <cell r="AF425">
            <v>0</v>
          </cell>
          <cell r="AG425">
            <v>5919181</v>
          </cell>
          <cell r="AH425" t="b">
            <v>1</v>
          </cell>
          <cell r="AK425">
            <v>5919181</v>
          </cell>
          <cell r="AL425" t="str">
            <v>K3</v>
          </cell>
          <cell r="AM425">
            <v>5919181</v>
          </cell>
          <cell r="AN425">
            <v>0</v>
          </cell>
          <cell r="AQ425">
            <v>0</v>
          </cell>
          <cell r="AR425">
            <v>38000</v>
          </cell>
          <cell r="AS425">
            <v>31700</v>
          </cell>
          <cell r="AU425">
            <v>10000</v>
          </cell>
          <cell r="AV425">
            <v>59191.81</v>
          </cell>
          <cell r="AW425">
            <v>118383.62</v>
          </cell>
          <cell r="AX425">
            <v>59191.81</v>
          </cell>
          <cell r="AY425">
            <v>316467</v>
          </cell>
          <cell r="AZ425">
            <v>5602714</v>
          </cell>
          <cell r="BA425">
            <v>0</v>
          </cell>
          <cell r="BB425">
            <v>316467</v>
          </cell>
          <cell r="BC425">
            <v>5602714</v>
          </cell>
        </row>
        <row r="426">
          <cell r="F426" t="str">
            <v>040814-385</v>
          </cell>
          <cell r="G426" t="str">
            <v>Tetap</v>
          </cell>
          <cell r="H426" t="str">
            <v>Leader</v>
          </cell>
          <cell r="I426" t="str">
            <v>Plant Maintenance</v>
          </cell>
          <cell r="J426">
            <v>41855</v>
          </cell>
          <cell r="K426" t="b">
            <v>1</v>
          </cell>
          <cell r="L426">
            <v>41855</v>
          </cell>
          <cell r="M426">
            <v>6</v>
          </cell>
          <cell r="N426">
            <v>9</v>
          </cell>
          <cell r="O426">
            <v>20</v>
          </cell>
          <cell r="Q426">
            <v>5343082</v>
          </cell>
          <cell r="R426">
            <v>4924046</v>
          </cell>
          <cell r="S426">
            <v>5343083</v>
          </cell>
          <cell r="T426">
            <v>300000</v>
          </cell>
          <cell r="U426">
            <v>0</v>
          </cell>
          <cell r="V426">
            <v>0</v>
          </cell>
          <cell r="W426">
            <v>5643083</v>
          </cell>
          <cell r="X426">
            <v>5</v>
          </cell>
          <cell r="Z426">
            <v>16</v>
          </cell>
          <cell r="AB426">
            <v>21</v>
          </cell>
          <cell r="AC426">
            <v>1343591.1904761905</v>
          </cell>
          <cell r="AD426">
            <v>4299491.8095238097</v>
          </cell>
          <cell r="AE426">
            <v>5643083</v>
          </cell>
          <cell r="AF426">
            <v>0</v>
          </cell>
          <cell r="AG426">
            <v>5643083</v>
          </cell>
          <cell r="AH426" t="b">
            <v>1</v>
          </cell>
          <cell r="AK426">
            <v>5643083</v>
          </cell>
          <cell r="AL426" t="str">
            <v>K2</v>
          </cell>
          <cell r="AM426">
            <v>5643083</v>
          </cell>
          <cell r="AN426">
            <v>0</v>
          </cell>
          <cell r="AQ426">
            <v>0</v>
          </cell>
          <cell r="AR426">
            <v>38000</v>
          </cell>
          <cell r="AS426">
            <v>31700</v>
          </cell>
          <cell r="AU426">
            <v>10000</v>
          </cell>
          <cell r="AV426">
            <v>56430.83</v>
          </cell>
          <cell r="AW426">
            <v>112861.66</v>
          </cell>
          <cell r="AX426">
            <v>56430.83</v>
          </cell>
          <cell r="AY426">
            <v>305423</v>
          </cell>
          <cell r="AZ426">
            <v>5337660</v>
          </cell>
          <cell r="BA426">
            <v>0</v>
          </cell>
          <cell r="BB426">
            <v>305423</v>
          </cell>
          <cell r="BC426">
            <v>5337660</v>
          </cell>
        </row>
        <row r="427">
          <cell r="F427" t="str">
            <v>040814-390</v>
          </cell>
          <cell r="G427" t="str">
            <v>Tetap</v>
          </cell>
          <cell r="H427" t="str">
            <v>Leader</v>
          </cell>
          <cell r="I427" t="str">
            <v>Plant Maintenance</v>
          </cell>
          <cell r="J427">
            <v>41855</v>
          </cell>
          <cell r="K427" t="b">
            <v>1</v>
          </cell>
          <cell r="L427">
            <v>41855</v>
          </cell>
          <cell r="M427">
            <v>6</v>
          </cell>
          <cell r="N427">
            <v>9</v>
          </cell>
          <cell r="O427">
            <v>20</v>
          </cell>
          <cell r="Q427">
            <v>5343082</v>
          </cell>
          <cell r="R427">
            <v>4924046</v>
          </cell>
          <cell r="S427">
            <v>5343083</v>
          </cell>
          <cell r="T427">
            <v>300000</v>
          </cell>
          <cell r="U427">
            <v>0</v>
          </cell>
          <cell r="V427">
            <v>0</v>
          </cell>
          <cell r="W427">
            <v>5643083</v>
          </cell>
          <cell r="X427">
            <v>5</v>
          </cell>
          <cell r="Z427">
            <v>16</v>
          </cell>
          <cell r="AB427">
            <v>21</v>
          </cell>
          <cell r="AC427">
            <v>1343591.1904761905</v>
          </cell>
          <cell r="AD427">
            <v>4299491.8095238097</v>
          </cell>
          <cell r="AE427">
            <v>5643083</v>
          </cell>
          <cell r="AF427">
            <v>0</v>
          </cell>
          <cell r="AG427">
            <v>5643083</v>
          </cell>
          <cell r="AH427" t="b">
            <v>1</v>
          </cell>
          <cell r="AK427">
            <v>5643083</v>
          </cell>
          <cell r="AL427" t="str">
            <v>K2</v>
          </cell>
          <cell r="AM427">
            <v>5643083</v>
          </cell>
          <cell r="AN427">
            <v>0</v>
          </cell>
          <cell r="AQ427">
            <v>0</v>
          </cell>
          <cell r="AR427">
            <v>38000</v>
          </cell>
          <cell r="AS427">
            <v>31700</v>
          </cell>
          <cell r="AU427">
            <v>10000</v>
          </cell>
          <cell r="AV427">
            <v>56430.83</v>
          </cell>
          <cell r="AW427">
            <v>112861.66</v>
          </cell>
          <cell r="AX427">
            <v>56430.83</v>
          </cell>
          <cell r="AY427">
            <v>305423</v>
          </cell>
          <cell r="AZ427">
            <v>5337660</v>
          </cell>
          <cell r="BA427">
            <v>0</v>
          </cell>
          <cell r="BB427">
            <v>305423</v>
          </cell>
          <cell r="BC427">
            <v>5337660</v>
          </cell>
        </row>
        <row r="428">
          <cell r="F428" t="str">
            <v>040814-386</v>
          </cell>
          <cell r="G428" t="str">
            <v>Tetap</v>
          </cell>
          <cell r="H428" t="str">
            <v>Leader</v>
          </cell>
          <cell r="I428" t="str">
            <v>Plant Maintenance</v>
          </cell>
          <cell r="J428">
            <v>41855</v>
          </cell>
          <cell r="K428" t="b">
            <v>1</v>
          </cell>
          <cell r="L428">
            <v>41855</v>
          </cell>
          <cell r="M428">
            <v>6</v>
          </cell>
          <cell r="N428">
            <v>9</v>
          </cell>
          <cell r="O428">
            <v>20</v>
          </cell>
          <cell r="Q428">
            <v>5343082</v>
          </cell>
          <cell r="R428">
            <v>4924046</v>
          </cell>
          <cell r="S428">
            <v>5343083</v>
          </cell>
          <cell r="T428">
            <v>300000</v>
          </cell>
          <cell r="U428">
            <v>0</v>
          </cell>
          <cell r="V428">
            <v>196098</v>
          </cell>
          <cell r="W428">
            <v>5839181</v>
          </cell>
          <cell r="X428">
            <v>5</v>
          </cell>
          <cell r="Z428">
            <v>16</v>
          </cell>
          <cell r="AB428">
            <v>21</v>
          </cell>
          <cell r="AC428">
            <v>1390281.1904761905</v>
          </cell>
          <cell r="AD428">
            <v>4448899.8095238097</v>
          </cell>
          <cell r="AE428">
            <v>5839181</v>
          </cell>
          <cell r="AF428">
            <v>0</v>
          </cell>
          <cell r="AG428">
            <v>5839181</v>
          </cell>
          <cell r="AH428" t="b">
            <v>1</v>
          </cell>
          <cell r="AK428">
            <v>5839181</v>
          </cell>
          <cell r="AL428" t="str">
            <v>K2</v>
          </cell>
          <cell r="AM428">
            <v>5839181</v>
          </cell>
          <cell r="AN428">
            <v>2185.3055352500328</v>
          </cell>
          <cell r="AQ428">
            <v>0</v>
          </cell>
          <cell r="AR428">
            <v>38000</v>
          </cell>
          <cell r="AS428">
            <v>31700</v>
          </cell>
          <cell r="AU428">
            <v>10000</v>
          </cell>
          <cell r="AV428">
            <v>58391.81</v>
          </cell>
          <cell r="AW428">
            <v>116783.62</v>
          </cell>
          <cell r="AX428">
            <v>58391.81</v>
          </cell>
          <cell r="AY428">
            <v>315453</v>
          </cell>
          <cell r="AZ428">
            <v>5523728</v>
          </cell>
          <cell r="BA428">
            <v>2185.3055352500328</v>
          </cell>
          <cell r="BB428">
            <v>313267</v>
          </cell>
          <cell r="BC428">
            <v>5525914</v>
          </cell>
        </row>
        <row r="429">
          <cell r="F429" t="str">
            <v>100316-002</v>
          </cell>
          <cell r="G429" t="str">
            <v>Tetap</v>
          </cell>
          <cell r="H429" t="str">
            <v>Leader</v>
          </cell>
          <cell r="I429" t="str">
            <v>Plant Maintenance</v>
          </cell>
          <cell r="J429">
            <v>42439</v>
          </cell>
          <cell r="K429" t="b">
            <v>1</v>
          </cell>
          <cell r="L429">
            <v>42439</v>
          </cell>
          <cell r="M429">
            <v>5</v>
          </cell>
          <cell r="N429">
            <v>2</v>
          </cell>
          <cell r="O429">
            <v>14</v>
          </cell>
          <cell r="Q429">
            <v>5343082</v>
          </cell>
          <cell r="R429">
            <v>4924046</v>
          </cell>
          <cell r="S429">
            <v>5343083</v>
          </cell>
          <cell r="T429">
            <v>0</v>
          </cell>
          <cell r="U429">
            <v>0</v>
          </cell>
          <cell r="V429">
            <v>0</v>
          </cell>
          <cell r="W429">
            <v>5343083</v>
          </cell>
          <cell r="X429">
            <v>5</v>
          </cell>
          <cell r="Z429">
            <v>16</v>
          </cell>
          <cell r="AB429">
            <v>21</v>
          </cell>
          <cell r="AC429">
            <v>1272162.6190476192</v>
          </cell>
          <cell r="AD429">
            <v>4070920.3809523811</v>
          </cell>
          <cell r="AE429">
            <v>5343083</v>
          </cell>
          <cell r="AF429">
            <v>0</v>
          </cell>
          <cell r="AG429">
            <v>5343083</v>
          </cell>
          <cell r="AH429" t="b">
            <v>1</v>
          </cell>
          <cell r="AK429">
            <v>5343083</v>
          </cell>
          <cell r="AL429" t="str">
            <v>K2</v>
          </cell>
          <cell r="AM429">
            <v>5343083</v>
          </cell>
          <cell r="AN429">
            <v>0</v>
          </cell>
          <cell r="AQ429">
            <v>0</v>
          </cell>
          <cell r="AR429">
            <v>38000</v>
          </cell>
          <cell r="AS429">
            <v>31700</v>
          </cell>
          <cell r="AU429">
            <v>10000</v>
          </cell>
          <cell r="AV429">
            <v>53430.83</v>
          </cell>
          <cell r="AW429">
            <v>106861.66</v>
          </cell>
          <cell r="AX429">
            <v>53430.83</v>
          </cell>
          <cell r="AY429">
            <v>293423</v>
          </cell>
          <cell r="AZ429">
            <v>5049660</v>
          </cell>
          <cell r="BA429">
            <v>0</v>
          </cell>
          <cell r="BB429">
            <v>293423</v>
          </cell>
          <cell r="BC429">
            <v>5049660</v>
          </cell>
        </row>
        <row r="430">
          <cell r="F430" t="str">
            <v>291015-001</v>
          </cell>
          <cell r="G430" t="str">
            <v>Tetap</v>
          </cell>
          <cell r="H430" t="str">
            <v>Pelaksana</v>
          </cell>
          <cell r="I430" t="str">
            <v>Plant Maintenance</v>
          </cell>
          <cell r="J430">
            <v>42306</v>
          </cell>
          <cell r="K430" t="b">
            <v>1</v>
          </cell>
          <cell r="L430">
            <v>42306</v>
          </cell>
          <cell r="M430">
            <v>5</v>
          </cell>
          <cell r="N430">
            <v>6</v>
          </cell>
          <cell r="O430">
            <v>25</v>
          </cell>
          <cell r="Q430">
            <v>4869604</v>
          </cell>
          <cell r="R430">
            <v>4869604</v>
          </cell>
          <cell r="S430">
            <v>4869604</v>
          </cell>
          <cell r="T430">
            <v>0</v>
          </cell>
          <cell r="U430">
            <v>785300</v>
          </cell>
          <cell r="V430">
            <v>187521</v>
          </cell>
          <cell r="W430">
            <v>5842425</v>
          </cell>
          <cell r="X430">
            <v>5</v>
          </cell>
          <cell r="Z430">
            <v>16</v>
          </cell>
          <cell r="AB430">
            <v>21</v>
          </cell>
          <cell r="AC430">
            <v>1391053.5714285714</v>
          </cell>
          <cell r="AD430">
            <v>4451371.4285714282</v>
          </cell>
          <cell r="AE430">
            <v>5842425</v>
          </cell>
          <cell r="AF430">
            <v>0</v>
          </cell>
          <cell r="AG430">
            <v>5842425</v>
          </cell>
          <cell r="AH430" t="b">
            <v>1</v>
          </cell>
          <cell r="AK430">
            <v>5842425</v>
          </cell>
          <cell r="AL430" t="str">
            <v>K2</v>
          </cell>
          <cell r="AM430">
            <v>5286004</v>
          </cell>
          <cell r="AN430">
            <v>0</v>
          </cell>
          <cell r="AP430">
            <v>2</v>
          </cell>
          <cell r="AQ430">
            <v>556421</v>
          </cell>
          <cell r="AR430">
            <v>38000</v>
          </cell>
          <cell r="AS430">
            <v>31700</v>
          </cell>
          <cell r="AV430">
            <v>58424.25</v>
          </cell>
          <cell r="AW430">
            <v>116848.5</v>
          </cell>
          <cell r="AX430">
            <v>58424.25</v>
          </cell>
          <cell r="AY430">
            <v>859818</v>
          </cell>
          <cell r="AZ430">
            <v>4982607</v>
          </cell>
          <cell r="BA430">
            <v>0</v>
          </cell>
          <cell r="BB430">
            <v>859818</v>
          </cell>
          <cell r="BC430">
            <v>4982607</v>
          </cell>
        </row>
        <row r="431">
          <cell r="F431" t="str">
            <v>040814-389</v>
          </cell>
          <cell r="G431" t="str">
            <v>Tetap</v>
          </cell>
          <cell r="H431" t="str">
            <v>Pelaksana</v>
          </cell>
          <cell r="I431" t="str">
            <v>Plant Maintenance</v>
          </cell>
          <cell r="J431">
            <v>41855</v>
          </cell>
          <cell r="K431" t="b">
            <v>1</v>
          </cell>
          <cell r="L431">
            <v>41855</v>
          </cell>
          <cell r="M431">
            <v>6</v>
          </cell>
          <cell r="N431">
            <v>9</v>
          </cell>
          <cell r="O431">
            <v>20</v>
          </cell>
          <cell r="Q431">
            <v>5343082</v>
          </cell>
          <cell r="R431">
            <v>4924046</v>
          </cell>
          <cell r="S431">
            <v>5343083</v>
          </cell>
          <cell r="T431">
            <v>0</v>
          </cell>
          <cell r="U431">
            <v>0</v>
          </cell>
          <cell r="V431">
            <v>0</v>
          </cell>
          <cell r="W431">
            <v>5343083</v>
          </cell>
          <cell r="X431">
            <v>5</v>
          </cell>
          <cell r="Z431">
            <v>16</v>
          </cell>
          <cell r="AB431">
            <v>21</v>
          </cell>
          <cell r="AC431">
            <v>1272162.6190476192</v>
          </cell>
          <cell r="AD431">
            <v>4070920.3809523811</v>
          </cell>
          <cell r="AE431">
            <v>5343083</v>
          </cell>
          <cell r="AF431">
            <v>0</v>
          </cell>
          <cell r="AG431">
            <v>5343083</v>
          </cell>
          <cell r="AH431" t="b">
            <v>1</v>
          </cell>
          <cell r="AK431">
            <v>5343083</v>
          </cell>
          <cell r="AL431" t="str">
            <v>K1</v>
          </cell>
          <cell r="AM431">
            <v>5343083</v>
          </cell>
          <cell r="AN431">
            <v>0</v>
          </cell>
          <cell r="AQ431">
            <v>0</v>
          </cell>
          <cell r="AR431">
            <v>38000</v>
          </cell>
          <cell r="AS431">
            <v>31700</v>
          </cell>
          <cell r="AV431">
            <v>53430.83</v>
          </cell>
          <cell r="AW431">
            <v>106861.66</v>
          </cell>
          <cell r="AX431">
            <v>53430.83</v>
          </cell>
          <cell r="AY431">
            <v>283423</v>
          </cell>
          <cell r="AZ431">
            <v>5059660</v>
          </cell>
          <cell r="BA431">
            <v>0</v>
          </cell>
          <cell r="BB431">
            <v>283423</v>
          </cell>
          <cell r="BC431">
            <v>5059660</v>
          </cell>
        </row>
        <row r="432">
          <cell r="F432" t="str">
            <v>250216-001</v>
          </cell>
          <cell r="G432" t="str">
            <v>Tetap</v>
          </cell>
          <cell r="H432" t="str">
            <v>Pelaksana</v>
          </cell>
          <cell r="I432" t="str">
            <v>Plant Maintenance</v>
          </cell>
          <cell r="J432">
            <v>42425</v>
          </cell>
          <cell r="K432" t="b">
            <v>1</v>
          </cell>
          <cell r="L432">
            <v>42425</v>
          </cell>
          <cell r="M432">
            <v>5</v>
          </cell>
          <cell r="N432">
            <v>2</v>
          </cell>
          <cell r="O432">
            <v>29</v>
          </cell>
          <cell r="Q432">
            <v>5343082</v>
          </cell>
          <cell r="R432">
            <v>4924046</v>
          </cell>
          <cell r="S432">
            <v>5343083</v>
          </cell>
          <cell r="T432">
            <v>0</v>
          </cell>
          <cell r="U432">
            <v>0</v>
          </cell>
          <cell r="V432">
            <v>0</v>
          </cell>
          <cell r="W432">
            <v>5343083</v>
          </cell>
          <cell r="X432">
            <v>5</v>
          </cell>
          <cell r="Z432">
            <v>16</v>
          </cell>
          <cell r="AB432">
            <v>21</v>
          </cell>
          <cell r="AC432">
            <v>1272162.6190476192</v>
          </cell>
          <cell r="AD432">
            <v>4070920.3809523811</v>
          </cell>
          <cell r="AE432">
            <v>5343083</v>
          </cell>
          <cell r="AF432">
            <v>0</v>
          </cell>
          <cell r="AG432">
            <v>5343083</v>
          </cell>
          <cell r="AH432" t="b">
            <v>1</v>
          </cell>
          <cell r="AK432">
            <v>5343083</v>
          </cell>
          <cell r="AL432" t="str">
            <v>K0</v>
          </cell>
          <cell r="AM432">
            <v>5343083</v>
          </cell>
          <cell r="AN432">
            <v>15604.584590750002</v>
          </cell>
          <cell r="AQ432">
            <v>0</v>
          </cell>
          <cell r="AR432">
            <v>38000</v>
          </cell>
          <cell r="AS432">
            <v>31700</v>
          </cell>
          <cell r="AV432">
            <v>53430.83</v>
          </cell>
          <cell r="AW432">
            <v>106861.66</v>
          </cell>
          <cell r="AX432">
            <v>53430.83</v>
          </cell>
          <cell r="AY432">
            <v>299028</v>
          </cell>
          <cell r="AZ432">
            <v>5044055</v>
          </cell>
          <cell r="BA432">
            <v>15604.584590750002</v>
          </cell>
          <cell r="BB432">
            <v>283423</v>
          </cell>
          <cell r="BC432">
            <v>5059660</v>
          </cell>
        </row>
        <row r="433">
          <cell r="F433" t="str">
            <v>140416-001</v>
          </cell>
          <cell r="G433" t="str">
            <v>Tetap</v>
          </cell>
          <cell r="H433" t="str">
            <v>Specialist</v>
          </cell>
          <cell r="I433" t="str">
            <v>Plant Maintenance</v>
          </cell>
          <cell r="J433">
            <v>42474</v>
          </cell>
          <cell r="K433" t="b">
            <v>1</v>
          </cell>
          <cell r="L433">
            <v>42474</v>
          </cell>
          <cell r="M433">
            <v>5</v>
          </cell>
          <cell r="N433">
            <v>1</v>
          </cell>
          <cell r="O433">
            <v>10</v>
          </cell>
          <cell r="Q433">
            <v>5343082</v>
          </cell>
          <cell r="R433">
            <v>4924046</v>
          </cell>
          <cell r="S433">
            <v>5343083</v>
          </cell>
          <cell r="T433">
            <v>1200000</v>
          </cell>
          <cell r="U433">
            <v>0</v>
          </cell>
          <cell r="V433">
            <v>0</v>
          </cell>
          <cell r="W433">
            <v>6543083</v>
          </cell>
          <cell r="X433">
            <v>5</v>
          </cell>
          <cell r="Z433">
            <v>16</v>
          </cell>
          <cell r="AB433">
            <v>21</v>
          </cell>
          <cell r="AC433">
            <v>1557876.9047619049</v>
          </cell>
          <cell r="AD433">
            <v>4985206.0952380951</v>
          </cell>
          <cell r="AE433">
            <v>6543083</v>
          </cell>
          <cell r="AF433">
            <v>0</v>
          </cell>
          <cell r="AG433">
            <v>6543083</v>
          </cell>
          <cell r="AH433" t="b">
            <v>1</v>
          </cell>
          <cell r="AK433">
            <v>6543083</v>
          </cell>
          <cell r="AL433" t="str">
            <v>TK</v>
          </cell>
          <cell r="AM433">
            <v>6543083</v>
          </cell>
          <cell r="AN433">
            <v>90322.884590749934</v>
          </cell>
          <cell r="AQ433">
            <v>0</v>
          </cell>
          <cell r="AR433">
            <v>38000</v>
          </cell>
          <cell r="AS433">
            <v>31700</v>
          </cell>
          <cell r="AV433">
            <v>53430.83</v>
          </cell>
          <cell r="AW433">
            <v>130861.66</v>
          </cell>
          <cell r="AX433">
            <v>65430.83</v>
          </cell>
          <cell r="AY433">
            <v>409746</v>
          </cell>
          <cell r="AZ433">
            <v>6133337</v>
          </cell>
          <cell r="BA433">
            <v>90322.884590749934</v>
          </cell>
          <cell r="BB433">
            <v>319423</v>
          </cell>
          <cell r="BC433">
            <v>6223660</v>
          </cell>
        </row>
        <row r="434">
          <cell r="F434" t="str">
            <v>150321-004</v>
          </cell>
          <cell r="G434" t="str">
            <v>Pembaharuan</v>
          </cell>
          <cell r="H434" t="str">
            <v>Pelaksana</v>
          </cell>
          <cell r="I434" t="str">
            <v>Plant Maintenance</v>
          </cell>
          <cell r="J434" t="e">
            <v>#N/A</v>
          </cell>
          <cell r="K434" t="e">
            <v>#N/A</v>
          </cell>
          <cell r="L434">
            <v>44270</v>
          </cell>
          <cell r="M434">
            <v>0</v>
          </cell>
          <cell r="N434">
            <v>2</v>
          </cell>
          <cell r="O434">
            <v>9</v>
          </cell>
          <cell r="Q434">
            <v>5343082</v>
          </cell>
          <cell r="R434">
            <v>4924046</v>
          </cell>
          <cell r="S434">
            <v>5343083</v>
          </cell>
          <cell r="T434">
            <v>0</v>
          </cell>
          <cell r="U434">
            <v>0</v>
          </cell>
          <cell r="V434">
            <v>0</v>
          </cell>
          <cell r="W434">
            <v>5343083</v>
          </cell>
          <cell r="X434">
            <v>5</v>
          </cell>
          <cell r="Z434">
            <v>16</v>
          </cell>
          <cell r="AB434">
            <v>21</v>
          </cell>
          <cell r="AC434">
            <v>1272162.6190476192</v>
          </cell>
          <cell r="AD434">
            <v>4070920.3809523811</v>
          </cell>
          <cell r="AE434">
            <v>5343083</v>
          </cell>
          <cell r="AF434">
            <v>0</v>
          </cell>
          <cell r="AG434">
            <v>5343083</v>
          </cell>
          <cell r="AH434" t="b">
            <v>1</v>
          </cell>
          <cell r="AK434">
            <v>5343083</v>
          </cell>
          <cell r="AL434" t="str">
            <v>K1</v>
          </cell>
          <cell r="AM434">
            <v>5343083</v>
          </cell>
          <cell r="AN434">
            <v>0</v>
          </cell>
          <cell r="AQ434">
            <v>0</v>
          </cell>
          <cell r="AR434">
            <v>38000</v>
          </cell>
          <cell r="AS434">
            <v>31700</v>
          </cell>
          <cell r="AU434">
            <v>10000</v>
          </cell>
          <cell r="AV434">
            <v>53430.83</v>
          </cell>
          <cell r="AW434">
            <v>106861.66</v>
          </cell>
          <cell r="AX434">
            <v>53430.83</v>
          </cell>
          <cell r="AY434">
            <v>293423</v>
          </cell>
          <cell r="AZ434">
            <v>5049660</v>
          </cell>
          <cell r="BA434">
            <v>0</v>
          </cell>
          <cell r="BB434">
            <v>293423</v>
          </cell>
          <cell r="BC434">
            <v>5049660</v>
          </cell>
        </row>
        <row r="435">
          <cell r="F435" t="str">
            <v>220321-001</v>
          </cell>
          <cell r="G435" t="str">
            <v>Pembaharuan</v>
          </cell>
          <cell r="H435" t="str">
            <v>Pelaksana</v>
          </cell>
          <cell r="I435" t="str">
            <v>Plant Maintenance</v>
          </cell>
          <cell r="J435" t="e">
            <v>#N/A</v>
          </cell>
          <cell r="K435" t="e">
            <v>#N/A</v>
          </cell>
          <cell r="L435">
            <v>44277</v>
          </cell>
          <cell r="M435">
            <v>0</v>
          </cell>
          <cell r="N435">
            <v>2</v>
          </cell>
          <cell r="O435">
            <v>2</v>
          </cell>
          <cell r="Q435">
            <v>5343082</v>
          </cell>
          <cell r="R435">
            <v>4924046</v>
          </cell>
          <cell r="S435">
            <v>5343083</v>
          </cell>
          <cell r="T435">
            <v>0</v>
          </cell>
          <cell r="U435">
            <v>0</v>
          </cell>
          <cell r="V435">
            <v>0</v>
          </cell>
          <cell r="W435">
            <v>5343083</v>
          </cell>
          <cell r="X435">
            <v>5</v>
          </cell>
          <cell r="Z435">
            <v>16</v>
          </cell>
          <cell r="AB435">
            <v>21</v>
          </cell>
          <cell r="AC435">
            <v>1272162.6190476192</v>
          </cell>
          <cell r="AD435">
            <v>4070920.3809523811</v>
          </cell>
          <cell r="AE435">
            <v>5343083</v>
          </cell>
          <cell r="AF435">
            <v>0</v>
          </cell>
          <cell r="AG435">
            <v>5343083</v>
          </cell>
          <cell r="AH435" t="b">
            <v>1</v>
          </cell>
          <cell r="AK435">
            <v>5343083</v>
          </cell>
          <cell r="AL435" t="str">
            <v>K2</v>
          </cell>
          <cell r="AM435">
            <v>5343083</v>
          </cell>
          <cell r="AN435">
            <v>0</v>
          </cell>
          <cell r="AQ435">
            <v>0</v>
          </cell>
          <cell r="AS435">
            <v>31700</v>
          </cell>
          <cell r="AU435">
            <v>10000</v>
          </cell>
          <cell r="AV435">
            <v>53430.83</v>
          </cell>
          <cell r="AW435">
            <v>106861.66</v>
          </cell>
          <cell r="AX435">
            <v>53430.83</v>
          </cell>
          <cell r="AY435">
            <v>255423</v>
          </cell>
          <cell r="AZ435">
            <v>5087660</v>
          </cell>
          <cell r="BA435">
            <v>0</v>
          </cell>
          <cell r="BB435">
            <v>255423</v>
          </cell>
          <cell r="BC435">
            <v>5087660</v>
          </cell>
        </row>
        <row r="436">
          <cell r="F436" t="str">
            <v>120421-001</v>
          </cell>
          <cell r="G436" t="str">
            <v>Pembaharuan</v>
          </cell>
          <cell r="H436" t="str">
            <v>Pelaksana</v>
          </cell>
          <cell r="I436" t="str">
            <v>Plant Maintenance</v>
          </cell>
          <cell r="J436" t="e">
            <v>#N/A</v>
          </cell>
          <cell r="K436" t="e">
            <v>#N/A</v>
          </cell>
          <cell r="L436">
            <v>44298</v>
          </cell>
          <cell r="M436">
            <v>0</v>
          </cell>
          <cell r="N436">
            <v>1</v>
          </cell>
          <cell r="O436">
            <v>12</v>
          </cell>
          <cell r="Q436">
            <v>5343082</v>
          </cell>
          <cell r="R436">
            <v>4924046</v>
          </cell>
          <cell r="S436">
            <v>5343083</v>
          </cell>
          <cell r="T436">
            <v>0</v>
          </cell>
          <cell r="U436">
            <v>0</v>
          </cell>
          <cell r="V436">
            <v>0</v>
          </cell>
          <cell r="W436">
            <v>5343083</v>
          </cell>
          <cell r="X436">
            <v>5</v>
          </cell>
          <cell r="Z436">
            <v>16</v>
          </cell>
          <cell r="AB436">
            <v>21</v>
          </cell>
          <cell r="AC436">
            <v>1272162.6190476192</v>
          </cell>
          <cell r="AD436">
            <v>4070920.3809523811</v>
          </cell>
          <cell r="AE436">
            <v>5343083</v>
          </cell>
          <cell r="AF436">
            <v>0</v>
          </cell>
          <cell r="AG436">
            <v>5343083</v>
          </cell>
          <cell r="AH436" t="b">
            <v>1</v>
          </cell>
          <cell r="AK436">
            <v>5343083</v>
          </cell>
          <cell r="AL436" t="str">
            <v>K1</v>
          </cell>
          <cell r="AM436">
            <v>5343083</v>
          </cell>
          <cell r="AN436">
            <v>0</v>
          </cell>
          <cell r="AQ436">
            <v>0</v>
          </cell>
          <cell r="AR436">
            <v>38000</v>
          </cell>
          <cell r="AS436">
            <v>31700</v>
          </cell>
          <cell r="AU436">
            <v>10000</v>
          </cell>
          <cell r="AV436">
            <v>53430.83</v>
          </cell>
          <cell r="AW436">
            <v>106861.66</v>
          </cell>
          <cell r="AX436">
            <v>53430.83</v>
          </cell>
          <cell r="AY436">
            <v>293423</v>
          </cell>
          <cell r="AZ436">
            <v>5049660</v>
          </cell>
          <cell r="BA436">
            <v>0</v>
          </cell>
          <cell r="BB436">
            <v>293423</v>
          </cell>
          <cell r="BC436">
            <v>5049660</v>
          </cell>
        </row>
        <row r="437">
          <cell r="F437" t="str">
            <v>080819-016</v>
          </cell>
          <cell r="G437" t="str">
            <v>Tetap</v>
          </cell>
          <cell r="H437" t="str">
            <v>Pelaksana</v>
          </cell>
          <cell r="I437" t="str">
            <v>Plant Maintenance</v>
          </cell>
          <cell r="J437" t="str">
            <v>08 Agustus 2019</v>
          </cell>
          <cell r="K437" t="b">
            <v>0</v>
          </cell>
          <cell r="L437">
            <v>43685</v>
          </cell>
          <cell r="M437">
            <v>1</v>
          </cell>
          <cell r="N437">
            <v>9</v>
          </cell>
          <cell r="O437">
            <v>16</v>
          </cell>
          <cell r="Q437">
            <v>5343082</v>
          </cell>
          <cell r="R437">
            <v>4924046</v>
          </cell>
          <cell r="S437">
            <v>5343083</v>
          </cell>
          <cell r="T437">
            <v>0</v>
          </cell>
          <cell r="U437">
            <v>0</v>
          </cell>
          <cell r="V437">
            <v>0</v>
          </cell>
          <cell r="W437">
            <v>5343083</v>
          </cell>
          <cell r="X437">
            <v>5</v>
          </cell>
          <cell r="Z437">
            <v>16</v>
          </cell>
          <cell r="AB437">
            <v>21</v>
          </cell>
          <cell r="AC437">
            <v>1272162.6190476192</v>
          </cell>
          <cell r="AD437">
            <v>4070920.3809523811</v>
          </cell>
          <cell r="AE437">
            <v>5343083</v>
          </cell>
          <cell r="AF437">
            <v>0</v>
          </cell>
          <cell r="AG437">
            <v>5343083</v>
          </cell>
          <cell r="AH437" t="b">
            <v>1</v>
          </cell>
          <cell r="AK437">
            <v>5343083</v>
          </cell>
          <cell r="AL437" t="str">
            <v>K2</v>
          </cell>
          <cell r="AM437">
            <v>5343083</v>
          </cell>
          <cell r="AN437">
            <v>0</v>
          </cell>
          <cell r="AQ437">
            <v>0</v>
          </cell>
          <cell r="AR437">
            <v>38000</v>
          </cell>
          <cell r="AS437">
            <v>31700</v>
          </cell>
          <cell r="AU437">
            <v>10000</v>
          </cell>
          <cell r="AV437">
            <v>53430.83</v>
          </cell>
          <cell r="AW437">
            <v>106861.66</v>
          </cell>
          <cell r="AX437">
            <v>53430.83</v>
          </cell>
          <cell r="AY437">
            <v>293423</v>
          </cell>
          <cell r="AZ437">
            <v>5049660</v>
          </cell>
          <cell r="BA437">
            <v>0</v>
          </cell>
          <cell r="BB437">
            <v>293423</v>
          </cell>
          <cell r="BC437">
            <v>5049660</v>
          </cell>
        </row>
        <row r="438">
          <cell r="F438" t="str">
            <v>090817-002</v>
          </cell>
          <cell r="G438" t="str">
            <v>Tetap</v>
          </cell>
          <cell r="H438" t="str">
            <v>Pelaksana</v>
          </cell>
          <cell r="I438" t="str">
            <v>Plant Maintenance</v>
          </cell>
          <cell r="J438">
            <v>42956</v>
          </cell>
          <cell r="K438" t="b">
            <v>1</v>
          </cell>
          <cell r="L438">
            <v>42956</v>
          </cell>
          <cell r="M438">
            <v>3</v>
          </cell>
          <cell r="N438">
            <v>9</v>
          </cell>
          <cell r="O438">
            <v>15</v>
          </cell>
          <cell r="Q438">
            <v>5343082</v>
          </cell>
          <cell r="R438">
            <v>4924046</v>
          </cell>
          <cell r="S438">
            <v>5343083</v>
          </cell>
          <cell r="T438">
            <v>0</v>
          </cell>
          <cell r="U438">
            <v>0</v>
          </cell>
          <cell r="V438">
            <v>0</v>
          </cell>
          <cell r="W438">
            <v>5343083</v>
          </cell>
          <cell r="X438">
            <v>5</v>
          </cell>
          <cell r="Z438">
            <v>16</v>
          </cell>
          <cell r="AB438">
            <v>21</v>
          </cell>
          <cell r="AC438">
            <v>1272162.6190476192</v>
          </cell>
          <cell r="AD438">
            <v>4070920.3809523811</v>
          </cell>
          <cell r="AE438">
            <v>5343083</v>
          </cell>
          <cell r="AF438">
            <v>0</v>
          </cell>
          <cell r="AG438">
            <v>5343083</v>
          </cell>
          <cell r="AH438" t="b">
            <v>1</v>
          </cell>
          <cell r="AK438">
            <v>5343083</v>
          </cell>
          <cell r="AL438" t="str">
            <v>K2</v>
          </cell>
          <cell r="AM438">
            <v>5343083</v>
          </cell>
          <cell r="AN438">
            <v>0</v>
          </cell>
          <cell r="AQ438">
            <v>0</v>
          </cell>
          <cell r="AR438">
            <v>38000</v>
          </cell>
          <cell r="AS438">
            <v>31700</v>
          </cell>
          <cell r="AV438">
            <v>53430.83</v>
          </cell>
          <cell r="AW438">
            <v>106861.66</v>
          </cell>
          <cell r="AX438">
            <v>53430.83</v>
          </cell>
          <cell r="AY438">
            <v>283423</v>
          </cell>
          <cell r="AZ438">
            <v>5059660</v>
          </cell>
          <cell r="BA438">
            <v>0</v>
          </cell>
          <cell r="BB438">
            <v>283423</v>
          </cell>
          <cell r="BC438">
            <v>5059660</v>
          </cell>
        </row>
        <row r="439">
          <cell r="F439" t="str">
            <v>280316-002</v>
          </cell>
          <cell r="G439" t="str">
            <v>Tetap</v>
          </cell>
          <cell r="H439" t="str">
            <v>Pelaksana</v>
          </cell>
          <cell r="I439" t="str">
            <v>Plant Maintenance</v>
          </cell>
          <cell r="J439">
            <v>42457</v>
          </cell>
          <cell r="K439" t="b">
            <v>1</v>
          </cell>
          <cell r="L439">
            <v>42457</v>
          </cell>
          <cell r="M439">
            <v>5</v>
          </cell>
          <cell r="N439">
            <v>1</v>
          </cell>
          <cell r="O439">
            <v>26</v>
          </cell>
          <cell r="Q439">
            <v>5343082</v>
          </cell>
          <cell r="R439">
            <v>4924046</v>
          </cell>
          <cell r="S439">
            <v>5343083</v>
          </cell>
          <cell r="T439">
            <v>0</v>
          </cell>
          <cell r="U439">
            <v>0</v>
          </cell>
          <cell r="V439">
            <v>0</v>
          </cell>
          <cell r="W439">
            <v>5343083</v>
          </cell>
          <cell r="X439">
            <v>5</v>
          </cell>
          <cell r="Z439">
            <v>16</v>
          </cell>
          <cell r="AB439">
            <v>21</v>
          </cell>
          <cell r="AC439">
            <v>1272162.6190476192</v>
          </cell>
          <cell r="AD439">
            <v>4070920.3809523811</v>
          </cell>
          <cell r="AE439">
            <v>5343083</v>
          </cell>
          <cell r="AF439">
            <v>0</v>
          </cell>
          <cell r="AG439">
            <v>5343083</v>
          </cell>
          <cell r="AH439" t="b">
            <v>1</v>
          </cell>
          <cell r="AK439">
            <v>5343083</v>
          </cell>
          <cell r="AL439" t="str">
            <v>K0</v>
          </cell>
          <cell r="AM439">
            <v>5343083</v>
          </cell>
          <cell r="AN439">
            <v>15604.584590750002</v>
          </cell>
          <cell r="AQ439">
            <v>0</v>
          </cell>
          <cell r="AR439">
            <v>38000</v>
          </cell>
          <cell r="AS439">
            <v>31700</v>
          </cell>
          <cell r="AU439">
            <v>10000</v>
          </cell>
          <cell r="AV439">
            <v>53430.83</v>
          </cell>
          <cell r="AW439">
            <v>106861.66</v>
          </cell>
          <cell r="AX439">
            <v>53430.83</v>
          </cell>
          <cell r="AY439">
            <v>309028</v>
          </cell>
          <cell r="AZ439">
            <v>5034055</v>
          </cell>
          <cell r="BA439">
            <v>15604.584590750002</v>
          </cell>
          <cell r="BB439">
            <v>293423</v>
          </cell>
          <cell r="BC439">
            <v>5049660</v>
          </cell>
        </row>
        <row r="440">
          <cell r="F440" t="str">
            <v>100919-010</v>
          </cell>
          <cell r="G440" t="str">
            <v>Pembaharuan</v>
          </cell>
          <cell r="H440" t="str">
            <v>Pelaksana</v>
          </cell>
          <cell r="I440" t="str">
            <v>Plant Maintenance</v>
          </cell>
          <cell r="J440">
            <v>43718</v>
          </cell>
          <cell r="K440" t="b">
            <v>1</v>
          </cell>
          <cell r="L440">
            <v>43718</v>
          </cell>
          <cell r="M440">
            <v>1</v>
          </cell>
          <cell r="N440">
            <v>8</v>
          </cell>
          <cell r="O440">
            <v>14</v>
          </cell>
          <cell r="Q440">
            <v>5343082</v>
          </cell>
          <cell r="R440">
            <v>4924046</v>
          </cell>
          <cell r="S440">
            <v>5343083</v>
          </cell>
          <cell r="T440">
            <v>0</v>
          </cell>
          <cell r="U440">
            <v>0</v>
          </cell>
          <cell r="V440">
            <v>0</v>
          </cell>
          <cell r="W440">
            <v>5343083</v>
          </cell>
          <cell r="X440">
            <v>5</v>
          </cell>
          <cell r="Z440">
            <v>16</v>
          </cell>
          <cell r="AB440">
            <v>21</v>
          </cell>
          <cell r="AC440">
            <v>1272162.6190476192</v>
          </cell>
          <cell r="AD440">
            <v>4070920.3809523811</v>
          </cell>
          <cell r="AE440">
            <v>5343083</v>
          </cell>
          <cell r="AF440">
            <v>0</v>
          </cell>
          <cell r="AG440">
            <v>5343083</v>
          </cell>
          <cell r="AH440" t="b">
            <v>1</v>
          </cell>
          <cell r="AK440">
            <v>5343083</v>
          </cell>
          <cell r="AL440" t="str">
            <v>K1</v>
          </cell>
          <cell r="AM440">
            <v>5343083</v>
          </cell>
          <cell r="AN440">
            <v>0</v>
          </cell>
          <cell r="AQ440">
            <v>0</v>
          </cell>
          <cell r="AS440">
            <v>31700</v>
          </cell>
          <cell r="AU440">
            <v>10000</v>
          </cell>
          <cell r="AV440">
            <v>53430.83</v>
          </cell>
          <cell r="AW440">
            <v>106861.66</v>
          </cell>
          <cell r="AX440">
            <v>53430.83</v>
          </cell>
          <cell r="AY440">
            <v>255423</v>
          </cell>
          <cell r="AZ440">
            <v>5087660</v>
          </cell>
          <cell r="BA440">
            <v>0</v>
          </cell>
          <cell r="BB440">
            <v>255423</v>
          </cell>
          <cell r="BC440">
            <v>5087660</v>
          </cell>
        </row>
        <row r="441">
          <cell r="F441" t="str">
            <v>270520-001</v>
          </cell>
          <cell r="G441" t="str">
            <v>Pembaharuan</v>
          </cell>
          <cell r="H441" t="str">
            <v>Specialist</v>
          </cell>
          <cell r="I441" t="str">
            <v>Plant Maintenance</v>
          </cell>
          <cell r="J441">
            <v>43978</v>
          </cell>
          <cell r="K441" t="b">
            <v>1</v>
          </cell>
          <cell r="L441">
            <v>43978</v>
          </cell>
          <cell r="M441">
            <v>0</v>
          </cell>
          <cell r="N441">
            <v>11</v>
          </cell>
          <cell r="O441">
            <v>27</v>
          </cell>
          <cell r="Q441">
            <v>5343082</v>
          </cell>
          <cell r="R441">
            <v>4924046</v>
          </cell>
          <cell r="S441">
            <v>5343083</v>
          </cell>
          <cell r="T441">
            <v>500000</v>
          </cell>
          <cell r="U441">
            <v>0</v>
          </cell>
          <cell r="V441">
            <v>0</v>
          </cell>
          <cell r="W441">
            <v>5843083</v>
          </cell>
          <cell r="X441">
            <v>5</v>
          </cell>
          <cell r="Z441">
            <v>16</v>
          </cell>
          <cell r="AB441">
            <v>21</v>
          </cell>
          <cell r="AC441">
            <v>1391210.2380952381</v>
          </cell>
          <cell r="AD441">
            <v>4451872.7619047621</v>
          </cell>
          <cell r="AE441">
            <v>5843083</v>
          </cell>
          <cell r="AF441">
            <v>0</v>
          </cell>
          <cell r="AG441">
            <v>5843083</v>
          </cell>
          <cell r="AH441" t="b">
            <v>1</v>
          </cell>
          <cell r="AK441">
            <v>5843083</v>
          </cell>
          <cell r="AL441" t="str">
            <v>K2</v>
          </cell>
          <cell r="AM441">
            <v>5843083</v>
          </cell>
          <cell r="AN441">
            <v>1424.7095907499395</v>
          </cell>
          <cell r="AQ441">
            <v>0</v>
          </cell>
          <cell r="AS441">
            <v>31700</v>
          </cell>
          <cell r="AV441">
            <v>53430.83</v>
          </cell>
          <cell r="AW441">
            <v>116861.66</v>
          </cell>
          <cell r="AX441">
            <v>58430.83</v>
          </cell>
          <cell r="AY441">
            <v>261848</v>
          </cell>
          <cell r="AZ441">
            <v>5581235</v>
          </cell>
          <cell r="BA441">
            <v>1424.7095907499395</v>
          </cell>
          <cell r="BB441">
            <v>260423</v>
          </cell>
          <cell r="BC441">
            <v>5582660</v>
          </cell>
        </row>
        <row r="442">
          <cell r="F442" t="str">
            <v>130720-001</v>
          </cell>
          <cell r="G442" t="str">
            <v>Pembaharuan</v>
          </cell>
          <cell r="H442" t="str">
            <v>Pelaksana</v>
          </cell>
          <cell r="I442" t="str">
            <v>Plant Maintenance</v>
          </cell>
          <cell r="J442">
            <v>44025</v>
          </cell>
          <cell r="K442" t="b">
            <v>1</v>
          </cell>
          <cell r="L442">
            <v>44025</v>
          </cell>
          <cell r="M442">
            <v>0</v>
          </cell>
          <cell r="N442">
            <v>10</v>
          </cell>
          <cell r="O442">
            <v>11</v>
          </cell>
          <cell r="Q442">
            <v>5343082</v>
          </cell>
          <cell r="R442">
            <v>4924046</v>
          </cell>
          <cell r="S442">
            <v>5343083</v>
          </cell>
          <cell r="T442">
            <v>0</v>
          </cell>
          <cell r="U442">
            <v>0</v>
          </cell>
          <cell r="V442">
            <v>0</v>
          </cell>
          <cell r="W442">
            <v>5343083</v>
          </cell>
          <cell r="X442">
            <v>5</v>
          </cell>
          <cell r="Z442">
            <v>16</v>
          </cell>
          <cell r="AB442">
            <v>21</v>
          </cell>
          <cell r="AC442">
            <v>1272162.6190476192</v>
          </cell>
          <cell r="AD442">
            <v>4070920.3809523811</v>
          </cell>
          <cell r="AE442">
            <v>5343083</v>
          </cell>
          <cell r="AF442">
            <v>0</v>
          </cell>
          <cell r="AG442">
            <v>5343083</v>
          </cell>
          <cell r="AH442" t="b">
            <v>1</v>
          </cell>
          <cell r="AK442">
            <v>5343083</v>
          </cell>
          <cell r="AL442" t="str">
            <v>TK</v>
          </cell>
          <cell r="AM442">
            <v>5343083</v>
          </cell>
          <cell r="AN442">
            <v>34354.584590750004</v>
          </cell>
          <cell r="AQ442">
            <v>0</v>
          </cell>
          <cell r="AR442">
            <v>38000</v>
          </cell>
          <cell r="AS442">
            <v>31700</v>
          </cell>
          <cell r="AV442">
            <v>53430.83</v>
          </cell>
          <cell r="AW442">
            <v>106861.66</v>
          </cell>
          <cell r="AX442">
            <v>53430.83</v>
          </cell>
          <cell r="AY442">
            <v>317778</v>
          </cell>
          <cell r="AZ442">
            <v>5025305</v>
          </cell>
          <cell r="BA442">
            <v>34354.584590750004</v>
          </cell>
          <cell r="BB442">
            <v>283423</v>
          </cell>
          <cell r="BC442">
            <v>5059660</v>
          </cell>
        </row>
        <row r="443">
          <cell r="F443" t="str">
            <v>211220-001</v>
          </cell>
          <cell r="G443" t="str">
            <v>Pembaharuan</v>
          </cell>
          <cell r="H443" t="str">
            <v>Pelaksana</v>
          </cell>
          <cell r="I443" t="str">
            <v>Plant Maintenance</v>
          </cell>
          <cell r="J443">
            <v>0</v>
          </cell>
          <cell r="K443" t="b">
            <v>0</v>
          </cell>
          <cell r="L443">
            <v>44186</v>
          </cell>
          <cell r="M443">
            <v>0</v>
          </cell>
          <cell r="N443">
            <v>5</v>
          </cell>
          <cell r="O443">
            <v>3</v>
          </cell>
          <cell r="Q443">
            <v>5343082</v>
          </cell>
          <cell r="R443">
            <v>4924046</v>
          </cell>
          <cell r="S443">
            <v>5343083</v>
          </cell>
          <cell r="T443">
            <v>0</v>
          </cell>
          <cell r="U443">
            <v>0</v>
          </cell>
          <cell r="V443">
            <v>0</v>
          </cell>
          <cell r="W443">
            <v>5343083</v>
          </cell>
          <cell r="X443">
            <v>5</v>
          </cell>
          <cell r="Z443">
            <v>16</v>
          </cell>
          <cell r="AB443">
            <v>21</v>
          </cell>
          <cell r="AC443">
            <v>1272162.6190476192</v>
          </cell>
          <cell r="AD443">
            <v>4070920.3809523811</v>
          </cell>
          <cell r="AE443">
            <v>5343083</v>
          </cell>
          <cell r="AF443">
            <v>0</v>
          </cell>
          <cell r="AG443">
            <v>5343083</v>
          </cell>
          <cell r="AH443" t="b">
            <v>1</v>
          </cell>
          <cell r="AK443">
            <v>5343083</v>
          </cell>
          <cell r="AL443" t="str">
            <v>TK</v>
          </cell>
          <cell r="AM443">
            <v>5343083</v>
          </cell>
          <cell r="AN443">
            <v>34354.584590750004</v>
          </cell>
          <cell r="AQ443">
            <v>0</v>
          </cell>
          <cell r="AR443">
            <v>38000</v>
          </cell>
          <cell r="AS443">
            <v>31700</v>
          </cell>
          <cell r="AU443">
            <v>10000</v>
          </cell>
          <cell r="AV443">
            <v>53430.83</v>
          </cell>
          <cell r="AW443">
            <v>106861.66</v>
          </cell>
          <cell r="AX443">
            <v>53430.83</v>
          </cell>
          <cell r="AY443">
            <v>327778</v>
          </cell>
          <cell r="AZ443">
            <v>5015305</v>
          </cell>
          <cell r="BA443">
            <v>34354.584590750004</v>
          </cell>
          <cell r="BB443">
            <v>293423</v>
          </cell>
          <cell r="BC443">
            <v>5049660</v>
          </cell>
        </row>
        <row r="444">
          <cell r="F444" t="str">
            <v>040219-001</v>
          </cell>
          <cell r="G444" t="str">
            <v>Kontrak 2</v>
          </cell>
          <cell r="H444" t="str">
            <v>Pelaksana</v>
          </cell>
          <cell r="I444" t="str">
            <v>Plant Maintenance</v>
          </cell>
          <cell r="J444">
            <v>43500</v>
          </cell>
          <cell r="K444" t="b">
            <v>1</v>
          </cell>
          <cell r="L444">
            <v>43500</v>
          </cell>
          <cell r="M444">
            <v>2</v>
          </cell>
          <cell r="N444">
            <v>3</v>
          </cell>
          <cell r="O444">
            <v>20</v>
          </cell>
          <cell r="Q444">
            <v>5343082</v>
          </cell>
          <cell r="R444">
            <v>4924046</v>
          </cell>
          <cell r="S444">
            <v>5343083</v>
          </cell>
          <cell r="T444">
            <v>0</v>
          </cell>
          <cell r="U444">
            <v>0</v>
          </cell>
          <cell r="V444">
            <v>0</v>
          </cell>
          <cell r="W444">
            <v>5343083</v>
          </cell>
          <cell r="X444">
            <v>5</v>
          </cell>
          <cell r="Z444">
            <v>16</v>
          </cell>
          <cell r="AB444">
            <v>21</v>
          </cell>
          <cell r="AC444">
            <v>1272162.6190476192</v>
          </cell>
          <cell r="AD444">
            <v>4070920.3809523811</v>
          </cell>
          <cell r="AE444">
            <v>5343083</v>
          </cell>
          <cell r="AF444">
            <v>0</v>
          </cell>
          <cell r="AG444">
            <v>5343083</v>
          </cell>
          <cell r="AH444" t="b">
            <v>1</v>
          </cell>
          <cell r="AK444">
            <v>5343083</v>
          </cell>
          <cell r="AL444" t="str">
            <v>TK</v>
          </cell>
          <cell r="AM444">
            <v>5343083</v>
          </cell>
          <cell r="AN444">
            <v>34354.584590750004</v>
          </cell>
          <cell r="AQ444">
            <v>0</v>
          </cell>
          <cell r="AR444">
            <v>38000</v>
          </cell>
          <cell r="AS444">
            <v>31700</v>
          </cell>
          <cell r="AU444">
            <v>10000</v>
          </cell>
          <cell r="AV444">
            <v>53430.83</v>
          </cell>
          <cell r="AW444">
            <v>106861.66</v>
          </cell>
          <cell r="AX444">
            <v>53430.83</v>
          </cell>
          <cell r="AY444">
            <v>327778</v>
          </cell>
          <cell r="AZ444">
            <v>5015305</v>
          </cell>
          <cell r="BA444">
            <v>34354.584590750004</v>
          </cell>
          <cell r="BB444">
            <v>293423</v>
          </cell>
          <cell r="BC444">
            <v>5049660</v>
          </cell>
        </row>
        <row r="445">
          <cell r="F445" t="str">
            <v>010719-007</v>
          </cell>
          <cell r="G445" t="str">
            <v>Kontrak 1</v>
          </cell>
          <cell r="H445" t="str">
            <v>Pelaksana</v>
          </cell>
          <cell r="I445" t="str">
            <v>Plant Maintenance</v>
          </cell>
          <cell r="J445" t="str">
            <v>01 Juli 2019</v>
          </cell>
          <cell r="K445" t="b">
            <v>0</v>
          </cell>
          <cell r="L445">
            <v>43647</v>
          </cell>
          <cell r="M445">
            <v>1</v>
          </cell>
          <cell r="N445">
            <v>10</v>
          </cell>
          <cell r="O445">
            <v>23</v>
          </cell>
          <cell r="Q445">
            <v>5343082</v>
          </cell>
          <cell r="R445">
            <v>4924046</v>
          </cell>
          <cell r="S445">
            <v>5343083</v>
          </cell>
          <cell r="T445">
            <v>0</v>
          </cell>
          <cell r="U445">
            <v>0</v>
          </cell>
          <cell r="V445">
            <v>0</v>
          </cell>
          <cell r="W445">
            <v>5343083</v>
          </cell>
          <cell r="X445">
            <v>5</v>
          </cell>
          <cell r="Z445">
            <v>16</v>
          </cell>
          <cell r="AB445">
            <v>21</v>
          </cell>
          <cell r="AC445">
            <v>1272162.6190476192</v>
          </cell>
          <cell r="AD445">
            <v>4070920.3809523811</v>
          </cell>
          <cell r="AE445">
            <v>5343083</v>
          </cell>
          <cell r="AF445">
            <v>0</v>
          </cell>
          <cell r="AG445">
            <v>5343083</v>
          </cell>
          <cell r="AH445" t="b">
            <v>1</v>
          </cell>
          <cell r="AK445">
            <v>5343083</v>
          </cell>
          <cell r="AL445" t="str">
            <v>TK</v>
          </cell>
          <cell r="AM445">
            <v>5343083</v>
          </cell>
          <cell r="AN445">
            <v>34354.584590750004</v>
          </cell>
          <cell r="AQ445">
            <v>0</v>
          </cell>
          <cell r="AR445">
            <v>38000</v>
          </cell>
          <cell r="AS445">
            <v>31700</v>
          </cell>
          <cell r="AV445">
            <v>53430.83</v>
          </cell>
          <cell r="AW445">
            <v>106861.66</v>
          </cell>
          <cell r="AX445">
            <v>53430.83</v>
          </cell>
          <cell r="AY445">
            <v>317778</v>
          </cell>
          <cell r="AZ445">
            <v>5025305</v>
          </cell>
          <cell r="BA445">
            <v>34354.584590750004</v>
          </cell>
          <cell r="BB445">
            <v>283423</v>
          </cell>
          <cell r="BC445">
            <v>5059660</v>
          </cell>
        </row>
        <row r="446">
          <cell r="F446" t="str">
            <v>010719-008</v>
          </cell>
          <cell r="G446" t="str">
            <v>Kontrak 1</v>
          </cell>
          <cell r="H446" t="str">
            <v>Pelaksana</v>
          </cell>
          <cell r="I446" t="str">
            <v>Plant Maintenance</v>
          </cell>
          <cell r="J446" t="str">
            <v>01 Juli 2019</v>
          </cell>
          <cell r="K446" t="b">
            <v>0</v>
          </cell>
          <cell r="L446">
            <v>43647</v>
          </cell>
          <cell r="M446">
            <v>1</v>
          </cell>
          <cell r="N446">
            <v>10</v>
          </cell>
          <cell r="O446">
            <v>23</v>
          </cell>
          <cell r="Q446">
            <v>5343082</v>
          </cell>
          <cell r="R446">
            <v>4924046</v>
          </cell>
          <cell r="S446">
            <v>5343083</v>
          </cell>
          <cell r="T446">
            <v>0</v>
          </cell>
          <cell r="U446">
            <v>0</v>
          </cell>
          <cell r="V446">
            <v>0</v>
          </cell>
          <cell r="W446">
            <v>5343083</v>
          </cell>
          <cell r="X446">
            <v>5</v>
          </cell>
          <cell r="Z446">
            <v>16</v>
          </cell>
          <cell r="AB446">
            <v>21</v>
          </cell>
          <cell r="AC446">
            <v>1272162.6190476192</v>
          </cell>
          <cell r="AD446">
            <v>4070920.3809523811</v>
          </cell>
          <cell r="AE446">
            <v>5343083</v>
          </cell>
          <cell r="AF446">
            <v>0</v>
          </cell>
          <cell r="AG446">
            <v>5343083</v>
          </cell>
          <cell r="AH446" t="b">
            <v>1</v>
          </cell>
          <cell r="AK446">
            <v>5343083</v>
          </cell>
          <cell r="AL446" t="str">
            <v>K0</v>
          </cell>
          <cell r="AM446">
            <v>5343083</v>
          </cell>
          <cell r="AN446">
            <v>15604.584590750002</v>
          </cell>
          <cell r="AQ446">
            <v>0</v>
          </cell>
          <cell r="AR446">
            <v>38000</v>
          </cell>
          <cell r="AS446">
            <v>31700</v>
          </cell>
          <cell r="AV446">
            <v>53430.83</v>
          </cell>
          <cell r="AW446">
            <v>106861.66</v>
          </cell>
          <cell r="AX446">
            <v>53430.83</v>
          </cell>
          <cell r="AY446">
            <v>299028</v>
          </cell>
          <cell r="AZ446">
            <v>5044055</v>
          </cell>
          <cell r="BA446">
            <v>15604.584590750002</v>
          </cell>
          <cell r="BB446">
            <v>283423</v>
          </cell>
          <cell r="BC446">
            <v>5059660</v>
          </cell>
        </row>
        <row r="447">
          <cell r="F447" t="str">
            <v>230819-013</v>
          </cell>
          <cell r="G447" t="str">
            <v>Kontrak 1</v>
          </cell>
          <cell r="H447" t="str">
            <v>Pelaksana</v>
          </cell>
          <cell r="I447" t="str">
            <v>Plant Maintenance</v>
          </cell>
          <cell r="J447" t="str">
            <v>23 Agustus 2019</v>
          </cell>
          <cell r="K447" t="b">
            <v>0</v>
          </cell>
          <cell r="L447">
            <v>43700</v>
          </cell>
          <cell r="M447">
            <v>1</v>
          </cell>
          <cell r="N447">
            <v>9</v>
          </cell>
          <cell r="O447">
            <v>1</v>
          </cell>
          <cell r="Q447">
            <v>5343082</v>
          </cell>
          <cell r="R447">
            <v>4924046</v>
          </cell>
          <cell r="S447">
            <v>5343083</v>
          </cell>
          <cell r="T447">
            <v>0</v>
          </cell>
          <cell r="U447">
            <v>0</v>
          </cell>
          <cell r="V447">
            <v>0</v>
          </cell>
          <cell r="W447">
            <v>5343083</v>
          </cell>
          <cell r="X447">
            <v>5</v>
          </cell>
          <cell r="Z447">
            <v>16</v>
          </cell>
          <cell r="AB447">
            <v>21</v>
          </cell>
          <cell r="AC447">
            <v>1272162.6190476192</v>
          </cell>
          <cell r="AD447">
            <v>4070920.3809523811</v>
          </cell>
          <cell r="AE447">
            <v>5343083</v>
          </cell>
          <cell r="AF447">
            <v>0</v>
          </cell>
          <cell r="AG447">
            <v>5343083</v>
          </cell>
          <cell r="AH447" t="b">
            <v>1</v>
          </cell>
          <cell r="AK447">
            <v>5343083</v>
          </cell>
          <cell r="AL447" t="str">
            <v>TK</v>
          </cell>
          <cell r="AM447">
            <v>5343083</v>
          </cell>
          <cell r="AN447">
            <v>34354.584590750004</v>
          </cell>
          <cell r="AQ447">
            <v>0</v>
          </cell>
          <cell r="AR447">
            <v>38000</v>
          </cell>
          <cell r="AS447">
            <v>31700</v>
          </cell>
          <cell r="AV447">
            <v>53430.83</v>
          </cell>
          <cell r="AW447">
            <v>106861.66</v>
          </cell>
          <cell r="AX447">
            <v>53430.83</v>
          </cell>
          <cell r="AY447">
            <v>317778</v>
          </cell>
          <cell r="AZ447">
            <v>5025305</v>
          </cell>
          <cell r="BA447">
            <v>34354.584590750004</v>
          </cell>
          <cell r="BB447">
            <v>283423</v>
          </cell>
          <cell r="BC447">
            <v>5059660</v>
          </cell>
        </row>
        <row r="448">
          <cell r="F448" t="str">
            <v>300819-002</v>
          </cell>
          <cell r="G448" t="str">
            <v>Kontrak 1</v>
          </cell>
          <cell r="H448" t="str">
            <v>Pelaksana</v>
          </cell>
          <cell r="I448" t="str">
            <v>Plant Maintenance</v>
          </cell>
          <cell r="J448" t="str">
            <v>30 Agustus 2019</v>
          </cell>
          <cell r="K448" t="b">
            <v>0</v>
          </cell>
          <cell r="L448">
            <v>43707</v>
          </cell>
          <cell r="M448">
            <v>1</v>
          </cell>
          <cell r="N448">
            <v>8</v>
          </cell>
          <cell r="O448">
            <v>24</v>
          </cell>
          <cell r="Q448">
            <v>5343082</v>
          </cell>
          <cell r="R448">
            <v>4924046</v>
          </cell>
          <cell r="S448">
            <v>5343083</v>
          </cell>
          <cell r="T448">
            <v>0</v>
          </cell>
          <cell r="U448">
            <v>0</v>
          </cell>
          <cell r="V448">
            <v>0</v>
          </cell>
          <cell r="W448">
            <v>5343083</v>
          </cell>
          <cell r="X448">
            <v>5</v>
          </cell>
          <cell r="Z448">
            <v>16</v>
          </cell>
          <cell r="AB448">
            <v>21</v>
          </cell>
          <cell r="AC448">
            <v>1272162.6190476192</v>
          </cell>
          <cell r="AD448">
            <v>4070920.3809523811</v>
          </cell>
          <cell r="AE448">
            <v>5343083</v>
          </cell>
          <cell r="AF448">
            <v>0</v>
          </cell>
          <cell r="AG448">
            <v>5343083</v>
          </cell>
          <cell r="AH448" t="b">
            <v>1</v>
          </cell>
          <cell r="AK448">
            <v>5343083</v>
          </cell>
          <cell r="AL448" t="str">
            <v>TK</v>
          </cell>
          <cell r="AM448">
            <v>5343083</v>
          </cell>
          <cell r="AN448">
            <v>34354.584590750004</v>
          </cell>
          <cell r="AQ448">
            <v>0</v>
          </cell>
          <cell r="AR448">
            <v>38000</v>
          </cell>
          <cell r="AS448">
            <v>31700</v>
          </cell>
          <cell r="AV448">
            <v>53430.83</v>
          </cell>
          <cell r="AW448">
            <v>106861.66</v>
          </cell>
          <cell r="AX448">
            <v>53430.83</v>
          </cell>
          <cell r="AY448">
            <v>317778</v>
          </cell>
          <cell r="AZ448">
            <v>5025305</v>
          </cell>
          <cell r="BA448">
            <v>34354.584590750004</v>
          </cell>
          <cell r="BB448">
            <v>283423</v>
          </cell>
          <cell r="BC448">
            <v>5059660</v>
          </cell>
        </row>
        <row r="449">
          <cell r="F449" t="str">
            <v>240919-002</v>
          </cell>
          <cell r="G449" t="str">
            <v>Kontrak 1</v>
          </cell>
          <cell r="H449" t="str">
            <v>Pelaksana</v>
          </cell>
          <cell r="I449" t="str">
            <v>Plant Maintenance</v>
          </cell>
          <cell r="J449">
            <v>43732</v>
          </cell>
          <cell r="K449" t="b">
            <v>1</v>
          </cell>
          <cell r="L449">
            <v>43732</v>
          </cell>
          <cell r="M449">
            <v>1</v>
          </cell>
          <cell r="N449">
            <v>8</v>
          </cell>
          <cell r="O449">
            <v>0</v>
          </cell>
          <cell r="Q449">
            <v>5343082</v>
          </cell>
          <cell r="R449">
            <v>4924046</v>
          </cell>
          <cell r="S449">
            <v>5343083</v>
          </cell>
          <cell r="T449">
            <v>0</v>
          </cell>
          <cell r="U449">
            <v>0</v>
          </cell>
          <cell r="V449">
            <v>0</v>
          </cell>
          <cell r="W449">
            <v>5343083</v>
          </cell>
          <cell r="X449">
            <v>5</v>
          </cell>
          <cell r="Z449">
            <v>16</v>
          </cell>
          <cell r="AB449">
            <v>21</v>
          </cell>
          <cell r="AC449">
            <v>1272162.6190476192</v>
          </cell>
          <cell r="AD449">
            <v>4070920.3809523811</v>
          </cell>
          <cell r="AE449">
            <v>5343083</v>
          </cell>
          <cell r="AF449">
            <v>0</v>
          </cell>
          <cell r="AG449">
            <v>5343083</v>
          </cell>
          <cell r="AH449" t="b">
            <v>1</v>
          </cell>
          <cell r="AK449">
            <v>5343083</v>
          </cell>
          <cell r="AL449" t="str">
            <v>K1</v>
          </cell>
          <cell r="AM449">
            <v>5343083</v>
          </cell>
          <cell r="AN449">
            <v>0</v>
          </cell>
          <cell r="AQ449">
            <v>0</v>
          </cell>
          <cell r="AR449">
            <v>38000</v>
          </cell>
          <cell r="AS449">
            <v>31700</v>
          </cell>
          <cell r="AV449">
            <v>53430.83</v>
          </cell>
          <cell r="AW449">
            <v>106861.66</v>
          </cell>
          <cell r="AX449">
            <v>53430.83</v>
          </cell>
          <cell r="AY449">
            <v>283423</v>
          </cell>
          <cell r="AZ449">
            <v>5059660</v>
          </cell>
          <cell r="BA449">
            <v>0</v>
          </cell>
          <cell r="BB449">
            <v>283423</v>
          </cell>
          <cell r="BC449">
            <v>5059660</v>
          </cell>
        </row>
        <row r="450">
          <cell r="F450" t="str">
            <v>211019-002</v>
          </cell>
          <cell r="G450" t="str">
            <v>Kontrak 2</v>
          </cell>
          <cell r="H450" t="str">
            <v>Pelaksana</v>
          </cell>
          <cell r="I450" t="str">
            <v>Plant Maintenance</v>
          </cell>
          <cell r="J450">
            <v>43759</v>
          </cell>
          <cell r="K450" t="b">
            <v>1</v>
          </cell>
          <cell r="L450">
            <v>43759</v>
          </cell>
          <cell r="M450">
            <v>1</v>
          </cell>
          <cell r="N450">
            <v>7</v>
          </cell>
          <cell r="O450">
            <v>3</v>
          </cell>
          <cell r="Q450">
            <v>5343082</v>
          </cell>
          <cell r="R450">
            <v>4924046</v>
          </cell>
          <cell r="S450">
            <v>5343083</v>
          </cell>
          <cell r="T450">
            <v>0</v>
          </cell>
          <cell r="U450">
            <v>0</v>
          </cell>
          <cell r="V450">
            <v>0</v>
          </cell>
          <cell r="W450">
            <v>5343083</v>
          </cell>
          <cell r="X450">
            <v>5</v>
          </cell>
          <cell r="Z450">
            <v>16</v>
          </cell>
          <cell r="AB450">
            <v>21</v>
          </cell>
          <cell r="AC450">
            <v>1272162.6190476192</v>
          </cell>
          <cell r="AD450">
            <v>4070920.3809523811</v>
          </cell>
          <cell r="AE450">
            <v>5343083</v>
          </cell>
          <cell r="AF450">
            <v>0</v>
          </cell>
          <cell r="AG450">
            <v>5343083</v>
          </cell>
          <cell r="AH450" t="b">
            <v>1</v>
          </cell>
          <cell r="AK450">
            <v>5343083</v>
          </cell>
          <cell r="AL450" t="str">
            <v>TK</v>
          </cell>
          <cell r="AM450">
            <v>5343083</v>
          </cell>
          <cell r="AN450">
            <v>34354.584590750004</v>
          </cell>
          <cell r="AQ450">
            <v>0</v>
          </cell>
          <cell r="AR450">
            <v>38000</v>
          </cell>
          <cell r="AS450">
            <v>31700</v>
          </cell>
          <cell r="AV450">
            <v>53430.83</v>
          </cell>
          <cell r="AW450">
            <v>106861.66</v>
          </cell>
          <cell r="AX450">
            <v>53430.83</v>
          </cell>
          <cell r="AY450">
            <v>317778</v>
          </cell>
          <cell r="AZ450">
            <v>5025305</v>
          </cell>
          <cell r="BA450">
            <v>34354.584590750004</v>
          </cell>
          <cell r="BB450">
            <v>283423</v>
          </cell>
          <cell r="BC450">
            <v>5059660</v>
          </cell>
        </row>
        <row r="451">
          <cell r="Q451">
            <v>145471654</v>
          </cell>
          <cell r="R451">
            <v>134995754</v>
          </cell>
          <cell r="S451">
            <v>145471679</v>
          </cell>
          <cell r="T451">
            <v>4400000</v>
          </cell>
          <cell r="U451">
            <v>2061398</v>
          </cell>
          <cell r="V451">
            <v>653619</v>
          </cell>
          <cell r="W451">
            <v>152586696</v>
          </cell>
          <cell r="X451">
            <v>135</v>
          </cell>
          <cell r="Y451">
            <v>0</v>
          </cell>
          <cell r="Z451">
            <v>432</v>
          </cell>
          <cell r="AA451">
            <v>0</v>
          </cell>
          <cell r="AB451">
            <v>567</v>
          </cell>
          <cell r="AC451">
            <v>36330165.714285716</v>
          </cell>
          <cell r="AD451">
            <v>116256530.28571436</v>
          </cell>
          <cell r="AE451">
            <v>152586696</v>
          </cell>
          <cell r="AF451">
            <v>0</v>
          </cell>
          <cell r="AG451">
            <v>152586696</v>
          </cell>
          <cell r="AH451">
            <v>0</v>
          </cell>
          <cell r="AJ451">
            <v>0</v>
          </cell>
          <cell r="AK451">
            <v>152586696</v>
          </cell>
          <cell r="AL451">
            <v>0</v>
          </cell>
          <cell r="AM451">
            <v>152030275</v>
          </cell>
          <cell r="AN451">
            <v>661299.25395758345</v>
          </cell>
          <cell r="AO451">
            <v>0</v>
          </cell>
          <cell r="AP451">
            <v>2</v>
          </cell>
          <cell r="AQ451">
            <v>556421</v>
          </cell>
          <cell r="AR451">
            <v>912000</v>
          </cell>
          <cell r="AS451">
            <v>855900</v>
          </cell>
          <cell r="AT451">
            <v>0</v>
          </cell>
          <cell r="AU451">
            <v>130000</v>
          </cell>
          <cell r="AV451">
            <v>1508866.9600000002</v>
          </cell>
          <cell r="AW451">
            <v>3051733.9200000004</v>
          </cell>
          <cell r="AX451">
            <v>1515462.9600000002</v>
          </cell>
          <cell r="AY451">
            <v>9191682</v>
          </cell>
          <cell r="AZ451">
            <v>143395014</v>
          </cell>
          <cell r="BA451">
            <v>661299.25395758345</v>
          </cell>
          <cell r="BB451">
            <v>8530377</v>
          </cell>
          <cell r="BC451">
            <v>144056319</v>
          </cell>
        </row>
        <row r="454">
          <cell r="F454" t="str">
            <v>NIK</v>
          </cell>
          <cell r="G454" t="str">
            <v>STATUS</v>
          </cell>
          <cell r="H454" t="str">
            <v>LEVEL</v>
          </cell>
          <cell r="I454" t="str">
            <v>BAGIAN</v>
          </cell>
          <cell r="J454" t="str">
            <v>DB</v>
          </cell>
          <cell r="L454" t="str">
            <v>JOIN</v>
          </cell>
          <cell r="M454" t="str">
            <v>MK</v>
          </cell>
          <cell r="Q454" t="str">
            <v>FIXED SALARY (KESEPAKATAN 2020)</v>
          </cell>
          <cell r="R454" t="str">
            <v>FIXED SALARY (NOVEMBER 2020)</v>
          </cell>
          <cell r="S454" t="str">
            <v>FIXED SALARY (UMSK 2020)</v>
          </cell>
          <cell r="T454" t="str">
            <v>JOB STRUCTURE ALLOWANCE</v>
          </cell>
          <cell r="U454" t="str">
            <v>SKILL ALLOWANCE</v>
          </cell>
          <cell r="V454" t="str">
            <v>PERFORMANCE ALLOWANCE 2020</v>
          </cell>
          <cell r="W454" t="str">
            <v>TOTAL</v>
          </cell>
          <cell r="X454" t="str">
            <v>WORKDAYS</v>
          </cell>
          <cell r="AB454" t="str">
            <v>CEK</v>
          </cell>
          <cell r="AC454" t="str">
            <v xml:space="preserve">SALARY </v>
          </cell>
          <cell r="AD454" t="str">
            <v>SALARY</v>
          </cell>
          <cell r="AE454" t="str">
            <v>TOTAL SALARY (COVID-19)</v>
          </cell>
          <cell r="AF454" t="str">
            <v>POT OFF</v>
          </cell>
          <cell r="AG454" t="str">
            <v>CEK</v>
          </cell>
          <cell r="AH454" t="str">
            <v>CEK</v>
          </cell>
          <cell r="AJ454" t="str">
            <v>BACK PAY ( RAPEL) / INCENTIVE</v>
          </cell>
          <cell r="AK454" t="str">
            <v>TOTAL</v>
          </cell>
          <cell r="AL454" t="str">
            <v>PERHITUNGAN PPh</v>
          </cell>
          <cell r="AN454" t="str">
            <v>TAX</v>
          </cell>
          <cell r="AO454" t="str">
            <v>RETURND</v>
          </cell>
          <cell r="AP454" t="str">
            <v>ABSEN</v>
          </cell>
          <cell r="AR454" t="str">
            <v>DEDUCTION</v>
          </cell>
          <cell r="AV454" t="str">
            <v>BPJS</v>
          </cell>
          <cell r="AW454" t="str">
            <v>BPJS KETENAGAKERJAAN</v>
          </cell>
          <cell r="AY454" t="str">
            <v>TOTAL</v>
          </cell>
          <cell r="AZ454" t="str">
            <v>TOTAL</v>
          </cell>
          <cell r="BA454" t="str">
            <v>INSENTIF</v>
          </cell>
          <cell r="BB454" t="str">
            <v>WITH INSENTIF PPh21</v>
          </cell>
        </row>
        <row r="455">
          <cell r="F455" t="str">
            <v>SAI</v>
          </cell>
          <cell r="G455" t="str">
            <v>KONTRAK</v>
          </cell>
          <cell r="J455" t="str">
            <v>DATEJOIN</v>
          </cell>
          <cell r="K455" t="str">
            <v>CHECK</v>
          </cell>
          <cell r="L455" t="str">
            <v>DATE</v>
          </cell>
          <cell r="M455" t="str">
            <v>YEAR</v>
          </cell>
          <cell r="N455" t="str">
            <v>MONTH</v>
          </cell>
          <cell r="O455" t="str">
            <v>DAY</v>
          </cell>
          <cell r="W455" t="str">
            <v>SALARY</v>
          </cell>
          <cell r="X455" t="str">
            <v>ON</v>
          </cell>
          <cell r="Y455" t="str">
            <v>OFF</v>
          </cell>
          <cell r="Z455" t="str">
            <v>ON</v>
          </cell>
          <cell r="AA455" t="str">
            <v>OFF</v>
          </cell>
          <cell r="AB455" t="str">
            <v>WORKINGDAYS</v>
          </cell>
          <cell r="AC455" t="str">
            <v>PERIODE 25-31 FEB</v>
          </cell>
          <cell r="AD455" t="str">
            <v xml:space="preserve"> PERIODE 1-24 MAR</v>
          </cell>
          <cell r="AK455" t="str">
            <v xml:space="preserve">RECIEVED       </v>
          </cell>
          <cell r="AL455" t="str">
            <v>STATUS</v>
          </cell>
          <cell r="AM455" t="str">
            <v xml:space="preserve">TOTAL    GROSS </v>
          </cell>
          <cell r="AN455">
            <v>21</v>
          </cell>
          <cell r="AO455" t="str">
            <v>TAX JAN 2021</v>
          </cell>
          <cell r="AP455" t="str">
            <v>DAY</v>
          </cell>
          <cell r="AQ455" t="str">
            <v>( Rp )</v>
          </cell>
          <cell r="AR455" t="str">
            <v>UNION</v>
          </cell>
          <cell r="AS455" t="str">
            <v>RAPID TEST</v>
          </cell>
          <cell r="AT455" t="str">
            <v>OTHERS</v>
          </cell>
          <cell r="AU455" t="str">
            <v>KOPERASI</v>
          </cell>
          <cell r="AV455" t="str">
            <v>KESEHATAN</v>
          </cell>
          <cell r="AW455" t="str">
            <v>JHT</v>
          </cell>
          <cell r="AX455" t="str">
            <v>PENSIUN</v>
          </cell>
          <cell r="AY455" t="str">
            <v>DEDUCTION</v>
          </cell>
          <cell r="AZ455" t="str">
            <v>PAID</v>
          </cell>
          <cell r="BA455" t="str">
            <v>PPh21</v>
          </cell>
          <cell r="BB455" t="str">
            <v>TOTAL DEDUCTION</v>
          </cell>
          <cell r="BC455" t="str">
            <v>TOTAL PAID</v>
          </cell>
        </row>
        <row r="456">
          <cell r="F456" t="str">
            <v>040814-016</v>
          </cell>
          <cell r="G456" t="str">
            <v>Tetap</v>
          </cell>
          <cell r="H456" t="str">
            <v>Sect Head</v>
          </cell>
          <cell r="I456" t="str">
            <v>PPIC</v>
          </cell>
          <cell r="J456">
            <v>41855</v>
          </cell>
          <cell r="K456" t="b">
            <v>1</v>
          </cell>
          <cell r="L456">
            <v>41855</v>
          </cell>
          <cell r="M456">
            <v>6</v>
          </cell>
          <cell r="N456">
            <v>9</v>
          </cell>
          <cell r="O456">
            <v>20</v>
          </cell>
          <cell r="Q456">
            <v>6941239</v>
          </cell>
          <cell r="R456">
            <v>6941239</v>
          </cell>
          <cell r="S456">
            <v>6941239</v>
          </cell>
          <cell r="T456">
            <v>1500000</v>
          </cell>
          <cell r="U456">
            <v>0</v>
          </cell>
          <cell r="V456">
            <v>288515</v>
          </cell>
          <cell r="W456">
            <v>8729754</v>
          </cell>
          <cell r="X456">
            <v>5</v>
          </cell>
          <cell r="Z456">
            <v>16</v>
          </cell>
          <cell r="AB456">
            <v>21</v>
          </cell>
          <cell r="AC456">
            <v>2078512.857142857</v>
          </cell>
          <cell r="AD456">
            <v>6651241.1428571427</v>
          </cell>
          <cell r="AE456">
            <v>8729754</v>
          </cell>
          <cell r="AF456">
            <v>0</v>
          </cell>
          <cell r="AG456">
            <v>8729754</v>
          </cell>
          <cell r="AH456" t="b">
            <v>1</v>
          </cell>
          <cell r="AK456">
            <v>8729754</v>
          </cell>
          <cell r="AL456" t="str">
            <v>K3</v>
          </cell>
          <cell r="AM456">
            <v>8314051</v>
          </cell>
          <cell r="AN456">
            <v>103998.54909850005</v>
          </cell>
          <cell r="AP456">
            <v>1</v>
          </cell>
          <cell r="AQ456">
            <v>415703</v>
          </cell>
          <cell r="AR456">
            <v>38000</v>
          </cell>
          <cell r="AS456">
            <v>31700</v>
          </cell>
          <cell r="AU456">
            <v>10000</v>
          </cell>
          <cell r="AV456">
            <v>87297.540000000008</v>
          </cell>
          <cell r="AW456">
            <v>174595.08000000002</v>
          </cell>
          <cell r="AX456">
            <v>87297.540000000008</v>
          </cell>
          <cell r="AY456">
            <v>948592</v>
          </cell>
          <cell r="AZ456">
            <v>7781162</v>
          </cell>
          <cell r="BA456">
            <v>103998.54909850005</v>
          </cell>
          <cell r="BB456">
            <v>844593</v>
          </cell>
          <cell r="BC456">
            <v>7885161</v>
          </cell>
        </row>
        <row r="457">
          <cell r="F457" t="str">
            <v>221214-012</v>
          </cell>
          <cell r="G457" t="str">
            <v>Tetap</v>
          </cell>
          <cell r="H457" t="str">
            <v>Sect Head</v>
          </cell>
          <cell r="I457" t="str">
            <v>PPIC</v>
          </cell>
          <cell r="J457">
            <v>41995</v>
          </cell>
          <cell r="K457" t="b">
            <v>1</v>
          </cell>
          <cell r="L457">
            <v>41995</v>
          </cell>
          <cell r="M457">
            <v>6</v>
          </cell>
          <cell r="N457">
            <v>5</v>
          </cell>
          <cell r="O457">
            <v>2</v>
          </cell>
          <cell r="Q457">
            <v>5343082</v>
          </cell>
          <cell r="R457">
            <v>5343083</v>
          </cell>
          <cell r="S457">
            <v>5343083</v>
          </cell>
          <cell r="T457">
            <v>750000</v>
          </cell>
          <cell r="U457">
            <v>0</v>
          </cell>
          <cell r="V457">
            <v>300000</v>
          </cell>
          <cell r="W457">
            <v>6393083</v>
          </cell>
          <cell r="X457">
            <v>5</v>
          </cell>
          <cell r="Z457">
            <v>16</v>
          </cell>
          <cell r="AB457">
            <v>21</v>
          </cell>
          <cell r="AC457">
            <v>1522162.6190476189</v>
          </cell>
          <cell r="AD457">
            <v>4870920.3809523806</v>
          </cell>
          <cell r="AE457">
            <v>6393083</v>
          </cell>
          <cell r="AF457">
            <v>0</v>
          </cell>
          <cell r="AG457">
            <v>6393083</v>
          </cell>
          <cell r="AH457" t="b">
            <v>1</v>
          </cell>
          <cell r="AK457">
            <v>6393083</v>
          </cell>
          <cell r="AL457" t="str">
            <v>K1</v>
          </cell>
          <cell r="AM457">
            <v>4566488</v>
          </cell>
          <cell r="AN457">
            <v>0</v>
          </cell>
          <cell r="AP457">
            <v>6</v>
          </cell>
          <cell r="AQ457">
            <v>1826595</v>
          </cell>
          <cell r="AR457">
            <v>38000</v>
          </cell>
          <cell r="AS457">
            <v>31700</v>
          </cell>
          <cell r="AV457">
            <v>63930.83</v>
          </cell>
          <cell r="AW457">
            <v>127861.66</v>
          </cell>
          <cell r="AX457">
            <v>63930.83</v>
          </cell>
          <cell r="AY457">
            <v>2152018</v>
          </cell>
          <cell r="AZ457">
            <v>4241065</v>
          </cell>
          <cell r="BA457">
            <v>0</v>
          </cell>
          <cell r="BB457">
            <v>2152018</v>
          </cell>
          <cell r="BC457">
            <v>4241065</v>
          </cell>
        </row>
        <row r="458">
          <cell r="F458" t="str">
            <v>040814-486</v>
          </cell>
          <cell r="G458" t="str">
            <v>Tetap</v>
          </cell>
          <cell r="H458" t="str">
            <v>Sect Head</v>
          </cell>
          <cell r="I458" t="str">
            <v>PPIC</v>
          </cell>
          <cell r="J458">
            <v>41855</v>
          </cell>
          <cell r="K458" t="b">
            <v>1</v>
          </cell>
          <cell r="L458">
            <v>41855</v>
          </cell>
          <cell r="M458">
            <v>6</v>
          </cell>
          <cell r="N458">
            <v>9</v>
          </cell>
          <cell r="O458">
            <v>20</v>
          </cell>
          <cell r="Q458">
            <v>5343082</v>
          </cell>
          <cell r="R458">
            <v>5343083</v>
          </cell>
          <cell r="S458">
            <v>5343083</v>
          </cell>
          <cell r="T458">
            <v>1500000</v>
          </cell>
          <cell r="U458">
            <v>0</v>
          </cell>
          <cell r="V458">
            <v>213723</v>
          </cell>
          <cell r="W458">
            <v>7056806</v>
          </cell>
          <cell r="X458">
            <v>5</v>
          </cell>
          <cell r="Z458">
            <v>16</v>
          </cell>
          <cell r="AB458">
            <v>21</v>
          </cell>
          <cell r="AC458">
            <v>1680191.9047619049</v>
          </cell>
          <cell r="AD458">
            <v>5376614.0952380951</v>
          </cell>
          <cell r="AE458">
            <v>7056806</v>
          </cell>
          <cell r="AF458">
            <v>0</v>
          </cell>
          <cell r="AG458">
            <v>7056806</v>
          </cell>
          <cell r="AH458" t="b">
            <v>1</v>
          </cell>
          <cell r="AK458">
            <v>7056806</v>
          </cell>
          <cell r="AL458" t="str">
            <v>K1</v>
          </cell>
          <cell r="AM458">
            <v>7056806</v>
          </cell>
          <cell r="AN458">
            <v>80039.127441500066</v>
          </cell>
          <cell r="AQ458">
            <v>0</v>
          </cell>
          <cell r="AR458">
            <v>38000</v>
          </cell>
          <cell r="AS458">
            <v>31700</v>
          </cell>
          <cell r="AU458">
            <v>10000</v>
          </cell>
          <cell r="AV458">
            <v>70568.06</v>
          </cell>
          <cell r="AW458">
            <v>141136.12</v>
          </cell>
          <cell r="AX458">
            <v>70568.06</v>
          </cell>
          <cell r="AY458">
            <v>442011</v>
          </cell>
          <cell r="AZ458">
            <v>6614795</v>
          </cell>
          <cell r="BA458">
            <v>80039.127441500066</v>
          </cell>
          <cell r="BB458">
            <v>361972</v>
          </cell>
          <cell r="BC458">
            <v>6694834</v>
          </cell>
        </row>
        <row r="459">
          <cell r="F459" t="str">
            <v>040814-422</v>
          </cell>
          <cell r="G459" t="str">
            <v>Tetap</v>
          </cell>
          <cell r="H459" t="str">
            <v>Sect Head</v>
          </cell>
          <cell r="I459" t="str">
            <v>PPIC</v>
          </cell>
          <cell r="J459">
            <v>41855</v>
          </cell>
          <cell r="K459" t="b">
            <v>1</v>
          </cell>
          <cell r="L459">
            <v>41855</v>
          </cell>
          <cell r="M459">
            <v>6</v>
          </cell>
          <cell r="N459">
            <v>9</v>
          </cell>
          <cell r="O459">
            <v>20</v>
          </cell>
          <cell r="Q459">
            <v>5343082</v>
          </cell>
          <cell r="R459">
            <v>5343083</v>
          </cell>
          <cell r="S459">
            <v>5343083</v>
          </cell>
          <cell r="T459">
            <v>1500000</v>
          </cell>
          <cell r="U459">
            <v>0</v>
          </cell>
          <cell r="V459">
            <v>151592</v>
          </cell>
          <cell r="W459">
            <v>6994675</v>
          </cell>
          <cell r="X459">
            <v>5</v>
          </cell>
          <cell r="Z459">
            <v>16</v>
          </cell>
          <cell r="AB459">
            <v>21</v>
          </cell>
          <cell r="AC459">
            <v>1665398.8095238095</v>
          </cell>
          <cell r="AD459">
            <v>5329276.1904761903</v>
          </cell>
          <cell r="AE459">
            <v>6994675</v>
          </cell>
          <cell r="AF459">
            <v>0</v>
          </cell>
          <cell r="AG459">
            <v>6994675</v>
          </cell>
          <cell r="AH459" t="b">
            <v>1</v>
          </cell>
          <cell r="AK459">
            <v>6994675</v>
          </cell>
          <cell r="AL459" t="str">
            <v>K2</v>
          </cell>
          <cell r="AM459">
            <v>6994675</v>
          </cell>
          <cell r="AN459">
            <v>58273.273168749991</v>
          </cell>
          <cell r="AQ459">
            <v>0</v>
          </cell>
          <cell r="AR459">
            <v>38000</v>
          </cell>
          <cell r="AS459">
            <v>31700</v>
          </cell>
          <cell r="AT459">
            <v>2591500</v>
          </cell>
          <cell r="AV459">
            <v>69946.75</v>
          </cell>
          <cell r="AW459">
            <v>139893.5</v>
          </cell>
          <cell r="AX459">
            <v>69946.75</v>
          </cell>
          <cell r="AY459">
            <v>2999260</v>
          </cell>
          <cell r="AZ459">
            <v>3995415</v>
          </cell>
          <cell r="BA459">
            <v>58273.273168749991</v>
          </cell>
          <cell r="BB459">
            <v>2940987</v>
          </cell>
          <cell r="BC459">
            <v>4053688</v>
          </cell>
        </row>
        <row r="460">
          <cell r="F460" t="str">
            <v>040814-444</v>
          </cell>
          <cell r="G460" t="str">
            <v>Tetap</v>
          </cell>
          <cell r="H460" t="str">
            <v>Leader</v>
          </cell>
          <cell r="I460" t="str">
            <v>PPIC</v>
          </cell>
          <cell r="J460">
            <v>41855</v>
          </cell>
          <cell r="K460" t="b">
            <v>1</v>
          </cell>
          <cell r="L460">
            <v>41855</v>
          </cell>
          <cell r="M460">
            <v>6</v>
          </cell>
          <cell r="N460">
            <v>9</v>
          </cell>
          <cell r="O460">
            <v>20</v>
          </cell>
          <cell r="Q460">
            <v>5394451</v>
          </cell>
          <cell r="R460">
            <v>4924046</v>
          </cell>
          <cell r="S460">
            <v>5343083</v>
          </cell>
          <cell r="T460">
            <v>500000</v>
          </cell>
          <cell r="U460">
            <v>0</v>
          </cell>
          <cell r="V460">
            <v>215778</v>
          </cell>
          <cell r="W460">
            <v>6058861</v>
          </cell>
          <cell r="X460">
            <v>5</v>
          </cell>
          <cell r="Z460">
            <v>16</v>
          </cell>
          <cell r="AB460">
            <v>21</v>
          </cell>
          <cell r="AC460">
            <v>1442585.9523809524</v>
          </cell>
          <cell r="AD460">
            <v>4616275.0476190476</v>
          </cell>
          <cell r="AE460">
            <v>6058861</v>
          </cell>
          <cell r="AF460">
            <v>0</v>
          </cell>
          <cell r="AG460">
            <v>6058861</v>
          </cell>
          <cell r="AH460" t="b">
            <v>1</v>
          </cell>
          <cell r="AK460">
            <v>6058861</v>
          </cell>
          <cell r="AL460" t="str">
            <v>TK</v>
          </cell>
          <cell r="AM460">
            <v>6058861</v>
          </cell>
          <cell r="AN460">
            <v>69098.62765525002</v>
          </cell>
          <cell r="AQ460">
            <v>0</v>
          </cell>
          <cell r="AS460">
            <v>31700</v>
          </cell>
          <cell r="AV460">
            <v>60588.61</v>
          </cell>
          <cell r="AW460">
            <v>121177.22</v>
          </cell>
          <cell r="AX460">
            <v>60588.61</v>
          </cell>
          <cell r="AY460">
            <v>343153</v>
          </cell>
          <cell r="AZ460">
            <v>5715708</v>
          </cell>
          <cell r="BA460">
            <v>69098.62765525002</v>
          </cell>
          <cell r="BB460">
            <v>274054</v>
          </cell>
          <cell r="BC460">
            <v>5784807</v>
          </cell>
        </row>
        <row r="461">
          <cell r="F461" t="str">
            <v>070817-042</v>
          </cell>
          <cell r="G461" t="str">
            <v>Tetap</v>
          </cell>
          <cell r="H461" t="str">
            <v>Leader</v>
          </cell>
          <cell r="I461" t="str">
            <v>PPIC</v>
          </cell>
          <cell r="J461">
            <v>42954</v>
          </cell>
          <cell r="K461" t="b">
            <v>1</v>
          </cell>
          <cell r="L461">
            <v>42954</v>
          </cell>
          <cell r="M461">
            <v>3</v>
          </cell>
          <cell r="N461">
            <v>9</v>
          </cell>
          <cell r="O461">
            <v>17</v>
          </cell>
          <cell r="Q461">
            <v>5343082</v>
          </cell>
          <cell r="R461">
            <v>4924046</v>
          </cell>
          <cell r="S461">
            <v>5343083</v>
          </cell>
          <cell r="T461">
            <v>500000</v>
          </cell>
          <cell r="U461">
            <v>0</v>
          </cell>
          <cell r="V461">
            <v>0</v>
          </cell>
          <cell r="W461">
            <v>5843083</v>
          </cell>
          <cell r="X461">
            <v>5</v>
          </cell>
          <cell r="Z461">
            <v>16</v>
          </cell>
          <cell r="AB461">
            <v>21</v>
          </cell>
          <cell r="AC461">
            <v>1391210.2380952381</v>
          </cell>
          <cell r="AD461">
            <v>4451872.7619047621</v>
          </cell>
          <cell r="AE461">
            <v>5843083</v>
          </cell>
          <cell r="AF461">
            <v>0</v>
          </cell>
          <cell r="AG461">
            <v>5843083</v>
          </cell>
          <cell r="AH461" t="b">
            <v>1</v>
          </cell>
          <cell r="AK461">
            <v>5843083</v>
          </cell>
          <cell r="AL461" t="str">
            <v>K2</v>
          </cell>
          <cell r="AM461">
            <v>5843083</v>
          </cell>
          <cell r="AN461">
            <v>2374.7095907499393</v>
          </cell>
          <cell r="AQ461">
            <v>0</v>
          </cell>
          <cell r="AS461">
            <v>31700</v>
          </cell>
          <cell r="AV461">
            <v>58430.83</v>
          </cell>
          <cell r="AW461">
            <v>116861.66</v>
          </cell>
          <cell r="AX461">
            <v>58430.83</v>
          </cell>
          <cell r="AY461">
            <v>267798</v>
          </cell>
          <cell r="AZ461">
            <v>5575285</v>
          </cell>
          <cell r="BA461">
            <v>2374.7095907499393</v>
          </cell>
          <cell r="BB461">
            <v>265423</v>
          </cell>
          <cell r="BC461">
            <v>5577660</v>
          </cell>
        </row>
        <row r="462">
          <cell r="F462" t="str">
            <v>050421-004</v>
          </cell>
          <cell r="G462" t="str">
            <v>Pembaharuan</v>
          </cell>
          <cell r="H462" t="str">
            <v>Leader</v>
          </cell>
          <cell r="I462" t="str">
            <v>PPIC</v>
          </cell>
          <cell r="J462">
            <v>44291</v>
          </cell>
          <cell r="K462" t="b">
            <v>1</v>
          </cell>
          <cell r="L462">
            <v>44291</v>
          </cell>
          <cell r="M462">
            <v>0</v>
          </cell>
          <cell r="N462">
            <v>1</v>
          </cell>
          <cell r="O462">
            <v>19</v>
          </cell>
          <cell r="Q462">
            <v>5343082</v>
          </cell>
          <cell r="R462">
            <v>4924046</v>
          </cell>
          <cell r="S462">
            <v>5343083</v>
          </cell>
          <cell r="T462">
            <v>235300</v>
          </cell>
          <cell r="U462">
            <v>0</v>
          </cell>
          <cell r="V462">
            <v>0</v>
          </cell>
          <cell r="W462">
            <v>5578383</v>
          </cell>
          <cell r="X462">
            <v>5</v>
          </cell>
          <cell r="Z462">
            <v>16</v>
          </cell>
          <cell r="AB462">
            <v>21</v>
          </cell>
          <cell r="AC462">
            <v>1328186.4285714286</v>
          </cell>
          <cell r="AD462">
            <v>4250196.5714285718</v>
          </cell>
          <cell r="AE462">
            <v>5578383</v>
          </cell>
          <cell r="AF462">
            <v>0</v>
          </cell>
          <cell r="AG462">
            <v>5578383</v>
          </cell>
          <cell r="AH462" t="b">
            <v>1</v>
          </cell>
          <cell r="AK462">
            <v>5578383</v>
          </cell>
          <cell r="AL462" t="str">
            <v>K2</v>
          </cell>
          <cell r="AM462">
            <v>5578383</v>
          </cell>
          <cell r="AN462">
            <v>0</v>
          </cell>
          <cell r="AQ462">
            <v>0</v>
          </cell>
          <cell r="AR462">
            <v>38000</v>
          </cell>
          <cell r="AS462">
            <v>31700</v>
          </cell>
          <cell r="AU462">
            <v>10000</v>
          </cell>
          <cell r="AV462">
            <v>55783.83</v>
          </cell>
          <cell r="AW462">
            <v>111567.66</v>
          </cell>
          <cell r="AX462">
            <v>55783.83</v>
          </cell>
          <cell r="AY462">
            <v>302835</v>
          </cell>
          <cell r="AZ462">
            <v>5275548</v>
          </cell>
          <cell r="BA462">
            <v>0</v>
          </cell>
          <cell r="BB462">
            <v>302835</v>
          </cell>
          <cell r="BC462">
            <v>5275548</v>
          </cell>
        </row>
        <row r="463">
          <cell r="F463" t="str">
            <v>150817-001</v>
          </cell>
          <cell r="G463" t="str">
            <v>Tetap</v>
          </cell>
          <cell r="H463" t="str">
            <v>Leader</v>
          </cell>
          <cell r="I463" t="str">
            <v>PPIC</v>
          </cell>
          <cell r="J463">
            <v>42962</v>
          </cell>
          <cell r="K463" t="b">
            <v>1</v>
          </cell>
          <cell r="L463">
            <v>42962</v>
          </cell>
          <cell r="M463">
            <v>3</v>
          </cell>
          <cell r="N463">
            <v>9</v>
          </cell>
          <cell r="O463">
            <v>9</v>
          </cell>
          <cell r="Q463">
            <v>5343082</v>
          </cell>
          <cell r="R463">
            <v>4924046</v>
          </cell>
          <cell r="S463">
            <v>5343083</v>
          </cell>
          <cell r="T463">
            <v>400000</v>
          </cell>
          <cell r="U463">
            <v>0</v>
          </cell>
          <cell r="V463">
            <v>0</v>
          </cell>
          <cell r="W463">
            <v>5743083</v>
          </cell>
          <cell r="X463">
            <v>5</v>
          </cell>
          <cell r="Z463">
            <v>16</v>
          </cell>
          <cell r="AB463">
            <v>21</v>
          </cell>
          <cell r="AC463">
            <v>1367400.7142857141</v>
          </cell>
          <cell r="AD463">
            <v>4375682.2857142854</v>
          </cell>
          <cell r="AE463">
            <v>5743083</v>
          </cell>
          <cell r="AF463">
            <v>0</v>
          </cell>
          <cell r="AG463">
            <v>5743083</v>
          </cell>
          <cell r="AH463" t="b">
            <v>1</v>
          </cell>
          <cell r="AK463">
            <v>5743083</v>
          </cell>
          <cell r="AL463" t="str">
            <v>K2</v>
          </cell>
          <cell r="AM463">
            <v>5743083</v>
          </cell>
          <cell r="AN463">
            <v>0</v>
          </cell>
          <cell r="AQ463">
            <v>0</v>
          </cell>
          <cell r="AS463">
            <v>31700</v>
          </cell>
          <cell r="AV463">
            <v>57430.83</v>
          </cell>
          <cell r="AW463">
            <v>114861.66</v>
          </cell>
          <cell r="AX463">
            <v>57430.83</v>
          </cell>
          <cell r="AY463">
            <v>261423</v>
          </cell>
          <cell r="AZ463">
            <v>5481660</v>
          </cell>
          <cell r="BA463">
            <v>0</v>
          </cell>
          <cell r="BB463">
            <v>261423</v>
          </cell>
          <cell r="BC463">
            <v>5481660</v>
          </cell>
        </row>
        <row r="464">
          <cell r="F464" t="str">
            <v>240818-001</v>
          </cell>
          <cell r="G464" t="str">
            <v>Tetap</v>
          </cell>
          <cell r="H464" t="str">
            <v>Leader</v>
          </cell>
          <cell r="I464" t="str">
            <v>PPIC</v>
          </cell>
          <cell r="J464">
            <v>43336</v>
          </cell>
          <cell r="K464" t="b">
            <v>1</v>
          </cell>
          <cell r="L464">
            <v>43336</v>
          </cell>
          <cell r="M464">
            <v>2</v>
          </cell>
          <cell r="N464">
            <v>9</v>
          </cell>
          <cell r="O464">
            <v>0</v>
          </cell>
          <cell r="Q464">
            <v>5343082</v>
          </cell>
          <cell r="R464">
            <v>4924046</v>
          </cell>
          <cell r="S464">
            <v>5343083</v>
          </cell>
          <cell r="T464">
            <v>500000</v>
          </cell>
          <cell r="U464">
            <v>256917</v>
          </cell>
          <cell r="V464">
            <v>0</v>
          </cell>
          <cell r="W464">
            <v>6100000</v>
          </cell>
          <cell r="X464">
            <v>5</v>
          </cell>
          <cell r="Z464">
            <v>16</v>
          </cell>
          <cell r="AB464">
            <v>21</v>
          </cell>
          <cell r="AC464">
            <v>1452380.9523809524</v>
          </cell>
          <cell r="AD464">
            <v>4647619.0476190476</v>
          </cell>
          <cell r="AE464">
            <v>6100000</v>
          </cell>
          <cell r="AF464">
            <v>0</v>
          </cell>
          <cell r="AG464">
            <v>6100000</v>
          </cell>
          <cell r="AH464" t="b">
            <v>1</v>
          </cell>
          <cell r="AK464">
            <v>6100000</v>
          </cell>
          <cell r="AL464" t="str">
            <v>K2</v>
          </cell>
          <cell r="AM464">
            <v>6100000</v>
          </cell>
          <cell r="AN464">
            <v>14167.382700000022</v>
          </cell>
          <cell r="AQ464">
            <v>0</v>
          </cell>
          <cell r="AR464">
            <v>38000</v>
          </cell>
          <cell r="AS464">
            <v>31700</v>
          </cell>
          <cell r="AU464">
            <v>10000</v>
          </cell>
          <cell r="AV464">
            <v>57430.83</v>
          </cell>
          <cell r="AW464">
            <v>122000</v>
          </cell>
          <cell r="AX464">
            <v>61000</v>
          </cell>
          <cell r="AY464">
            <v>334298</v>
          </cell>
          <cell r="AZ464">
            <v>5765702</v>
          </cell>
          <cell r="BA464">
            <v>14167.382700000022</v>
          </cell>
          <cell r="BB464">
            <v>320131</v>
          </cell>
          <cell r="BC464">
            <v>5779869</v>
          </cell>
        </row>
        <row r="465">
          <cell r="F465" t="str">
            <v>120421-003</v>
          </cell>
          <cell r="G465" t="str">
            <v>Pembaharuan</v>
          </cell>
          <cell r="H465" t="str">
            <v>Leader</v>
          </cell>
          <cell r="I465" t="str">
            <v>PPIC</v>
          </cell>
          <cell r="J465" t="e">
            <v>#N/A</v>
          </cell>
          <cell r="K465" t="e">
            <v>#N/A</v>
          </cell>
          <cell r="L465">
            <v>44298</v>
          </cell>
          <cell r="M465">
            <v>0</v>
          </cell>
          <cell r="N465">
            <v>1</v>
          </cell>
          <cell r="O465">
            <v>12</v>
          </cell>
          <cell r="Q465">
            <v>5343082</v>
          </cell>
          <cell r="R465">
            <v>4924046</v>
          </cell>
          <cell r="S465">
            <v>5343083</v>
          </cell>
          <cell r="T465">
            <v>500000</v>
          </cell>
          <cell r="U465">
            <v>656917</v>
          </cell>
          <cell r="V465">
            <v>200000</v>
          </cell>
          <cell r="W465">
            <v>6700000</v>
          </cell>
          <cell r="X465">
            <v>5</v>
          </cell>
          <cell r="Z465">
            <v>16</v>
          </cell>
          <cell r="AB465">
            <v>21</v>
          </cell>
          <cell r="AC465">
            <v>1595238.0952380951</v>
          </cell>
          <cell r="AD465">
            <v>5104761.9047619049</v>
          </cell>
          <cell r="AE465">
            <v>6700000</v>
          </cell>
          <cell r="AF465">
            <v>0</v>
          </cell>
          <cell r="AG465">
            <v>6700000</v>
          </cell>
          <cell r="AH465" t="b">
            <v>1</v>
          </cell>
          <cell r="AK465">
            <v>6700000</v>
          </cell>
          <cell r="AL465" t="str">
            <v>TK</v>
          </cell>
          <cell r="AM465">
            <v>6700000</v>
          </cell>
          <cell r="AN465">
            <v>98211.532700000025</v>
          </cell>
          <cell r="AQ465">
            <v>0</v>
          </cell>
          <cell r="AR465">
            <v>38000</v>
          </cell>
          <cell r="AS465">
            <v>31700</v>
          </cell>
          <cell r="AV465">
            <v>56430.83</v>
          </cell>
          <cell r="AW465">
            <v>134000</v>
          </cell>
          <cell r="AX465">
            <v>67000</v>
          </cell>
          <cell r="AY465">
            <v>425342</v>
          </cell>
          <cell r="AZ465">
            <v>6274658</v>
          </cell>
          <cell r="BA465">
            <v>98211.532700000025</v>
          </cell>
          <cell r="BB465">
            <v>327131</v>
          </cell>
          <cell r="BC465">
            <v>6372869</v>
          </cell>
        </row>
        <row r="466">
          <cell r="F466" t="str">
            <v>040814-435</v>
          </cell>
          <cell r="G466" t="str">
            <v>Tetap</v>
          </cell>
          <cell r="H466" t="str">
            <v>Staff</v>
          </cell>
          <cell r="I466" t="str">
            <v>PPIC</v>
          </cell>
          <cell r="J466">
            <v>41855</v>
          </cell>
          <cell r="K466" t="b">
            <v>1</v>
          </cell>
          <cell r="L466">
            <v>41855</v>
          </cell>
          <cell r="M466">
            <v>6</v>
          </cell>
          <cell r="N466">
            <v>9</v>
          </cell>
          <cell r="O466">
            <v>20</v>
          </cell>
          <cell r="Q466">
            <v>5343082</v>
          </cell>
          <cell r="R466">
            <v>4924046</v>
          </cell>
          <cell r="S466">
            <v>5343083</v>
          </cell>
          <cell r="T466">
            <v>0</v>
          </cell>
          <cell r="U466">
            <v>0</v>
          </cell>
          <cell r="V466">
            <v>0</v>
          </cell>
          <cell r="W466">
            <v>5343083</v>
          </cell>
          <cell r="X466">
            <v>5</v>
          </cell>
          <cell r="Z466">
            <v>16</v>
          </cell>
          <cell r="AB466">
            <v>21</v>
          </cell>
          <cell r="AC466">
            <v>1272162.6190476192</v>
          </cell>
          <cell r="AD466">
            <v>4070920.3809523811</v>
          </cell>
          <cell r="AE466">
            <v>5343083</v>
          </cell>
          <cell r="AF466">
            <v>0</v>
          </cell>
          <cell r="AG466">
            <v>5343083</v>
          </cell>
          <cell r="AH466" t="b">
            <v>1</v>
          </cell>
          <cell r="AK466">
            <v>5343083</v>
          </cell>
          <cell r="AL466" t="str">
            <v>TK</v>
          </cell>
          <cell r="AM466">
            <v>5343083</v>
          </cell>
          <cell r="AN466">
            <v>34354.584590750004</v>
          </cell>
          <cell r="AQ466">
            <v>0</v>
          </cell>
          <cell r="AS466">
            <v>31700</v>
          </cell>
          <cell r="AU466">
            <v>10000</v>
          </cell>
          <cell r="AV466">
            <v>106861.66</v>
          </cell>
          <cell r="AW466">
            <v>106861.66</v>
          </cell>
          <cell r="AX466">
            <v>53430.83</v>
          </cell>
          <cell r="AY466">
            <v>343209</v>
          </cell>
          <cell r="AZ466">
            <v>4999874</v>
          </cell>
          <cell r="BA466">
            <v>34354.584590750004</v>
          </cell>
          <cell r="BB466">
            <v>308854</v>
          </cell>
          <cell r="BC466">
            <v>5034229</v>
          </cell>
        </row>
        <row r="467">
          <cell r="F467" t="str">
            <v>231018-001</v>
          </cell>
          <cell r="G467" t="str">
            <v>Kontrak 2</v>
          </cell>
          <cell r="H467" t="str">
            <v>Pelaksana</v>
          </cell>
          <cell r="I467" t="str">
            <v>PPIC</v>
          </cell>
          <cell r="J467">
            <v>43396</v>
          </cell>
          <cell r="K467" t="b">
            <v>1</v>
          </cell>
          <cell r="L467">
            <v>43396</v>
          </cell>
          <cell r="M467">
            <v>2</v>
          </cell>
          <cell r="N467">
            <v>7</v>
          </cell>
          <cell r="O467">
            <v>1</v>
          </cell>
          <cell r="Q467">
            <v>5343082</v>
          </cell>
          <cell r="R467">
            <v>4924046</v>
          </cell>
          <cell r="S467">
            <v>5343083</v>
          </cell>
          <cell r="T467">
            <v>0</v>
          </cell>
          <cell r="U467">
            <v>0</v>
          </cell>
          <cell r="V467">
            <v>0</v>
          </cell>
          <cell r="W467">
            <v>5343083</v>
          </cell>
          <cell r="X467">
            <v>5</v>
          </cell>
          <cell r="Z467">
            <v>16</v>
          </cell>
          <cell r="AB467">
            <v>21</v>
          </cell>
          <cell r="AC467">
            <v>1272162.6190476192</v>
          </cell>
          <cell r="AD467">
            <v>4070920.3809523811</v>
          </cell>
          <cell r="AE467">
            <v>5343083</v>
          </cell>
          <cell r="AF467">
            <v>0</v>
          </cell>
          <cell r="AG467">
            <v>5343083</v>
          </cell>
          <cell r="AH467" t="b">
            <v>1</v>
          </cell>
          <cell r="AK467">
            <v>5343083</v>
          </cell>
          <cell r="AL467" t="str">
            <v>TK</v>
          </cell>
          <cell r="AM467">
            <v>5343083</v>
          </cell>
          <cell r="AN467">
            <v>34354.584590750004</v>
          </cell>
          <cell r="AQ467">
            <v>0</v>
          </cell>
          <cell r="AR467">
            <v>38000</v>
          </cell>
          <cell r="AS467">
            <v>31700</v>
          </cell>
          <cell r="AV467">
            <v>53430.83</v>
          </cell>
          <cell r="AW467">
            <v>106861.66</v>
          </cell>
          <cell r="AX467">
            <v>53430.83</v>
          </cell>
          <cell r="AY467">
            <v>317778</v>
          </cell>
          <cell r="AZ467">
            <v>5025305</v>
          </cell>
          <cell r="BA467">
            <v>34354.584590750004</v>
          </cell>
          <cell r="BB467">
            <v>283423</v>
          </cell>
          <cell r="BC467">
            <v>5059660</v>
          </cell>
        </row>
        <row r="468">
          <cell r="F468" t="str">
            <v>251119-003</v>
          </cell>
          <cell r="G468" t="str">
            <v>Pembaharuan</v>
          </cell>
          <cell r="H468" t="str">
            <v>Pelaksana</v>
          </cell>
          <cell r="I468" t="str">
            <v>PPIC</v>
          </cell>
          <cell r="J468">
            <v>43794</v>
          </cell>
          <cell r="K468" t="b">
            <v>1</v>
          </cell>
          <cell r="L468">
            <v>43794</v>
          </cell>
          <cell r="M468">
            <v>1</v>
          </cell>
          <cell r="N468">
            <v>5</v>
          </cell>
          <cell r="O468">
            <v>29</v>
          </cell>
          <cell r="Q468">
            <v>5343082</v>
          </cell>
          <cell r="R468">
            <v>4924046</v>
          </cell>
          <cell r="S468">
            <v>5343083</v>
          </cell>
          <cell r="T468">
            <v>0</v>
          </cell>
          <cell r="U468">
            <v>0</v>
          </cell>
          <cell r="V468">
            <v>0</v>
          </cell>
          <cell r="W468">
            <v>5343083</v>
          </cell>
          <cell r="X468">
            <v>5</v>
          </cell>
          <cell r="Z468">
            <v>16</v>
          </cell>
          <cell r="AB468">
            <v>21</v>
          </cell>
          <cell r="AC468">
            <v>1272162.6190476192</v>
          </cell>
          <cell r="AD468">
            <v>4070920.3809523811</v>
          </cell>
          <cell r="AE468">
            <v>5343083</v>
          </cell>
          <cell r="AF468">
            <v>0</v>
          </cell>
          <cell r="AG468">
            <v>5343083</v>
          </cell>
          <cell r="AH468" t="b">
            <v>1</v>
          </cell>
          <cell r="AK468">
            <v>5343083</v>
          </cell>
          <cell r="AL468" t="str">
            <v>K1</v>
          </cell>
          <cell r="AM468">
            <v>5343083</v>
          </cell>
          <cell r="AN468">
            <v>0</v>
          </cell>
          <cell r="AQ468">
            <v>0</v>
          </cell>
          <cell r="AR468">
            <v>38000</v>
          </cell>
          <cell r="AS468">
            <v>31700</v>
          </cell>
          <cell r="AV468">
            <v>53430.83</v>
          </cell>
          <cell r="AW468">
            <v>106861.66</v>
          </cell>
          <cell r="AX468">
            <v>53430.83</v>
          </cell>
          <cell r="AY468">
            <v>283423</v>
          </cell>
          <cell r="AZ468">
            <v>5059660</v>
          </cell>
          <cell r="BA468">
            <v>0</v>
          </cell>
          <cell r="BB468">
            <v>283423</v>
          </cell>
          <cell r="BC468">
            <v>5059660</v>
          </cell>
        </row>
        <row r="469">
          <cell r="F469" t="str">
            <v>300718-006</v>
          </cell>
          <cell r="G469" t="str">
            <v>Kontrak 2</v>
          </cell>
          <cell r="H469" t="str">
            <v>Pelaksana</v>
          </cell>
          <cell r="I469" t="str">
            <v>PPIC</v>
          </cell>
          <cell r="J469">
            <v>43311</v>
          </cell>
          <cell r="K469" t="b">
            <v>1</v>
          </cell>
          <cell r="L469">
            <v>43311</v>
          </cell>
          <cell r="M469">
            <v>2</v>
          </cell>
          <cell r="N469">
            <v>9</v>
          </cell>
          <cell r="O469">
            <v>24</v>
          </cell>
          <cell r="Q469">
            <v>5343082</v>
          </cell>
          <cell r="R469">
            <v>4924046</v>
          </cell>
          <cell r="S469">
            <v>5343083</v>
          </cell>
          <cell r="T469">
            <v>0</v>
          </cell>
          <cell r="U469">
            <v>0</v>
          </cell>
          <cell r="V469">
            <v>0</v>
          </cell>
          <cell r="W469">
            <v>5343083</v>
          </cell>
          <cell r="X469">
            <v>5</v>
          </cell>
          <cell r="Z469">
            <v>16</v>
          </cell>
          <cell r="AB469">
            <v>21</v>
          </cell>
          <cell r="AC469">
            <v>1272162.6190476192</v>
          </cell>
          <cell r="AD469">
            <v>4070920.3809523811</v>
          </cell>
          <cell r="AE469">
            <v>5343083</v>
          </cell>
          <cell r="AF469">
            <v>0</v>
          </cell>
          <cell r="AG469">
            <v>5343083</v>
          </cell>
          <cell r="AH469" t="b">
            <v>1</v>
          </cell>
          <cell r="AK469">
            <v>5343083</v>
          </cell>
          <cell r="AL469" t="str">
            <v>K1</v>
          </cell>
          <cell r="AM469">
            <v>5343083</v>
          </cell>
          <cell r="AN469">
            <v>0</v>
          </cell>
          <cell r="AQ469">
            <v>0</v>
          </cell>
          <cell r="AR469">
            <v>38000</v>
          </cell>
          <cell r="AS469">
            <v>31700</v>
          </cell>
          <cell r="AU469">
            <v>10000</v>
          </cell>
          <cell r="AV469">
            <v>53430.83</v>
          </cell>
          <cell r="AW469">
            <v>106861.66</v>
          </cell>
          <cell r="AX469">
            <v>53430.83</v>
          </cell>
          <cell r="AY469">
            <v>293423</v>
          </cell>
          <cell r="AZ469">
            <v>5049660</v>
          </cell>
          <cell r="BA469">
            <v>0</v>
          </cell>
          <cell r="BB469">
            <v>293423</v>
          </cell>
          <cell r="BC469">
            <v>5049660</v>
          </cell>
        </row>
        <row r="470">
          <cell r="F470" t="str">
            <v>181119-002</v>
          </cell>
          <cell r="G470" t="str">
            <v>Pembaharuan</v>
          </cell>
          <cell r="H470" t="str">
            <v>Pelaksana</v>
          </cell>
          <cell r="I470" t="str">
            <v>PPIC</v>
          </cell>
          <cell r="J470">
            <v>43787</v>
          </cell>
          <cell r="K470" t="b">
            <v>1</v>
          </cell>
          <cell r="L470">
            <v>43787</v>
          </cell>
          <cell r="M470">
            <v>1</v>
          </cell>
          <cell r="N470">
            <v>6</v>
          </cell>
          <cell r="O470">
            <v>6</v>
          </cell>
          <cell r="Q470">
            <v>5343082</v>
          </cell>
          <cell r="R470">
            <v>4924046</v>
          </cell>
          <cell r="S470">
            <v>5343083</v>
          </cell>
          <cell r="T470">
            <v>0</v>
          </cell>
          <cell r="U470">
            <v>0</v>
          </cell>
          <cell r="V470">
            <v>0</v>
          </cell>
          <cell r="W470">
            <v>5343083</v>
          </cell>
          <cell r="X470">
            <v>5</v>
          </cell>
          <cell r="Z470">
            <v>16</v>
          </cell>
          <cell r="AB470">
            <v>21</v>
          </cell>
          <cell r="AC470">
            <v>1272162.6190476192</v>
          </cell>
          <cell r="AD470">
            <v>4070920.3809523811</v>
          </cell>
          <cell r="AE470">
            <v>5343083</v>
          </cell>
          <cell r="AF470">
            <v>0</v>
          </cell>
          <cell r="AG470">
            <v>5343083</v>
          </cell>
          <cell r="AH470" t="b">
            <v>1</v>
          </cell>
          <cell r="AK470">
            <v>5343083</v>
          </cell>
          <cell r="AL470" t="str">
            <v>TK</v>
          </cell>
          <cell r="AM470">
            <v>5343083</v>
          </cell>
          <cell r="AN470">
            <v>34354.584590750004</v>
          </cell>
          <cell r="AQ470">
            <v>0</v>
          </cell>
          <cell r="AR470">
            <v>38000</v>
          </cell>
          <cell r="AS470">
            <v>31700</v>
          </cell>
          <cell r="AV470">
            <v>53430.83</v>
          </cell>
          <cell r="AW470">
            <v>106861.66</v>
          </cell>
          <cell r="AX470">
            <v>53430.83</v>
          </cell>
          <cell r="AY470">
            <v>317778</v>
          </cell>
          <cell r="AZ470">
            <v>5025305</v>
          </cell>
          <cell r="BA470">
            <v>34354.584590750004</v>
          </cell>
          <cell r="BB470">
            <v>283423</v>
          </cell>
          <cell r="BC470">
            <v>5059660</v>
          </cell>
        </row>
        <row r="471">
          <cell r="F471" t="str">
            <v>040121-004</v>
          </cell>
          <cell r="G471" t="str">
            <v>Recall Kontrak 1</v>
          </cell>
          <cell r="H471" t="str">
            <v>Pelaksana</v>
          </cell>
          <cell r="I471" t="str">
            <v>PPIC</v>
          </cell>
          <cell r="J471" t="str">
            <v>04 Januari 2021</v>
          </cell>
          <cell r="K471" t="b">
            <v>0</v>
          </cell>
          <cell r="L471">
            <v>43468</v>
          </cell>
          <cell r="M471">
            <v>2</v>
          </cell>
          <cell r="N471">
            <v>4</v>
          </cell>
          <cell r="O471">
            <v>21</v>
          </cell>
          <cell r="Q471">
            <v>5343082</v>
          </cell>
          <cell r="R471">
            <v>4924046</v>
          </cell>
          <cell r="S471">
            <v>5343083</v>
          </cell>
          <cell r="T471">
            <v>0</v>
          </cell>
          <cell r="U471">
            <v>0</v>
          </cell>
          <cell r="V471">
            <v>0</v>
          </cell>
          <cell r="W471">
            <v>5343083</v>
          </cell>
          <cell r="X471">
            <v>5</v>
          </cell>
          <cell r="Z471">
            <v>16</v>
          </cell>
          <cell r="AB471">
            <v>21</v>
          </cell>
          <cell r="AC471">
            <v>1272162.6190476192</v>
          </cell>
          <cell r="AD471">
            <v>4070920.3809523811</v>
          </cell>
          <cell r="AE471">
            <v>5343083</v>
          </cell>
          <cell r="AF471">
            <v>0</v>
          </cell>
          <cell r="AG471">
            <v>5343083</v>
          </cell>
          <cell r="AH471" t="b">
            <v>1</v>
          </cell>
          <cell r="AK471">
            <v>5343083</v>
          </cell>
          <cell r="AL471" t="str">
            <v>TK</v>
          </cell>
          <cell r="AM471">
            <v>5343083</v>
          </cell>
          <cell r="AN471">
            <v>34354.584590750004</v>
          </cell>
          <cell r="AQ471">
            <v>0</v>
          </cell>
          <cell r="AR471">
            <v>38000</v>
          </cell>
          <cell r="AS471">
            <v>31700</v>
          </cell>
          <cell r="AV471">
            <v>53430.83</v>
          </cell>
          <cell r="AW471">
            <v>106861.66</v>
          </cell>
          <cell r="AX471">
            <v>53430.83</v>
          </cell>
          <cell r="AY471">
            <v>317778</v>
          </cell>
          <cell r="AZ471">
            <v>5025305</v>
          </cell>
          <cell r="BA471">
            <v>34354.584590750004</v>
          </cell>
          <cell r="BB471">
            <v>283423</v>
          </cell>
          <cell r="BC471">
            <v>5059660</v>
          </cell>
        </row>
        <row r="472">
          <cell r="F472" t="str">
            <v>050319-002</v>
          </cell>
          <cell r="G472" t="str">
            <v>Kontrak 2</v>
          </cell>
          <cell r="H472" t="str">
            <v>Pelaksana</v>
          </cell>
          <cell r="I472" t="str">
            <v>PPIC</v>
          </cell>
          <cell r="J472" t="str">
            <v>05 Maret 2019</v>
          </cell>
          <cell r="K472" t="b">
            <v>0</v>
          </cell>
          <cell r="L472">
            <v>43529</v>
          </cell>
          <cell r="M472">
            <v>2</v>
          </cell>
          <cell r="N472">
            <v>2</v>
          </cell>
          <cell r="O472">
            <v>19</v>
          </cell>
          <cell r="Q472">
            <v>5343082</v>
          </cell>
          <cell r="R472">
            <v>4924046</v>
          </cell>
          <cell r="S472">
            <v>5343083</v>
          </cell>
          <cell r="T472">
            <v>0</v>
          </cell>
          <cell r="U472">
            <v>0</v>
          </cell>
          <cell r="V472">
            <v>0</v>
          </cell>
          <cell r="W472">
            <v>5343083</v>
          </cell>
          <cell r="X472">
            <v>5</v>
          </cell>
          <cell r="Z472">
            <v>16</v>
          </cell>
          <cell r="AB472">
            <v>21</v>
          </cell>
          <cell r="AC472">
            <v>1272162.6190476192</v>
          </cell>
          <cell r="AD472">
            <v>4070920.3809523811</v>
          </cell>
          <cell r="AE472">
            <v>5343083</v>
          </cell>
          <cell r="AF472">
            <v>0</v>
          </cell>
          <cell r="AG472">
            <v>5343083</v>
          </cell>
          <cell r="AH472" t="b">
            <v>1</v>
          </cell>
          <cell r="AK472">
            <v>5343083</v>
          </cell>
          <cell r="AL472" t="str">
            <v>TK</v>
          </cell>
          <cell r="AM472">
            <v>5343083</v>
          </cell>
          <cell r="AN472">
            <v>34354.584590750004</v>
          </cell>
          <cell r="AQ472">
            <v>0</v>
          </cell>
          <cell r="AR472">
            <v>38000</v>
          </cell>
          <cell r="AS472">
            <v>31700</v>
          </cell>
          <cell r="AU472">
            <v>10000</v>
          </cell>
          <cell r="AV472">
            <v>53430.83</v>
          </cell>
          <cell r="AW472">
            <v>106861.66</v>
          </cell>
          <cell r="AX472">
            <v>53430.83</v>
          </cell>
          <cell r="AY472">
            <v>327778</v>
          </cell>
          <cell r="AZ472">
            <v>5015305</v>
          </cell>
          <cell r="BA472">
            <v>34354.584590750004</v>
          </cell>
          <cell r="BB472">
            <v>293423</v>
          </cell>
          <cell r="BC472">
            <v>5049660</v>
          </cell>
        </row>
        <row r="473">
          <cell r="F473" t="str">
            <v>050319-004</v>
          </cell>
          <cell r="G473" t="str">
            <v>Kontrak 2</v>
          </cell>
          <cell r="H473" t="str">
            <v>Pelaksana</v>
          </cell>
          <cell r="I473" t="str">
            <v>PPIC</v>
          </cell>
          <cell r="J473" t="str">
            <v>05 Maret 2019</v>
          </cell>
          <cell r="K473" t="b">
            <v>0</v>
          </cell>
          <cell r="L473">
            <v>43529</v>
          </cell>
          <cell r="M473">
            <v>2</v>
          </cell>
          <cell r="N473">
            <v>2</v>
          </cell>
          <cell r="O473">
            <v>19</v>
          </cell>
          <cell r="Q473">
            <v>5343082</v>
          </cell>
          <cell r="R473">
            <v>4924046</v>
          </cell>
          <cell r="S473">
            <v>5343083</v>
          </cell>
          <cell r="T473">
            <v>0</v>
          </cell>
          <cell r="U473">
            <v>0</v>
          </cell>
          <cell r="V473">
            <v>0</v>
          </cell>
          <cell r="W473">
            <v>5343083</v>
          </cell>
          <cell r="X473">
            <v>5</v>
          </cell>
          <cell r="Z473">
            <v>16</v>
          </cell>
          <cell r="AB473">
            <v>21</v>
          </cell>
          <cell r="AC473">
            <v>1272162.6190476192</v>
          </cell>
          <cell r="AD473">
            <v>4070920.3809523811</v>
          </cell>
          <cell r="AE473">
            <v>5343083</v>
          </cell>
          <cell r="AF473">
            <v>0</v>
          </cell>
          <cell r="AG473">
            <v>5343083</v>
          </cell>
          <cell r="AH473" t="b">
            <v>1</v>
          </cell>
          <cell r="AK473">
            <v>5343083</v>
          </cell>
          <cell r="AL473" t="str">
            <v>TK</v>
          </cell>
          <cell r="AM473">
            <v>5343083</v>
          </cell>
          <cell r="AN473">
            <v>34354.584590750004</v>
          </cell>
          <cell r="AQ473">
            <v>0</v>
          </cell>
          <cell r="AR473">
            <v>38000</v>
          </cell>
          <cell r="AS473">
            <v>31700</v>
          </cell>
          <cell r="AV473">
            <v>53430.83</v>
          </cell>
          <cell r="AW473">
            <v>106861.66</v>
          </cell>
          <cell r="AX473">
            <v>53430.83</v>
          </cell>
          <cell r="AY473">
            <v>317778</v>
          </cell>
          <cell r="AZ473">
            <v>5025305</v>
          </cell>
          <cell r="BA473">
            <v>34354.584590750004</v>
          </cell>
          <cell r="BB473">
            <v>283423</v>
          </cell>
          <cell r="BC473">
            <v>5059660</v>
          </cell>
        </row>
        <row r="474">
          <cell r="F474" t="str">
            <v>051118-013</v>
          </cell>
          <cell r="G474" t="str">
            <v>Kontrak 2</v>
          </cell>
          <cell r="H474" t="str">
            <v>Pelaksana</v>
          </cell>
          <cell r="I474" t="str">
            <v>PPIC</v>
          </cell>
          <cell r="J474">
            <v>43409</v>
          </cell>
          <cell r="K474" t="b">
            <v>1</v>
          </cell>
          <cell r="L474">
            <v>43409</v>
          </cell>
          <cell r="M474">
            <v>2</v>
          </cell>
          <cell r="N474">
            <v>6</v>
          </cell>
          <cell r="O474">
            <v>19</v>
          </cell>
          <cell r="Q474">
            <v>5343082</v>
          </cell>
          <cell r="R474">
            <v>4924046</v>
          </cell>
          <cell r="S474">
            <v>5343083</v>
          </cell>
          <cell r="T474">
            <v>0</v>
          </cell>
          <cell r="U474">
            <v>0</v>
          </cell>
          <cell r="V474">
            <v>0</v>
          </cell>
          <cell r="W474">
            <v>5343083</v>
          </cell>
          <cell r="X474">
            <v>5</v>
          </cell>
          <cell r="Z474">
            <v>16</v>
          </cell>
          <cell r="AB474">
            <v>21</v>
          </cell>
          <cell r="AC474">
            <v>1272162.6190476192</v>
          </cell>
          <cell r="AD474">
            <v>4070920.3809523811</v>
          </cell>
          <cell r="AE474">
            <v>5343083</v>
          </cell>
          <cell r="AF474">
            <v>0</v>
          </cell>
          <cell r="AG474">
            <v>5343083</v>
          </cell>
          <cell r="AH474" t="b">
            <v>1</v>
          </cell>
          <cell r="AK474">
            <v>5343083</v>
          </cell>
          <cell r="AL474" t="str">
            <v>K0</v>
          </cell>
          <cell r="AM474">
            <v>5343083</v>
          </cell>
          <cell r="AN474">
            <v>15604.584590750002</v>
          </cell>
          <cell r="AQ474">
            <v>0</v>
          </cell>
          <cell r="AR474">
            <v>38000</v>
          </cell>
          <cell r="AS474">
            <v>31700</v>
          </cell>
          <cell r="AU474">
            <v>10000</v>
          </cell>
          <cell r="AV474">
            <v>53430.83</v>
          </cell>
          <cell r="AW474">
            <v>106861.66</v>
          </cell>
          <cell r="AX474">
            <v>53430.83</v>
          </cell>
          <cell r="AY474">
            <v>309028</v>
          </cell>
          <cell r="AZ474">
            <v>5034055</v>
          </cell>
          <cell r="BA474">
            <v>15604.584590750002</v>
          </cell>
          <cell r="BB474">
            <v>293423</v>
          </cell>
          <cell r="BC474">
            <v>5049660</v>
          </cell>
        </row>
        <row r="475">
          <cell r="F475" t="str">
            <v>270219-003</v>
          </cell>
          <cell r="G475" t="str">
            <v>Kontrak 2</v>
          </cell>
          <cell r="H475" t="str">
            <v>Pelaksana</v>
          </cell>
          <cell r="I475" t="str">
            <v>PPIC</v>
          </cell>
          <cell r="J475" t="str">
            <v>27 Februari 2019</v>
          </cell>
          <cell r="K475" t="b">
            <v>0</v>
          </cell>
          <cell r="L475">
            <v>43523</v>
          </cell>
          <cell r="M475">
            <v>2</v>
          </cell>
          <cell r="N475">
            <v>2</v>
          </cell>
          <cell r="O475">
            <v>27</v>
          </cell>
          <cell r="Q475">
            <v>5343082</v>
          </cell>
          <cell r="R475">
            <v>4924046</v>
          </cell>
          <cell r="S475">
            <v>5343083</v>
          </cell>
          <cell r="T475">
            <v>0</v>
          </cell>
          <cell r="U475">
            <v>0</v>
          </cell>
          <cell r="V475">
            <v>0</v>
          </cell>
          <cell r="W475">
            <v>5343083</v>
          </cell>
          <cell r="X475">
            <v>5</v>
          </cell>
          <cell r="Z475">
            <v>16</v>
          </cell>
          <cell r="AB475">
            <v>21</v>
          </cell>
          <cell r="AC475">
            <v>1272162.6190476192</v>
          </cell>
          <cell r="AD475">
            <v>4070920.3809523811</v>
          </cell>
          <cell r="AE475">
            <v>5343083</v>
          </cell>
          <cell r="AF475">
            <v>0</v>
          </cell>
          <cell r="AG475">
            <v>5343083</v>
          </cell>
          <cell r="AH475" t="b">
            <v>1</v>
          </cell>
          <cell r="AK475">
            <v>5343083</v>
          </cell>
          <cell r="AL475" t="str">
            <v>K1</v>
          </cell>
          <cell r="AM475">
            <v>5343083</v>
          </cell>
          <cell r="AN475">
            <v>0</v>
          </cell>
          <cell r="AQ475">
            <v>0</v>
          </cell>
          <cell r="AR475">
            <v>38000</v>
          </cell>
          <cell r="AS475">
            <v>31700</v>
          </cell>
          <cell r="AV475">
            <v>53430.83</v>
          </cell>
          <cell r="AW475">
            <v>106861.66</v>
          </cell>
          <cell r="AX475">
            <v>53430.83</v>
          </cell>
          <cell r="AY475">
            <v>283423</v>
          </cell>
          <cell r="AZ475">
            <v>5059660</v>
          </cell>
          <cell r="BA475">
            <v>0</v>
          </cell>
          <cell r="BB475">
            <v>283423</v>
          </cell>
          <cell r="BC475">
            <v>5059660</v>
          </cell>
        </row>
        <row r="476">
          <cell r="F476" t="str">
            <v>270219-002</v>
          </cell>
          <cell r="G476" t="str">
            <v>Kontrak 2</v>
          </cell>
          <cell r="H476" t="str">
            <v>Pelaksana</v>
          </cell>
          <cell r="I476" t="str">
            <v>PPIC</v>
          </cell>
          <cell r="J476" t="str">
            <v>27 Februari 2019</v>
          </cell>
          <cell r="K476" t="b">
            <v>0</v>
          </cell>
          <cell r="L476">
            <v>43523</v>
          </cell>
          <cell r="M476">
            <v>2</v>
          </cell>
          <cell r="N476">
            <v>2</v>
          </cell>
          <cell r="O476">
            <v>27</v>
          </cell>
          <cell r="Q476">
            <v>5343082</v>
          </cell>
          <cell r="R476">
            <v>4924046</v>
          </cell>
          <cell r="S476">
            <v>5343083</v>
          </cell>
          <cell r="T476">
            <v>0</v>
          </cell>
          <cell r="U476">
            <v>0</v>
          </cell>
          <cell r="V476">
            <v>0</v>
          </cell>
          <cell r="W476">
            <v>5343083</v>
          </cell>
          <cell r="X476">
            <v>5</v>
          </cell>
          <cell r="Z476">
            <v>16</v>
          </cell>
          <cell r="AB476">
            <v>21</v>
          </cell>
          <cell r="AC476">
            <v>1272162.6190476192</v>
          </cell>
          <cell r="AD476">
            <v>4070920.3809523811</v>
          </cell>
          <cell r="AE476">
            <v>5343083</v>
          </cell>
          <cell r="AF476">
            <v>0</v>
          </cell>
          <cell r="AG476">
            <v>5343083</v>
          </cell>
          <cell r="AH476" t="b">
            <v>1</v>
          </cell>
          <cell r="AK476">
            <v>5343083</v>
          </cell>
          <cell r="AL476" t="str">
            <v>K0</v>
          </cell>
          <cell r="AM476">
            <v>5343083</v>
          </cell>
          <cell r="AN476">
            <v>15604.584590750002</v>
          </cell>
          <cell r="AQ476">
            <v>0</v>
          </cell>
          <cell r="AR476">
            <v>38000</v>
          </cell>
          <cell r="AS476">
            <v>31700</v>
          </cell>
          <cell r="AV476">
            <v>53430.83</v>
          </cell>
          <cell r="AW476">
            <v>106861.66</v>
          </cell>
          <cell r="AX476">
            <v>53430.83</v>
          </cell>
          <cell r="AY476">
            <v>299028</v>
          </cell>
          <cell r="AZ476">
            <v>5044055</v>
          </cell>
          <cell r="BA476">
            <v>15604.584590750002</v>
          </cell>
          <cell r="BB476">
            <v>283423</v>
          </cell>
          <cell r="BC476">
            <v>5059660</v>
          </cell>
        </row>
        <row r="477">
          <cell r="F477" t="str">
            <v>040121-005</v>
          </cell>
          <cell r="G477" t="str">
            <v>Recall Kontrak 1</v>
          </cell>
          <cell r="H477" t="str">
            <v>Pelaksana</v>
          </cell>
          <cell r="I477" t="str">
            <v>PPIC</v>
          </cell>
          <cell r="J477" t="str">
            <v>04 Januari 2021</v>
          </cell>
          <cell r="K477" t="b">
            <v>0</v>
          </cell>
          <cell r="L477">
            <v>44200</v>
          </cell>
          <cell r="M477">
            <v>0</v>
          </cell>
          <cell r="N477">
            <v>4</v>
          </cell>
          <cell r="O477">
            <v>20</v>
          </cell>
          <cell r="Q477">
            <v>5343082</v>
          </cell>
          <cell r="R477">
            <v>4924046</v>
          </cell>
          <cell r="S477">
            <v>5343083</v>
          </cell>
          <cell r="T477">
            <v>0</v>
          </cell>
          <cell r="U477">
            <v>0</v>
          </cell>
          <cell r="V477">
            <v>0</v>
          </cell>
          <cell r="W477">
            <v>5343083</v>
          </cell>
          <cell r="X477">
            <v>5</v>
          </cell>
          <cell r="Z477">
            <v>16</v>
          </cell>
          <cell r="AB477">
            <v>21</v>
          </cell>
          <cell r="AC477">
            <v>1272162.6190476192</v>
          </cell>
          <cell r="AD477">
            <v>4070920.3809523811</v>
          </cell>
          <cell r="AE477">
            <v>5343083</v>
          </cell>
          <cell r="AF477">
            <v>0</v>
          </cell>
          <cell r="AG477">
            <v>5343083</v>
          </cell>
          <cell r="AH477" t="b">
            <v>1</v>
          </cell>
          <cell r="AK477">
            <v>5343083</v>
          </cell>
          <cell r="AL477" t="str">
            <v>K2</v>
          </cell>
          <cell r="AM477">
            <v>5343083</v>
          </cell>
          <cell r="AN477">
            <v>0</v>
          </cell>
          <cell r="AQ477">
            <v>0</v>
          </cell>
          <cell r="AR477">
            <v>38000</v>
          </cell>
          <cell r="AS477">
            <v>31700</v>
          </cell>
          <cell r="AV477">
            <v>53430.83</v>
          </cell>
          <cell r="AW477">
            <v>106861.66</v>
          </cell>
          <cell r="AX477">
            <v>53430.83</v>
          </cell>
          <cell r="AY477">
            <v>283423</v>
          </cell>
          <cell r="AZ477">
            <v>5059660</v>
          </cell>
          <cell r="BA477">
            <v>0</v>
          </cell>
          <cell r="BB477">
            <v>283423</v>
          </cell>
          <cell r="BC477">
            <v>5059660</v>
          </cell>
        </row>
        <row r="478">
          <cell r="F478" t="str">
            <v>270219-004</v>
          </cell>
          <cell r="G478" t="str">
            <v>Kontrak 2</v>
          </cell>
          <cell r="H478" t="str">
            <v>Pelaksana</v>
          </cell>
          <cell r="I478" t="str">
            <v>PPIC</v>
          </cell>
          <cell r="J478" t="str">
            <v>27 Februari 2019</v>
          </cell>
          <cell r="K478" t="b">
            <v>0</v>
          </cell>
          <cell r="L478">
            <v>43523</v>
          </cell>
          <cell r="M478">
            <v>2</v>
          </cell>
          <cell r="N478">
            <v>2</v>
          </cell>
          <cell r="O478">
            <v>27</v>
          </cell>
          <cell r="Q478">
            <v>5343082</v>
          </cell>
          <cell r="R478">
            <v>4924046</v>
          </cell>
          <cell r="S478">
            <v>5343083</v>
          </cell>
          <cell r="T478">
            <v>0</v>
          </cell>
          <cell r="U478">
            <v>0</v>
          </cell>
          <cell r="V478">
            <v>0</v>
          </cell>
          <cell r="W478">
            <v>5343083</v>
          </cell>
          <cell r="X478">
            <v>5</v>
          </cell>
          <cell r="Z478">
            <v>16</v>
          </cell>
          <cell r="AB478">
            <v>21</v>
          </cell>
          <cell r="AC478">
            <v>1272162.6190476192</v>
          </cell>
          <cell r="AD478">
            <v>4070920.3809523811</v>
          </cell>
          <cell r="AE478">
            <v>5343083</v>
          </cell>
          <cell r="AF478">
            <v>0</v>
          </cell>
          <cell r="AG478">
            <v>5343083</v>
          </cell>
          <cell r="AH478" t="b">
            <v>1</v>
          </cell>
          <cell r="AK478">
            <v>5343083</v>
          </cell>
          <cell r="AL478" t="str">
            <v>K0</v>
          </cell>
          <cell r="AM478">
            <v>5343083</v>
          </cell>
          <cell r="AN478">
            <v>15604.584590750002</v>
          </cell>
          <cell r="AQ478">
            <v>0</v>
          </cell>
          <cell r="AR478">
            <v>38000</v>
          </cell>
          <cell r="AS478">
            <v>31700</v>
          </cell>
          <cell r="AU478">
            <v>10000</v>
          </cell>
          <cell r="AV478">
            <v>53430.83</v>
          </cell>
          <cell r="AW478">
            <v>106861.66</v>
          </cell>
          <cell r="AX478">
            <v>53430.83</v>
          </cell>
          <cell r="AY478">
            <v>309028</v>
          </cell>
          <cell r="AZ478">
            <v>5034055</v>
          </cell>
          <cell r="BA478">
            <v>15604.584590750002</v>
          </cell>
          <cell r="BB478">
            <v>293423</v>
          </cell>
          <cell r="BC478">
            <v>5049660</v>
          </cell>
        </row>
        <row r="479">
          <cell r="F479" t="str">
            <v>130818-011</v>
          </cell>
          <cell r="G479" t="str">
            <v>Recall Kontrak 2</v>
          </cell>
          <cell r="H479" t="str">
            <v>Pelaksana</v>
          </cell>
          <cell r="I479" t="str">
            <v>PPIC</v>
          </cell>
          <cell r="J479">
            <v>43325</v>
          </cell>
          <cell r="K479" t="b">
            <v>1</v>
          </cell>
          <cell r="L479">
            <v>43325</v>
          </cell>
          <cell r="M479">
            <v>2</v>
          </cell>
          <cell r="N479">
            <v>9</v>
          </cell>
          <cell r="O479">
            <v>11</v>
          </cell>
          <cell r="Q479">
            <v>5343082</v>
          </cell>
          <cell r="R479">
            <v>4924046</v>
          </cell>
          <cell r="S479">
            <v>5343083</v>
          </cell>
          <cell r="T479">
            <v>0</v>
          </cell>
          <cell r="U479">
            <v>0</v>
          </cell>
          <cell r="V479">
            <v>0</v>
          </cell>
          <cell r="W479">
            <v>5343083</v>
          </cell>
          <cell r="X479">
            <v>5</v>
          </cell>
          <cell r="Z479">
            <v>16</v>
          </cell>
          <cell r="AB479">
            <v>21</v>
          </cell>
          <cell r="AC479">
            <v>1272162.6190476192</v>
          </cell>
          <cell r="AD479">
            <v>4070920.3809523811</v>
          </cell>
          <cell r="AE479">
            <v>5343083</v>
          </cell>
          <cell r="AF479">
            <v>0</v>
          </cell>
          <cell r="AG479">
            <v>5343083</v>
          </cell>
          <cell r="AH479" t="b">
            <v>1</v>
          </cell>
          <cell r="AK479">
            <v>5343083</v>
          </cell>
          <cell r="AL479" t="str">
            <v>K1</v>
          </cell>
          <cell r="AM479">
            <v>5343083</v>
          </cell>
          <cell r="AN479">
            <v>0</v>
          </cell>
          <cell r="AQ479">
            <v>0</v>
          </cell>
          <cell r="AR479">
            <v>38000</v>
          </cell>
          <cell r="AS479">
            <v>31700</v>
          </cell>
          <cell r="AU479">
            <v>10000</v>
          </cell>
          <cell r="AV479">
            <v>53430.83</v>
          </cell>
          <cell r="AW479">
            <v>106861.66</v>
          </cell>
          <cell r="AX479">
            <v>53430.83</v>
          </cell>
          <cell r="AY479">
            <v>293423</v>
          </cell>
          <cell r="AZ479">
            <v>5049660</v>
          </cell>
          <cell r="BA479">
            <v>0</v>
          </cell>
          <cell r="BB479">
            <v>293423</v>
          </cell>
          <cell r="BC479">
            <v>5049660</v>
          </cell>
        </row>
        <row r="480">
          <cell r="F480" t="str">
            <v>040814-443</v>
          </cell>
          <cell r="G480" t="str">
            <v>Tetap</v>
          </cell>
          <cell r="H480" t="str">
            <v>Pelaksana</v>
          </cell>
          <cell r="I480" t="str">
            <v>PPIC</v>
          </cell>
          <cell r="J480">
            <v>41855</v>
          </cell>
          <cell r="K480" t="b">
            <v>1</v>
          </cell>
          <cell r="L480">
            <v>41855</v>
          </cell>
          <cell r="M480">
            <v>6</v>
          </cell>
          <cell r="N480">
            <v>9</v>
          </cell>
          <cell r="O480">
            <v>20</v>
          </cell>
          <cell r="Q480">
            <v>5343082</v>
          </cell>
          <cell r="R480">
            <v>4924046</v>
          </cell>
          <cell r="S480">
            <v>5343083</v>
          </cell>
          <cell r="T480">
            <v>0</v>
          </cell>
          <cell r="U480">
            <v>0</v>
          </cell>
          <cell r="V480">
            <v>0</v>
          </cell>
          <cell r="W480">
            <v>5343083</v>
          </cell>
          <cell r="X480">
            <v>5</v>
          </cell>
          <cell r="Z480">
            <v>16</v>
          </cell>
          <cell r="AB480">
            <v>21</v>
          </cell>
          <cell r="AC480">
            <v>1272162.6190476192</v>
          </cell>
          <cell r="AD480">
            <v>4070920.3809523811</v>
          </cell>
          <cell r="AE480">
            <v>5343083</v>
          </cell>
          <cell r="AF480">
            <v>0</v>
          </cell>
          <cell r="AG480">
            <v>5343083</v>
          </cell>
          <cell r="AH480" t="b">
            <v>1</v>
          </cell>
          <cell r="AK480">
            <v>5343083</v>
          </cell>
          <cell r="AL480" t="str">
            <v>K1</v>
          </cell>
          <cell r="AM480">
            <v>5343083</v>
          </cell>
          <cell r="AN480">
            <v>0</v>
          </cell>
          <cell r="AQ480">
            <v>0</v>
          </cell>
          <cell r="AR480">
            <v>38000</v>
          </cell>
          <cell r="AS480">
            <v>31700</v>
          </cell>
          <cell r="AV480">
            <v>53430.83</v>
          </cell>
          <cell r="AW480">
            <v>106861.66</v>
          </cell>
          <cell r="AX480">
            <v>53430.83</v>
          </cell>
          <cell r="AY480">
            <v>283423</v>
          </cell>
          <cell r="AZ480">
            <v>5059660</v>
          </cell>
          <cell r="BA480">
            <v>0</v>
          </cell>
          <cell r="BB480">
            <v>283423</v>
          </cell>
          <cell r="BC480">
            <v>5059660</v>
          </cell>
        </row>
        <row r="481">
          <cell r="F481" t="str">
            <v>150421-002</v>
          </cell>
          <cell r="G481" t="str">
            <v>Recall Kontrak 1</v>
          </cell>
          <cell r="H481" t="str">
            <v>Leader</v>
          </cell>
          <cell r="I481" t="str">
            <v>PPIC</v>
          </cell>
          <cell r="J481" t="e">
            <v>#N/A</v>
          </cell>
          <cell r="K481" t="e">
            <v>#N/A</v>
          </cell>
          <cell r="L481">
            <v>44301</v>
          </cell>
          <cell r="M481">
            <v>0</v>
          </cell>
          <cell r="N481">
            <v>1</v>
          </cell>
          <cell r="O481">
            <v>9</v>
          </cell>
          <cell r="Q481">
            <v>5343082</v>
          </cell>
          <cell r="R481">
            <v>4924046</v>
          </cell>
          <cell r="S481">
            <v>5343083</v>
          </cell>
          <cell r="T481">
            <v>200000</v>
          </cell>
          <cell r="U481">
            <v>356917</v>
          </cell>
          <cell r="V481">
            <v>0</v>
          </cell>
          <cell r="W481">
            <v>5900000</v>
          </cell>
          <cell r="X481">
            <v>5</v>
          </cell>
          <cell r="Z481">
            <v>16</v>
          </cell>
          <cell r="AB481">
            <v>21</v>
          </cell>
          <cell r="AC481">
            <v>1404761.9047619049</v>
          </cell>
          <cell r="AD481">
            <v>4495238.0952380951</v>
          </cell>
          <cell r="AE481">
            <v>5900000</v>
          </cell>
          <cell r="AF481">
            <v>0</v>
          </cell>
          <cell r="AG481">
            <v>5900000</v>
          </cell>
          <cell r="AH481" t="b">
            <v>1</v>
          </cell>
          <cell r="AK481">
            <v>5900000</v>
          </cell>
          <cell r="AL481" t="str">
            <v>TK</v>
          </cell>
          <cell r="AM481">
            <v>5900000</v>
          </cell>
          <cell r="AN481">
            <v>60329.332700000028</v>
          </cell>
          <cell r="AQ481">
            <v>0</v>
          </cell>
          <cell r="AR481">
            <v>38000</v>
          </cell>
          <cell r="AS481">
            <v>31700</v>
          </cell>
          <cell r="AV481">
            <v>53430.83</v>
          </cell>
          <cell r="AW481">
            <v>118000</v>
          </cell>
          <cell r="AX481">
            <v>59000</v>
          </cell>
          <cell r="AY481">
            <v>360460</v>
          </cell>
          <cell r="AZ481">
            <v>5539540</v>
          </cell>
          <cell r="BA481">
            <v>60329.332700000028</v>
          </cell>
          <cell r="BB481">
            <v>300131</v>
          </cell>
          <cell r="BC481">
            <v>5599869</v>
          </cell>
        </row>
        <row r="482">
          <cell r="F482" t="str">
            <v>060818-007</v>
          </cell>
          <cell r="G482" t="str">
            <v>Kontrak 2</v>
          </cell>
          <cell r="H482" t="str">
            <v>Pelaksana</v>
          </cell>
          <cell r="I482" t="str">
            <v>PPIC</v>
          </cell>
          <cell r="J482">
            <v>43318</v>
          </cell>
          <cell r="K482" t="b">
            <v>1</v>
          </cell>
          <cell r="L482">
            <v>43318</v>
          </cell>
          <cell r="M482">
            <v>2</v>
          </cell>
          <cell r="N482">
            <v>9</v>
          </cell>
          <cell r="O482">
            <v>18</v>
          </cell>
          <cell r="Q482">
            <v>5343082</v>
          </cell>
          <cell r="R482">
            <v>4924046</v>
          </cell>
          <cell r="S482">
            <v>5343083</v>
          </cell>
          <cell r="T482">
            <v>0</v>
          </cell>
          <cell r="U482">
            <v>0</v>
          </cell>
          <cell r="V482">
            <v>0</v>
          </cell>
          <cell r="W482">
            <v>5343083</v>
          </cell>
          <cell r="X482">
            <v>5</v>
          </cell>
          <cell r="Z482">
            <v>16</v>
          </cell>
          <cell r="AB482">
            <v>21</v>
          </cell>
          <cell r="AC482">
            <v>1272162.6190476192</v>
          </cell>
          <cell r="AD482">
            <v>4070920.3809523811</v>
          </cell>
          <cell r="AE482">
            <v>5343083</v>
          </cell>
          <cell r="AF482">
            <v>0</v>
          </cell>
          <cell r="AG482">
            <v>5343083</v>
          </cell>
          <cell r="AH482" t="b">
            <v>1</v>
          </cell>
          <cell r="AK482">
            <v>5343083</v>
          </cell>
          <cell r="AL482" t="str">
            <v>K1</v>
          </cell>
          <cell r="AM482">
            <v>5343083</v>
          </cell>
          <cell r="AN482">
            <v>0</v>
          </cell>
          <cell r="AQ482">
            <v>0</v>
          </cell>
          <cell r="AR482">
            <v>38000</v>
          </cell>
          <cell r="AS482">
            <v>31700</v>
          </cell>
          <cell r="AU482">
            <v>10000</v>
          </cell>
          <cell r="AV482">
            <v>53430.83</v>
          </cell>
          <cell r="AW482">
            <v>106861.66</v>
          </cell>
          <cell r="AX482">
            <v>53430.83</v>
          </cell>
          <cell r="AY482">
            <v>293423</v>
          </cell>
          <cell r="AZ482">
            <v>5049660</v>
          </cell>
          <cell r="BA482">
            <v>0</v>
          </cell>
          <cell r="BB482">
            <v>293423</v>
          </cell>
          <cell r="BC482">
            <v>5049660</v>
          </cell>
        </row>
        <row r="483">
          <cell r="F483" t="str">
            <v>261018-001</v>
          </cell>
          <cell r="G483" t="str">
            <v>Kontrak 2</v>
          </cell>
          <cell r="H483" t="str">
            <v>Pelaksana</v>
          </cell>
          <cell r="I483" t="str">
            <v>PPIC</v>
          </cell>
          <cell r="J483">
            <v>43399</v>
          </cell>
          <cell r="K483" t="b">
            <v>1</v>
          </cell>
          <cell r="L483">
            <v>43399</v>
          </cell>
          <cell r="M483">
            <v>2</v>
          </cell>
          <cell r="N483">
            <v>6</v>
          </cell>
          <cell r="O483">
            <v>28</v>
          </cell>
          <cell r="Q483">
            <v>5343082</v>
          </cell>
          <cell r="R483">
            <v>4924046</v>
          </cell>
          <cell r="S483">
            <v>5343083</v>
          </cell>
          <cell r="T483">
            <v>0</v>
          </cell>
          <cell r="U483">
            <v>0</v>
          </cell>
          <cell r="V483">
            <v>0</v>
          </cell>
          <cell r="W483">
            <v>5343083</v>
          </cell>
          <cell r="X483">
            <v>5</v>
          </cell>
          <cell r="Z483">
            <v>16</v>
          </cell>
          <cell r="AB483">
            <v>21</v>
          </cell>
          <cell r="AC483">
            <v>1272162.6190476192</v>
          </cell>
          <cell r="AD483">
            <v>4070920.3809523811</v>
          </cell>
          <cell r="AE483">
            <v>5343083</v>
          </cell>
          <cell r="AF483">
            <v>0</v>
          </cell>
          <cell r="AG483">
            <v>5343083</v>
          </cell>
          <cell r="AH483" t="b">
            <v>1</v>
          </cell>
          <cell r="AK483">
            <v>5343083</v>
          </cell>
          <cell r="AL483" t="str">
            <v>K1</v>
          </cell>
          <cell r="AM483">
            <v>5343083</v>
          </cell>
          <cell r="AN483">
            <v>0</v>
          </cell>
          <cell r="AQ483">
            <v>0</v>
          </cell>
          <cell r="AR483">
            <v>38000</v>
          </cell>
          <cell r="AS483">
            <v>31700</v>
          </cell>
          <cell r="AU483">
            <v>10000</v>
          </cell>
          <cell r="AV483">
            <v>53430.83</v>
          </cell>
          <cell r="AW483">
            <v>106861.66</v>
          </cell>
          <cell r="AX483">
            <v>53430.83</v>
          </cell>
          <cell r="AY483">
            <v>293423</v>
          </cell>
          <cell r="AZ483">
            <v>5049660</v>
          </cell>
          <cell r="BA483">
            <v>0</v>
          </cell>
          <cell r="BB483">
            <v>293423</v>
          </cell>
          <cell r="BC483">
            <v>5049660</v>
          </cell>
        </row>
        <row r="484">
          <cell r="F484" t="str">
            <v>040219-002</v>
          </cell>
          <cell r="G484" t="str">
            <v>Kontrak 2</v>
          </cell>
          <cell r="H484" t="str">
            <v>Pelaksana</v>
          </cell>
          <cell r="I484" t="str">
            <v>PPIC</v>
          </cell>
          <cell r="J484">
            <v>43500</v>
          </cell>
          <cell r="K484" t="b">
            <v>1</v>
          </cell>
          <cell r="L484">
            <v>43500</v>
          </cell>
          <cell r="M484">
            <v>2</v>
          </cell>
          <cell r="N484">
            <v>3</v>
          </cell>
          <cell r="O484">
            <v>20</v>
          </cell>
          <cell r="Q484">
            <v>5343082</v>
          </cell>
          <cell r="R484">
            <v>4924046</v>
          </cell>
          <cell r="S484">
            <v>5343083</v>
          </cell>
          <cell r="T484">
            <v>0</v>
          </cell>
          <cell r="U484">
            <v>0</v>
          </cell>
          <cell r="V484">
            <v>0</v>
          </cell>
          <cell r="W484">
            <v>5343083</v>
          </cell>
          <cell r="X484">
            <v>5</v>
          </cell>
          <cell r="Z484">
            <v>16</v>
          </cell>
          <cell r="AB484">
            <v>21</v>
          </cell>
          <cell r="AC484">
            <v>1272162.6190476192</v>
          </cell>
          <cell r="AD484">
            <v>4070920.3809523811</v>
          </cell>
          <cell r="AE484">
            <v>5343083</v>
          </cell>
          <cell r="AF484">
            <v>0</v>
          </cell>
          <cell r="AG484">
            <v>5343083</v>
          </cell>
          <cell r="AH484" t="b">
            <v>1</v>
          </cell>
          <cell r="AK484">
            <v>5343083</v>
          </cell>
          <cell r="AL484" t="str">
            <v>K1</v>
          </cell>
          <cell r="AM484">
            <v>5343083</v>
          </cell>
          <cell r="AN484">
            <v>0</v>
          </cell>
          <cell r="AQ484">
            <v>0</v>
          </cell>
          <cell r="AR484">
            <v>38000</v>
          </cell>
          <cell r="AS484">
            <v>31700</v>
          </cell>
          <cell r="AU484">
            <v>10000</v>
          </cell>
          <cell r="AV484">
            <v>53430.83</v>
          </cell>
          <cell r="AW484">
            <v>106861.66</v>
          </cell>
          <cell r="AX484">
            <v>53430.83</v>
          </cell>
          <cell r="AY484">
            <v>293423</v>
          </cell>
          <cell r="AZ484">
            <v>5049660</v>
          </cell>
          <cell r="BA484">
            <v>0</v>
          </cell>
          <cell r="BB484">
            <v>293423</v>
          </cell>
          <cell r="BC484">
            <v>5049660</v>
          </cell>
        </row>
        <row r="485">
          <cell r="F485" t="str">
            <v>270120-002</v>
          </cell>
          <cell r="G485" t="str">
            <v>Kontrak 2</v>
          </cell>
          <cell r="H485" t="str">
            <v>Pelaksana</v>
          </cell>
          <cell r="I485" t="str">
            <v>PPIC</v>
          </cell>
          <cell r="J485">
            <v>43857</v>
          </cell>
          <cell r="K485" t="b">
            <v>1</v>
          </cell>
          <cell r="L485">
            <v>43857</v>
          </cell>
          <cell r="M485">
            <v>1</v>
          </cell>
          <cell r="N485">
            <v>3</v>
          </cell>
          <cell r="O485">
            <v>27</v>
          </cell>
          <cell r="Q485">
            <v>5343082</v>
          </cell>
          <cell r="R485">
            <v>4924046</v>
          </cell>
          <cell r="S485">
            <v>5343083</v>
          </cell>
          <cell r="T485">
            <v>0</v>
          </cell>
          <cell r="U485">
            <v>200000</v>
          </cell>
          <cell r="V485">
            <v>0</v>
          </cell>
          <cell r="W485">
            <v>5543083</v>
          </cell>
          <cell r="X485">
            <v>5</v>
          </cell>
          <cell r="Z485">
            <v>16</v>
          </cell>
          <cell r="AB485">
            <v>21</v>
          </cell>
          <cell r="AC485">
            <v>1319781.6666666665</v>
          </cell>
          <cell r="AD485">
            <v>4223301.333333333</v>
          </cell>
          <cell r="AE485">
            <v>5543083</v>
          </cell>
          <cell r="AF485">
            <v>0</v>
          </cell>
          <cell r="AG485">
            <v>5543083</v>
          </cell>
          <cell r="AH485" t="b">
            <v>1</v>
          </cell>
          <cell r="AK485">
            <v>5543083</v>
          </cell>
          <cell r="AL485" t="str">
            <v>TK</v>
          </cell>
          <cell r="AM485">
            <v>5543083</v>
          </cell>
          <cell r="AN485">
            <v>44062.634590749971</v>
          </cell>
          <cell r="AQ485">
            <v>0</v>
          </cell>
          <cell r="AR485">
            <v>38000</v>
          </cell>
          <cell r="AS485">
            <v>31700</v>
          </cell>
          <cell r="AV485">
            <v>55430.83</v>
          </cell>
          <cell r="AW485">
            <v>110861.66</v>
          </cell>
          <cell r="AX485">
            <v>55430.83</v>
          </cell>
          <cell r="AY485">
            <v>335486</v>
          </cell>
          <cell r="AZ485">
            <v>5207597</v>
          </cell>
          <cell r="BA485">
            <v>44062.634590749971</v>
          </cell>
          <cell r="BB485">
            <v>291423</v>
          </cell>
          <cell r="BC485">
            <v>5251660</v>
          </cell>
        </row>
        <row r="486">
          <cell r="F486" t="str">
            <v>181120-001</v>
          </cell>
          <cell r="G486" t="str">
            <v>Kontrak 1</v>
          </cell>
          <cell r="H486" t="str">
            <v>Admin</v>
          </cell>
          <cell r="I486" t="str">
            <v>PPIC</v>
          </cell>
          <cell r="J486">
            <v>44153</v>
          </cell>
          <cell r="K486" t="b">
            <v>1</v>
          </cell>
          <cell r="L486">
            <v>44153</v>
          </cell>
          <cell r="M486">
            <v>0</v>
          </cell>
          <cell r="N486">
            <v>6</v>
          </cell>
          <cell r="O486">
            <v>6</v>
          </cell>
          <cell r="Q486">
            <v>5343082</v>
          </cell>
          <cell r="R486">
            <v>4924046</v>
          </cell>
          <cell r="S486">
            <v>5343083</v>
          </cell>
          <cell r="T486">
            <v>0</v>
          </cell>
          <cell r="U486">
            <v>0</v>
          </cell>
          <cell r="V486">
            <v>0</v>
          </cell>
          <cell r="W486">
            <v>5343083</v>
          </cell>
          <cell r="X486">
            <v>5</v>
          </cell>
          <cell r="Z486">
            <v>16</v>
          </cell>
          <cell r="AB486">
            <v>21</v>
          </cell>
          <cell r="AC486">
            <v>1272162.6190476192</v>
          </cell>
          <cell r="AD486">
            <v>4070920.3809523811</v>
          </cell>
          <cell r="AE486">
            <v>5343083</v>
          </cell>
          <cell r="AF486">
            <v>0</v>
          </cell>
          <cell r="AG486">
            <v>5343083</v>
          </cell>
          <cell r="AH486" t="b">
            <v>1</v>
          </cell>
          <cell r="AK486">
            <v>5343083</v>
          </cell>
          <cell r="AL486" t="str">
            <v>TK</v>
          </cell>
          <cell r="AM486">
            <v>5343083</v>
          </cell>
          <cell r="AN486">
            <v>34354.584590750004</v>
          </cell>
          <cell r="AQ486">
            <v>0</v>
          </cell>
          <cell r="AS486">
            <v>31700</v>
          </cell>
          <cell r="AV486">
            <v>53430.83</v>
          </cell>
          <cell r="AW486">
            <v>106861.66</v>
          </cell>
          <cell r="AX486">
            <v>53430.83</v>
          </cell>
          <cell r="AY486">
            <v>279778</v>
          </cell>
          <cell r="AZ486">
            <v>5063305</v>
          </cell>
          <cell r="BA486">
            <v>34354.584590750004</v>
          </cell>
          <cell r="BB486">
            <v>245423</v>
          </cell>
          <cell r="BC486">
            <v>5097660</v>
          </cell>
        </row>
        <row r="487">
          <cell r="F487" t="str">
            <v>181120-002</v>
          </cell>
          <cell r="G487" t="str">
            <v>Kontrak 1</v>
          </cell>
          <cell r="H487" t="str">
            <v>Pelaksana</v>
          </cell>
          <cell r="I487" t="str">
            <v>PPIC</v>
          </cell>
          <cell r="J487">
            <v>44153</v>
          </cell>
          <cell r="K487" t="b">
            <v>1</v>
          </cell>
          <cell r="L487">
            <v>44153</v>
          </cell>
          <cell r="M487">
            <v>0</v>
          </cell>
          <cell r="N487">
            <v>6</v>
          </cell>
          <cell r="O487">
            <v>6</v>
          </cell>
          <cell r="Q487">
            <v>5343082</v>
          </cell>
          <cell r="R487">
            <v>4924046</v>
          </cell>
          <cell r="S487">
            <v>5343083</v>
          </cell>
          <cell r="T487">
            <v>0</v>
          </cell>
          <cell r="U487">
            <v>0</v>
          </cell>
          <cell r="V487">
            <v>0</v>
          </cell>
          <cell r="W487">
            <v>5343083</v>
          </cell>
          <cell r="X487">
            <v>5</v>
          </cell>
          <cell r="Z487">
            <v>16</v>
          </cell>
          <cell r="AB487">
            <v>21</v>
          </cell>
          <cell r="AC487">
            <v>1272162.6190476192</v>
          </cell>
          <cell r="AD487">
            <v>4070920.3809523811</v>
          </cell>
          <cell r="AE487">
            <v>5343083</v>
          </cell>
          <cell r="AF487">
            <v>0</v>
          </cell>
          <cell r="AG487">
            <v>5343083</v>
          </cell>
          <cell r="AH487" t="b">
            <v>1</v>
          </cell>
          <cell r="AK487">
            <v>5343083</v>
          </cell>
          <cell r="AL487" t="str">
            <v>TK</v>
          </cell>
          <cell r="AM487">
            <v>5343083</v>
          </cell>
          <cell r="AN487">
            <v>33319.515890749979</v>
          </cell>
          <cell r="AQ487">
            <v>0</v>
          </cell>
          <cell r="AS487">
            <v>31700</v>
          </cell>
          <cell r="AV487">
            <v>47983.1</v>
          </cell>
          <cell r="AW487">
            <v>106861.66</v>
          </cell>
          <cell r="AX487">
            <v>53430.83</v>
          </cell>
          <cell r="AY487">
            <v>273295</v>
          </cell>
          <cell r="AZ487">
            <v>5069788</v>
          </cell>
          <cell r="BA487">
            <v>33319.515890749979</v>
          </cell>
          <cell r="BB487">
            <v>239976</v>
          </cell>
          <cell r="BC487">
            <v>5103107</v>
          </cell>
        </row>
        <row r="488">
          <cell r="F488" t="str">
            <v>181120-003</v>
          </cell>
          <cell r="G488" t="str">
            <v>Kontrak 1</v>
          </cell>
          <cell r="H488" t="str">
            <v>Pelaksana</v>
          </cell>
          <cell r="I488" t="str">
            <v>PPIC</v>
          </cell>
          <cell r="J488">
            <v>44153</v>
          </cell>
          <cell r="K488" t="b">
            <v>1</v>
          </cell>
          <cell r="L488">
            <v>44153</v>
          </cell>
          <cell r="M488">
            <v>0</v>
          </cell>
          <cell r="N488">
            <v>6</v>
          </cell>
          <cell r="O488">
            <v>6</v>
          </cell>
          <cell r="Q488">
            <v>5343082</v>
          </cell>
          <cell r="R488">
            <v>4924046</v>
          </cell>
          <cell r="S488">
            <v>5343083</v>
          </cell>
          <cell r="T488">
            <v>0</v>
          </cell>
          <cell r="U488">
            <v>0</v>
          </cell>
          <cell r="V488">
            <v>0</v>
          </cell>
          <cell r="W488">
            <v>5343083</v>
          </cell>
          <cell r="X488">
            <v>5</v>
          </cell>
          <cell r="Z488">
            <v>16</v>
          </cell>
          <cell r="AB488">
            <v>21</v>
          </cell>
          <cell r="AC488">
            <v>1272162.6190476192</v>
          </cell>
          <cell r="AD488">
            <v>4070920.3809523811</v>
          </cell>
          <cell r="AE488">
            <v>5343083</v>
          </cell>
          <cell r="AF488">
            <v>0</v>
          </cell>
          <cell r="AG488">
            <v>5343083</v>
          </cell>
          <cell r="AH488" t="b">
            <v>1</v>
          </cell>
          <cell r="AK488">
            <v>5343083</v>
          </cell>
          <cell r="AL488" t="str">
            <v>K1</v>
          </cell>
          <cell r="AM488">
            <v>5343083</v>
          </cell>
          <cell r="AN488">
            <v>0</v>
          </cell>
          <cell r="AQ488">
            <v>0</v>
          </cell>
          <cell r="AS488">
            <v>31700</v>
          </cell>
          <cell r="AV488">
            <v>53430.83</v>
          </cell>
          <cell r="AW488">
            <v>106861.66</v>
          </cell>
          <cell r="AX488">
            <v>53430.83</v>
          </cell>
          <cell r="AY488">
            <v>245423</v>
          </cell>
          <cell r="AZ488">
            <v>5097660</v>
          </cell>
          <cell r="BA488">
            <v>0</v>
          </cell>
          <cell r="BB488">
            <v>245423</v>
          </cell>
          <cell r="BC488">
            <v>5097660</v>
          </cell>
        </row>
        <row r="489">
          <cell r="F489" t="str">
            <v>090919-001</v>
          </cell>
          <cell r="G489" t="str">
            <v>Recall Kontrak 2</v>
          </cell>
          <cell r="H489" t="str">
            <v>Staff</v>
          </cell>
          <cell r="I489" t="str">
            <v>PPIC</v>
          </cell>
          <cell r="J489" t="str">
            <v>09 September 2019</v>
          </cell>
          <cell r="K489" t="b">
            <v>0</v>
          </cell>
          <cell r="L489">
            <v>43717</v>
          </cell>
          <cell r="M489">
            <v>1</v>
          </cell>
          <cell r="N489">
            <v>8</v>
          </cell>
          <cell r="O489">
            <v>15</v>
          </cell>
          <cell r="Q489">
            <v>5343082</v>
          </cell>
          <cell r="R489">
            <v>4924046</v>
          </cell>
          <cell r="S489">
            <v>5343083</v>
          </cell>
          <cell r="T489">
            <v>0</v>
          </cell>
          <cell r="U489">
            <v>0</v>
          </cell>
          <cell r="V489">
            <v>0</v>
          </cell>
          <cell r="W489">
            <v>5343083</v>
          </cell>
          <cell r="X489">
            <v>5</v>
          </cell>
          <cell r="Z489">
            <v>16</v>
          </cell>
          <cell r="AB489">
            <v>21</v>
          </cell>
          <cell r="AC489">
            <v>1272162.6190476192</v>
          </cell>
          <cell r="AD489">
            <v>4070920.3809523811</v>
          </cell>
          <cell r="AE489">
            <v>5343083</v>
          </cell>
          <cell r="AF489">
            <v>0</v>
          </cell>
          <cell r="AG489">
            <v>5343083</v>
          </cell>
          <cell r="AH489" t="b">
            <v>1</v>
          </cell>
          <cell r="AK489">
            <v>5343083</v>
          </cell>
          <cell r="AL489" t="str">
            <v>K1</v>
          </cell>
          <cell r="AM489">
            <v>5343083</v>
          </cell>
          <cell r="AN489">
            <v>0</v>
          </cell>
          <cell r="AQ489">
            <v>0</v>
          </cell>
          <cell r="AS489">
            <v>31700</v>
          </cell>
          <cell r="AU489">
            <v>10000</v>
          </cell>
          <cell r="AV489">
            <v>53430.83</v>
          </cell>
          <cell r="AW489">
            <v>106861.66</v>
          </cell>
          <cell r="AX489">
            <v>53430.83</v>
          </cell>
          <cell r="AY489">
            <v>255423</v>
          </cell>
          <cell r="AZ489">
            <v>5087660</v>
          </cell>
          <cell r="BA489">
            <v>0</v>
          </cell>
          <cell r="BB489">
            <v>255423</v>
          </cell>
          <cell r="BC489">
            <v>5087660</v>
          </cell>
        </row>
        <row r="490">
          <cell r="F490" t="str">
            <v>040814-396</v>
          </cell>
          <cell r="G490" t="str">
            <v>Tetap</v>
          </cell>
          <cell r="H490" t="str">
            <v>Pelaksana</v>
          </cell>
          <cell r="I490" t="str">
            <v>PPIC</v>
          </cell>
          <cell r="J490">
            <v>41855</v>
          </cell>
          <cell r="K490" t="b">
            <v>1</v>
          </cell>
          <cell r="L490">
            <v>41855</v>
          </cell>
          <cell r="M490">
            <v>6</v>
          </cell>
          <cell r="N490">
            <v>9</v>
          </cell>
          <cell r="O490">
            <v>20</v>
          </cell>
          <cell r="Q490">
            <v>5343082</v>
          </cell>
          <cell r="R490">
            <v>4924046</v>
          </cell>
          <cell r="S490">
            <v>5343083</v>
          </cell>
          <cell r="T490">
            <v>0</v>
          </cell>
          <cell r="U490">
            <v>0</v>
          </cell>
          <cell r="V490">
            <v>0</v>
          </cell>
          <cell r="W490">
            <v>5343083</v>
          </cell>
          <cell r="X490">
            <v>5</v>
          </cell>
          <cell r="Z490">
            <v>16</v>
          </cell>
          <cell r="AB490">
            <v>21</v>
          </cell>
          <cell r="AC490">
            <v>1272162.6190476192</v>
          </cell>
          <cell r="AD490">
            <v>4070920.3809523811</v>
          </cell>
          <cell r="AE490">
            <v>5343083</v>
          </cell>
          <cell r="AF490">
            <v>0</v>
          </cell>
          <cell r="AG490">
            <v>5343083</v>
          </cell>
          <cell r="AH490" t="b">
            <v>1</v>
          </cell>
          <cell r="AK490">
            <v>5343083</v>
          </cell>
          <cell r="AL490" t="str">
            <v>K2</v>
          </cell>
          <cell r="AM490">
            <v>5343083</v>
          </cell>
          <cell r="AN490">
            <v>0</v>
          </cell>
          <cell r="AQ490">
            <v>0</v>
          </cell>
          <cell r="AR490">
            <v>38000</v>
          </cell>
          <cell r="AS490">
            <v>31700</v>
          </cell>
          <cell r="AU490">
            <v>10000</v>
          </cell>
          <cell r="AV490">
            <v>53430.83</v>
          </cell>
          <cell r="AW490">
            <v>106861.66</v>
          </cell>
          <cell r="AX490">
            <v>53430.83</v>
          </cell>
          <cell r="AY490">
            <v>293423</v>
          </cell>
          <cell r="AZ490">
            <v>5049660</v>
          </cell>
          <cell r="BA490">
            <v>0</v>
          </cell>
          <cell r="BB490">
            <v>293423</v>
          </cell>
          <cell r="BC490">
            <v>5049660</v>
          </cell>
        </row>
        <row r="491">
          <cell r="F491" t="str">
            <v>210521-002</v>
          </cell>
          <cell r="G491" t="str">
            <v>Kontrak 1</v>
          </cell>
          <cell r="H491" t="str">
            <v>Staff</v>
          </cell>
          <cell r="I491" t="str">
            <v>PPIC</v>
          </cell>
          <cell r="J491">
            <v>44337</v>
          </cell>
          <cell r="K491" t="b">
            <v>1</v>
          </cell>
          <cell r="L491">
            <v>44337</v>
          </cell>
          <cell r="M491">
            <v>0</v>
          </cell>
          <cell r="N491">
            <v>0</v>
          </cell>
          <cell r="O491">
            <v>3</v>
          </cell>
          <cell r="S491">
            <v>4798312</v>
          </cell>
          <cell r="T491">
            <v>0</v>
          </cell>
          <cell r="U491">
            <v>722521</v>
          </cell>
          <cell r="V491">
            <v>0</v>
          </cell>
          <cell r="W491">
            <v>5520833</v>
          </cell>
          <cell r="X491">
            <v>5</v>
          </cell>
          <cell r="Z491">
            <v>16</v>
          </cell>
          <cell r="AB491">
            <v>21</v>
          </cell>
          <cell r="AC491">
            <v>1314484.0476190476</v>
          </cell>
          <cell r="AD491">
            <v>4206348.9523809524</v>
          </cell>
          <cell r="AE491">
            <v>5520833</v>
          </cell>
          <cell r="AF491">
            <v>0</v>
          </cell>
          <cell r="AG491">
            <v>5520833</v>
          </cell>
          <cell r="AH491" t="b">
            <v>1</v>
          </cell>
          <cell r="AK491">
            <v>5520833</v>
          </cell>
          <cell r="AL491" t="str">
            <v>TK</v>
          </cell>
          <cell r="AM491">
            <v>525794</v>
          </cell>
          <cell r="AN491">
            <v>0</v>
          </cell>
          <cell r="AP491">
            <v>19</v>
          </cell>
          <cell r="AQ491">
            <v>4995039</v>
          </cell>
          <cell r="AV491">
            <v>0</v>
          </cell>
          <cell r="AW491">
            <v>110416.66</v>
          </cell>
          <cell r="AX491">
            <v>55208.33</v>
          </cell>
          <cell r="AY491">
            <v>5160664</v>
          </cell>
          <cell r="AZ491">
            <v>360169</v>
          </cell>
          <cell r="BA491">
            <v>0</v>
          </cell>
          <cell r="BB491">
            <v>5160664</v>
          </cell>
          <cell r="BC491">
            <v>360169</v>
          </cell>
        </row>
        <row r="492">
          <cell r="F492" t="str">
            <v>210521-003</v>
          </cell>
          <cell r="G492" t="str">
            <v>Kontrak 1</v>
          </cell>
          <cell r="H492" t="str">
            <v>Staff</v>
          </cell>
          <cell r="I492" t="str">
            <v>PPIC</v>
          </cell>
          <cell r="J492">
            <v>44337</v>
          </cell>
          <cell r="K492" t="b">
            <v>1</v>
          </cell>
          <cell r="L492">
            <v>44337</v>
          </cell>
          <cell r="M492">
            <v>0</v>
          </cell>
          <cell r="N492">
            <v>0</v>
          </cell>
          <cell r="O492">
            <v>3</v>
          </cell>
          <cell r="S492">
            <v>4798312</v>
          </cell>
          <cell r="T492">
            <v>0</v>
          </cell>
          <cell r="U492">
            <v>0</v>
          </cell>
          <cell r="V492">
            <v>0</v>
          </cell>
          <cell r="W492">
            <v>4798312</v>
          </cell>
          <cell r="X492">
            <v>5</v>
          </cell>
          <cell r="Z492">
            <v>16</v>
          </cell>
          <cell r="AB492">
            <v>21</v>
          </cell>
          <cell r="AC492">
            <v>1142455.2380952381</v>
          </cell>
          <cell r="AD492">
            <v>3655856.7619047621</v>
          </cell>
          <cell r="AE492">
            <v>4798312</v>
          </cell>
          <cell r="AF492">
            <v>0</v>
          </cell>
          <cell r="AG492">
            <v>4798312</v>
          </cell>
          <cell r="AH492" t="b">
            <v>1</v>
          </cell>
          <cell r="AK492">
            <v>4798312</v>
          </cell>
          <cell r="AL492" t="str">
            <v>K0</v>
          </cell>
          <cell r="AM492">
            <v>456982</v>
          </cell>
          <cell r="AN492">
            <v>0</v>
          </cell>
          <cell r="AP492">
            <v>19</v>
          </cell>
          <cell r="AQ492">
            <v>4341330</v>
          </cell>
          <cell r="AV492">
            <v>0</v>
          </cell>
          <cell r="AW492">
            <v>95966.24</v>
          </cell>
          <cell r="AX492">
            <v>47983.12</v>
          </cell>
          <cell r="AY492">
            <v>4485279</v>
          </cell>
          <cell r="AZ492">
            <v>313033</v>
          </cell>
          <cell r="BA492">
            <v>0</v>
          </cell>
          <cell r="BB492">
            <v>4485279</v>
          </cell>
          <cell r="BC492">
            <v>313033</v>
          </cell>
        </row>
        <row r="493">
          <cell r="F493" t="str">
            <v>210521-004</v>
          </cell>
          <cell r="G493" t="str">
            <v>Kontrak 1</v>
          </cell>
          <cell r="H493" t="str">
            <v>Staff</v>
          </cell>
          <cell r="I493" t="str">
            <v>PPIC</v>
          </cell>
          <cell r="J493">
            <v>44337</v>
          </cell>
          <cell r="K493" t="b">
            <v>1</v>
          </cell>
          <cell r="L493">
            <v>44337</v>
          </cell>
          <cell r="M493">
            <v>0</v>
          </cell>
          <cell r="N493">
            <v>0</v>
          </cell>
          <cell r="O493">
            <v>3</v>
          </cell>
          <cell r="S493">
            <v>4798312</v>
          </cell>
          <cell r="T493">
            <v>0</v>
          </cell>
          <cell r="U493">
            <v>0</v>
          </cell>
          <cell r="V493">
            <v>0</v>
          </cell>
          <cell r="W493">
            <v>4798312</v>
          </cell>
          <cell r="X493">
            <v>5</v>
          </cell>
          <cell r="Z493">
            <v>16</v>
          </cell>
          <cell r="AB493">
            <v>21</v>
          </cell>
          <cell r="AC493">
            <v>1142455.2380952381</v>
          </cell>
          <cell r="AD493">
            <v>3655856.7619047621</v>
          </cell>
          <cell r="AE493">
            <v>4798312</v>
          </cell>
          <cell r="AF493">
            <v>0</v>
          </cell>
          <cell r="AG493">
            <v>4798312</v>
          </cell>
          <cell r="AH493" t="b">
            <v>1</v>
          </cell>
          <cell r="AK493">
            <v>4798312</v>
          </cell>
          <cell r="AL493" t="str">
            <v>TK</v>
          </cell>
          <cell r="AM493">
            <v>456982</v>
          </cell>
          <cell r="AN493">
            <v>0</v>
          </cell>
          <cell r="AP493">
            <v>19</v>
          </cell>
          <cell r="AQ493">
            <v>4341330</v>
          </cell>
          <cell r="AR493">
            <v>38000</v>
          </cell>
          <cell r="AV493">
            <v>0</v>
          </cell>
          <cell r="AW493">
            <v>95966.24</v>
          </cell>
          <cell r="AX493">
            <v>47983.12</v>
          </cell>
          <cell r="AY493">
            <v>4523279</v>
          </cell>
          <cell r="AZ493">
            <v>275033</v>
          </cell>
          <cell r="BA493">
            <v>0</v>
          </cell>
          <cell r="BB493">
            <v>4523279</v>
          </cell>
          <cell r="BC493">
            <v>275033</v>
          </cell>
        </row>
        <row r="494">
          <cell r="F494" t="str">
            <v>210521-005</v>
          </cell>
          <cell r="G494" t="str">
            <v>Kontrak 1</v>
          </cell>
          <cell r="H494" t="str">
            <v>Staff</v>
          </cell>
          <cell r="I494" t="str">
            <v>PPIC</v>
          </cell>
          <cell r="J494">
            <v>44337</v>
          </cell>
          <cell r="K494" t="b">
            <v>1</v>
          </cell>
          <cell r="L494">
            <v>44337</v>
          </cell>
          <cell r="M494">
            <v>0</v>
          </cell>
          <cell r="N494">
            <v>0</v>
          </cell>
          <cell r="O494">
            <v>3</v>
          </cell>
          <cell r="S494">
            <v>4798312</v>
          </cell>
          <cell r="T494">
            <v>0</v>
          </cell>
          <cell r="U494">
            <v>0</v>
          </cell>
          <cell r="V494">
            <v>0</v>
          </cell>
          <cell r="W494">
            <v>4798312</v>
          </cell>
          <cell r="X494">
            <v>5</v>
          </cell>
          <cell r="Z494">
            <v>16</v>
          </cell>
          <cell r="AB494">
            <v>21</v>
          </cell>
          <cell r="AC494">
            <v>1142455.2380952381</v>
          </cell>
          <cell r="AD494">
            <v>3655856.7619047621</v>
          </cell>
          <cell r="AE494">
            <v>4798312</v>
          </cell>
          <cell r="AF494">
            <v>0</v>
          </cell>
          <cell r="AG494">
            <v>4798312</v>
          </cell>
          <cell r="AH494" t="b">
            <v>1</v>
          </cell>
          <cell r="AK494">
            <v>4798312</v>
          </cell>
          <cell r="AL494" t="str">
            <v>TK</v>
          </cell>
          <cell r="AM494">
            <v>456982</v>
          </cell>
          <cell r="AN494">
            <v>0</v>
          </cell>
          <cell r="AP494">
            <v>19</v>
          </cell>
          <cell r="AQ494">
            <v>4341330</v>
          </cell>
          <cell r="AR494">
            <v>38000</v>
          </cell>
          <cell r="AV494">
            <v>0</v>
          </cell>
          <cell r="AW494">
            <v>95966.24</v>
          </cell>
          <cell r="AX494">
            <v>47983.12</v>
          </cell>
          <cell r="AY494">
            <v>4523279</v>
          </cell>
          <cell r="AZ494">
            <v>275033</v>
          </cell>
          <cell r="BA494">
            <v>0</v>
          </cell>
          <cell r="BB494">
            <v>4523279</v>
          </cell>
          <cell r="BC494">
            <v>275033</v>
          </cell>
        </row>
        <row r="495">
          <cell r="Q495">
            <v>188657396</v>
          </cell>
          <cell r="R495">
            <v>175615914</v>
          </cell>
          <cell r="S495">
            <v>207799309</v>
          </cell>
          <cell r="T495">
            <v>8085300</v>
          </cell>
          <cell r="U495">
            <v>2193272</v>
          </cell>
          <cell r="V495">
            <v>1369608</v>
          </cell>
          <cell r="W495">
            <v>219447489</v>
          </cell>
          <cell r="X495">
            <v>195</v>
          </cell>
          <cell r="Y495">
            <v>0</v>
          </cell>
          <cell r="Z495">
            <v>624</v>
          </cell>
          <cell r="AA495">
            <v>0</v>
          </cell>
          <cell r="AB495">
            <v>819</v>
          </cell>
          <cell r="AC495">
            <v>52249402.142857142</v>
          </cell>
          <cell r="AD495">
            <v>167198086.85714301</v>
          </cell>
          <cell r="AE495">
            <v>219447489</v>
          </cell>
          <cell r="AF495">
            <v>0</v>
          </cell>
          <cell r="AG495">
            <v>219447489</v>
          </cell>
          <cell r="AH495">
            <v>0</v>
          </cell>
          <cell r="AJ495">
            <v>0</v>
          </cell>
          <cell r="AK495">
            <v>219447489</v>
          </cell>
          <cell r="AL495">
            <v>0</v>
          </cell>
          <cell r="AM495">
            <v>199186162</v>
          </cell>
          <cell r="AN495">
            <v>851170.53144375049</v>
          </cell>
          <cell r="AO495">
            <v>0</v>
          </cell>
          <cell r="AP495">
            <v>83</v>
          </cell>
          <cell r="AQ495">
            <v>20261327</v>
          </cell>
          <cell r="AR495">
            <v>1102000</v>
          </cell>
          <cell r="AS495">
            <v>1109500</v>
          </cell>
          <cell r="AT495">
            <v>2591500</v>
          </cell>
          <cell r="AU495">
            <v>150000</v>
          </cell>
          <cell r="AV495">
            <v>2023592.7900000012</v>
          </cell>
          <cell r="AW495">
            <v>4388949.7800000021</v>
          </cell>
          <cell r="AX495">
            <v>2194474.8900000011</v>
          </cell>
          <cell r="AY495">
            <v>34672509</v>
          </cell>
          <cell r="AZ495">
            <v>184774980</v>
          </cell>
          <cell r="BA495">
            <v>851170.53144375049</v>
          </cell>
          <cell r="BB495">
            <v>33821335</v>
          </cell>
          <cell r="BC495">
            <v>185626154</v>
          </cell>
        </row>
        <row r="499">
          <cell r="F499" t="str">
            <v>NIK</v>
          </cell>
          <cell r="G499" t="str">
            <v>STATUS</v>
          </cell>
          <cell r="H499" t="str">
            <v>LEVEL</v>
          </cell>
          <cell r="I499" t="str">
            <v>BAGIAN</v>
          </cell>
          <cell r="J499" t="str">
            <v>DB</v>
          </cell>
          <cell r="L499" t="str">
            <v>JOIN</v>
          </cell>
          <cell r="M499" t="str">
            <v>MK</v>
          </cell>
          <cell r="Q499" t="str">
            <v>FIXED SALARY (KESEPAKATAN 2020)</v>
          </cell>
          <cell r="R499" t="str">
            <v>FIXED SALARY (NOVEMBER 2020)</v>
          </cell>
          <cell r="S499" t="str">
            <v>FIXED SALARY (UMSK 2020)</v>
          </cell>
          <cell r="T499" t="str">
            <v>JOB STRUCTURE ALLOWANCE</v>
          </cell>
          <cell r="U499" t="str">
            <v>SKILL ALLOWANCE</v>
          </cell>
          <cell r="V499" t="str">
            <v>PERFORMANCE ALLOWANCE 2020</v>
          </cell>
          <cell r="W499" t="str">
            <v>TOTAL</v>
          </cell>
          <cell r="X499" t="str">
            <v>WORKDAYS</v>
          </cell>
          <cell r="AB499" t="str">
            <v>CEK</v>
          </cell>
          <cell r="AC499" t="str">
            <v xml:space="preserve">SALARY </v>
          </cell>
          <cell r="AD499" t="str">
            <v>SALARY</v>
          </cell>
          <cell r="AE499" t="str">
            <v>TOTAL SALARY (COVID-19)</v>
          </cell>
          <cell r="AF499" t="str">
            <v>POT OFF</v>
          </cell>
          <cell r="AG499" t="str">
            <v>CEK</v>
          </cell>
          <cell r="AH499" t="str">
            <v>CEK</v>
          </cell>
          <cell r="AJ499" t="str">
            <v>BACK PAY ( RAPEL) / INCENTIVE</v>
          </cell>
          <cell r="AK499" t="str">
            <v>TOTAL</v>
          </cell>
          <cell r="AL499" t="str">
            <v>PERHITUNGAN PPh</v>
          </cell>
          <cell r="AN499" t="str">
            <v>TAX</v>
          </cell>
          <cell r="AO499" t="str">
            <v>RETURND</v>
          </cell>
          <cell r="AP499" t="str">
            <v>ABSEN</v>
          </cell>
          <cell r="AR499" t="str">
            <v>DEDUCTION</v>
          </cell>
          <cell r="AV499" t="str">
            <v>BPJS</v>
          </cell>
          <cell r="AW499" t="str">
            <v>BPJS KETENAGAKERJAAN</v>
          </cell>
          <cell r="AY499" t="str">
            <v>TOTAL</v>
          </cell>
          <cell r="AZ499" t="str">
            <v>TOTAL</v>
          </cell>
          <cell r="BA499" t="str">
            <v>INSENTIF</v>
          </cell>
          <cell r="BB499" t="str">
            <v>WITH INSENTIF PPh21</v>
          </cell>
        </row>
        <row r="500">
          <cell r="F500" t="str">
            <v>SAI</v>
          </cell>
          <cell r="G500" t="str">
            <v>KONTRAK</v>
          </cell>
          <cell r="J500" t="str">
            <v>DATEJOIN</v>
          </cell>
          <cell r="K500" t="str">
            <v>CHECK</v>
          </cell>
          <cell r="L500" t="str">
            <v>DATE</v>
          </cell>
          <cell r="M500" t="str">
            <v>YEAR</v>
          </cell>
          <cell r="N500" t="str">
            <v>MONTH</v>
          </cell>
          <cell r="O500" t="str">
            <v>DAY</v>
          </cell>
          <cell r="W500" t="str">
            <v>SALARY</v>
          </cell>
          <cell r="X500" t="str">
            <v>ON</v>
          </cell>
          <cell r="Y500" t="str">
            <v>OFF</v>
          </cell>
          <cell r="Z500" t="str">
            <v>ON</v>
          </cell>
          <cell r="AA500" t="str">
            <v>OFF</v>
          </cell>
          <cell r="AB500" t="str">
            <v>WORKINGDAYS</v>
          </cell>
          <cell r="AC500" t="str">
            <v>PERIODE 25-31 FEB</v>
          </cell>
          <cell r="AD500" t="str">
            <v xml:space="preserve"> PERIODE 1-24 MAR</v>
          </cell>
          <cell r="AK500" t="str">
            <v xml:space="preserve">RECIEVED       </v>
          </cell>
          <cell r="AL500" t="str">
            <v>STATUS</v>
          </cell>
          <cell r="AM500" t="str">
            <v xml:space="preserve">TOTAL    GROSS </v>
          </cell>
          <cell r="AN500">
            <v>21</v>
          </cell>
          <cell r="AO500" t="str">
            <v>TAX JAN 2021</v>
          </cell>
          <cell r="AP500" t="str">
            <v>DAY</v>
          </cell>
          <cell r="AQ500" t="str">
            <v>( Rp )</v>
          </cell>
          <cell r="AR500" t="str">
            <v>UNION</v>
          </cell>
          <cell r="AS500" t="str">
            <v>RAPID TEST</v>
          </cell>
          <cell r="AT500" t="str">
            <v>OTHERS</v>
          </cell>
          <cell r="AU500" t="str">
            <v>KOPERASI</v>
          </cell>
          <cell r="AV500" t="str">
            <v>KESEHATAN</v>
          </cell>
          <cell r="AW500" t="str">
            <v>JHT</v>
          </cell>
          <cell r="AX500" t="str">
            <v>PENSIUN</v>
          </cell>
          <cell r="AY500" t="str">
            <v>DEDUCTION</v>
          </cell>
          <cell r="AZ500" t="str">
            <v>PAID</v>
          </cell>
          <cell r="BA500" t="str">
            <v>PPh21</v>
          </cell>
          <cell r="BB500" t="str">
            <v>TOTAL DEDUCTION</v>
          </cell>
          <cell r="BC500" t="str">
            <v>TOTAL PAID</v>
          </cell>
        </row>
        <row r="501">
          <cell r="F501" t="str">
            <v>051015-001</v>
          </cell>
          <cell r="G501" t="str">
            <v>Tetap</v>
          </cell>
          <cell r="H501" t="str">
            <v>Leader</v>
          </cell>
          <cell r="I501" t="str">
            <v>FG &amp; ID PC</v>
          </cell>
          <cell r="J501">
            <v>42282</v>
          </cell>
          <cell r="K501" t="b">
            <v>1</v>
          </cell>
          <cell r="L501">
            <v>42282</v>
          </cell>
          <cell r="M501">
            <v>5</v>
          </cell>
          <cell r="N501">
            <v>7</v>
          </cell>
          <cell r="O501">
            <v>19</v>
          </cell>
          <cell r="Q501">
            <v>5343082</v>
          </cell>
          <cell r="R501">
            <v>4924046</v>
          </cell>
          <cell r="S501">
            <v>5343083</v>
          </cell>
          <cell r="T501">
            <v>500000</v>
          </cell>
          <cell r="U501">
            <v>0</v>
          </cell>
          <cell r="V501">
            <v>0</v>
          </cell>
          <cell r="W501">
            <v>5843083</v>
          </cell>
          <cell r="X501">
            <v>5</v>
          </cell>
          <cell r="Z501">
            <v>16</v>
          </cell>
          <cell r="AB501">
            <v>21</v>
          </cell>
          <cell r="AC501">
            <v>1391210.2380952381</v>
          </cell>
          <cell r="AD501">
            <v>4451872.7619047621</v>
          </cell>
          <cell r="AE501">
            <v>5843083</v>
          </cell>
          <cell r="AF501">
            <v>0</v>
          </cell>
          <cell r="AG501">
            <v>5843083</v>
          </cell>
          <cell r="AH501" t="b">
            <v>1</v>
          </cell>
          <cell r="AK501">
            <v>5843083</v>
          </cell>
          <cell r="AL501" t="str">
            <v>K3</v>
          </cell>
          <cell r="AM501">
            <v>5843083</v>
          </cell>
          <cell r="AN501">
            <v>0</v>
          </cell>
          <cell r="AQ501">
            <v>0</v>
          </cell>
          <cell r="AR501">
            <v>38000</v>
          </cell>
          <cell r="AS501">
            <v>31700</v>
          </cell>
          <cell r="AU501">
            <v>10000</v>
          </cell>
          <cell r="AV501">
            <v>58430.83</v>
          </cell>
          <cell r="AW501">
            <v>116861.66</v>
          </cell>
          <cell r="AX501">
            <v>58430.83</v>
          </cell>
          <cell r="AY501">
            <v>313423</v>
          </cell>
          <cell r="AZ501">
            <v>5529660</v>
          </cell>
          <cell r="BA501">
            <v>0</v>
          </cell>
          <cell r="BB501">
            <v>313423</v>
          </cell>
          <cell r="BC501">
            <v>5529660</v>
          </cell>
        </row>
        <row r="502">
          <cell r="F502" t="str">
            <v>040915-002</v>
          </cell>
          <cell r="G502" t="str">
            <v>Tetap</v>
          </cell>
          <cell r="H502" t="str">
            <v>Leader</v>
          </cell>
          <cell r="I502" t="str">
            <v>FG &amp; ID PC</v>
          </cell>
          <cell r="J502">
            <v>42251</v>
          </cell>
          <cell r="K502" t="b">
            <v>1</v>
          </cell>
          <cell r="L502">
            <v>42251</v>
          </cell>
          <cell r="M502">
            <v>5</v>
          </cell>
          <cell r="N502">
            <v>8</v>
          </cell>
          <cell r="O502">
            <v>20</v>
          </cell>
          <cell r="Q502">
            <v>5343082</v>
          </cell>
          <cell r="R502">
            <v>4924046</v>
          </cell>
          <cell r="S502">
            <v>5343083</v>
          </cell>
          <cell r="T502">
            <v>500000</v>
          </cell>
          <cell r="U502">
            <v>0</v>
          </cell>
          <cell r="V502">
            <v>0</v>
          </cell>
          <cell r="W502">
            <v>5843083</v>
          </cell>
          <cell r="X502">
            <v>5</v>
          </cell>
          <cell r="Z502">
            <v>16</v>
          </cell>
          <cell r="AB502">
            <v>21</v>
          </cell>
          <cell r="AC502">
            <v>1391210.2380952381</v>
          </cell>
          <cell r="AD502">
            <v>4451872.7619047621</v>
          </cell>
          <cell r="AE502">
            <v>5843083</v>
          </cell>
          <cell r="AF502">
            <v>0</v>
          </cell>
          <cell r="AG502">
            <v>5843083</v>
          </cell>
          <cell r="AH502" t="b">
            <v>1</v>
          </cell>
          <cell r="AK502">
            <v>5843083</v>
          </cell>
          <cell r="AL502" t="str">
            <v>K3</v>
          </cell>
          <cell r="AM502">
            <v>5843083</v>
          </cell>
          <cell r="AN502">
            <v>0</v>
          </cell>
          <cell r="AQ502">
            <v>0</v>
          </cell>
          <cell r="AR502">
            <v>38000</v>
          </cell>
          <cell r="AS502">
            <v>31700</v>
          </cell>
          <cell r="AV502">
            <v>58430.83</v>
          </cell>
          <cell r="AW502">
            <v>116861.66</v>
          </cell>
          <cell r="AX502">
            <v>58430.83</v>
          </cell>
          <cell r="AY502">
            <v>303423</v>
          </cell>
          <cell r="AZ502">
            <v>5539660</v>
          </cell>
          <cell r="BA502">
            <v>0</v>
          </cell>
          <cell r="BB502">
            <v>303423</v>
          </cell>
          <cell r="BC502">
            <v>5539660</v>
          </cell>
        </row>
        <row r="503">
          <cell r="F503" t="str">
            <v>070817-044</v>
          </cell>
          <cell r="G503" t="str">
            <v>Tetap</v>
          </cell>
          <cell r="H503" t="str">
            <v>Staff</v>
          </cell>
          <cell r="I503" t="str">
            <v>FG &amp; ID PC</v>
          </cell>
          <cell r="J503">
            <v>42954</v>
          </cell>
          <cell r="K503" t="b">
            <v>1</v>
          </cell>
          <cell r="L503">
            <v>42954</v>
          </cell>
          <cell r="M503">
            <v>3</v>
          </cell>
          <cell r="N503">
            <v>9</v>
          </cell>
          <cell r="O503">
            <v>17</v>
          </cell>
          <cell r="Q503">
            <v>5343082</v>
          </cell>
          <cell r="R503">
            <v>4924046</v>
          </cell>
          <cell r="S503">
            <v>5343083</v>
          </cell>
          <cell r="T503">
            <v>0</v>
          </cell>
          <cell r="U503">
            <v>0</v>
          </cell>
          <cell r="V503">
            <v>0</v>
          </cell>
          <cell r="W503">
            <v>5343083</v>
          </cell>
          <cell r="X503">
            <v>5</v>
          </cell>
          <cell r="Z503">
            <v>16</v>
          </cell>
          <cell r="AB503">
            <v>21</v>
          </cell>
          <cell r="AC503">
            <v>1272162.6190476192</v>
          </cell>
          <cell r="AD503">
            <v>4070920.3809523811</v>
          </cell>
          <cell r="AE503">
            <v>5343083</v>
          </cell>
          <cell r="AF503">
            <v>0</v>
          </cell>
          <cell r="AG503">
            <v>5343083</v>
          </cell>
          <cell r="AH503" t="b">
            <v>1</v>
          </cell>
          <cell r="AK503">
            <v>5343083</v>
          </cell>
          <cell r="AL503" t="str">
            <v>TK</v>
          </cell>
          <cell r="AM503">
            <v>5343083</v>
          </cell>
          <cell r="AN503">
            <v>34354.584590750004</v>
          </cell>
          <cell r="AQ503">
            <v>0</v>
          </cell>
          <cell r="AR503">
            <v>38000</v>
          </cell>
          <cell r="AS503">
            <v>31700</v>
          </cell>
          <cell r="AU503">
            <v>10000</v>
          </cell>
          <cell r="AV503">
            <v>53430.83</v>
          </cell>
          <cell r="AW503">
            <v>106861.66</v>
          </cell>
          <cell r="AX503">
            <v>53430.83</v>
          </cell>
          <cell r="AY503">
            <v>327778</v>
          </cell>
          <cell r="AZ503">
            <v>5015305</v>
          </cell>
          <cell r="BA503">
            <v>34354.584590750004</v>
          </cell>
          <cell r="BB503">
            <v>293423</v>
          </cell>
          <cell r="BC503">
            <v>5049660</v>
          </cell>
        </row>
        <row r="504">
          <cell r="F504" t="str">
            <v>230121-002</v>
          </cell>
          <cell r="G504" t="str">
            <v>Pembaharuan</v>
          </cell>
          <cell r="H504" t="str">
            <v>Pelaksana</v>
          </cell>
          <cell r="I504" t="str">
            <v>FG &amp; ID PC</v>
          </cell>
          <cell r="J504" t="str">
            <v>23 Januari 2021</v>
          </cell>
          <cell r="K504" t="b">
            <v>0</v>
          </cell>
          <cell r="L504">
            <v>44219</v>
          </cell>
          <cell r="M504">
            <v>0</v>
          </cell>
          <cell r="N504">
            <v>4</v>
          </cell>
          <cell r="O504">
            <v>1</v>
          </cell>
          <cell r="Q504">
            <v>5343082</v>
          </cell>
          <cell r="R504">
            <v>4924046</v>
          </cell>
          <cell r="S504">
            <v>5343083</v>
          </cell>
          <cell r="T504">
            <v>0</v>
          </cell>
          <cell r="U504">
            <v>0</v>
          </cell>
          <cell r="V504">
            <v>0</v>
          </cell>
          <cell r="W504">
            <v>5343083</v>
          </cell>
          <cell r="X504">
            <v>5</v>
          </cell>
          <cell r="Z504">
            <v>16</v>
          </cell>
          <cell r="AB504">
            <v>21</v>
          </cell>
          <cell r="AC504">
            <v>1272162.6190476192</v>
          </cell>
          <cell r="AD504">
            <v>4070920.3809523811</v>
          </cell>
          <cell r="AE504">
            <v>5343083</v>
          </cell>
          <cell r="AF504">
            <v>0</v>
          </cell>
          <cell r="AG504">
            <v>5343083</v>
          </cell>
          <cell r="AH504" t="b">
            <v>1</v>
          </cell>
          <cell r="AK504">
            <v>5343083</v>
          </cell>
          <cell r="AL504" t="str">
            <v>TK</v>
          </cell>
          <cell r="AM504">
            <v>5343083</v>
          </cell>
          <cell r="AN504">
            <v>34354.584590750004</v>
          </cell>
          <cell r="AQ504">
            <v>0</v>
          </cell>
          <cell r="AR504">
            <v>38000</v>
          </cell>
          <cell r="AV504">
            <v>53430.83</v>
          </cell>
          <cell r="AW504">
            <v>106861.66</v>
          </cell>
          <cell r="AX504">
            <v>53430.83</v>
          </cell>
          <cell r="AY504">
            <v>286078</v>
          </cell>
          <cell r="AZ504">
            <v>5057005</v>
          </cell>
          <cell r="BA504">
            <v>34354.584590750004</v>
          </cell>
          <cell r="BB504">
            <v>251723</v>
          </cell>
          <cell r="BC504">
            <v>5091360</v>
          </cell>
        </row>
        <row r="505">
          <cell r="F505" t="str">
            <v>020121-001</v>
          </cell>
          <cell r="G505" t="str">
            <v>Recall Kontrak 1</v>
          </cell>
          <cell r="H505" t="str">
            <v>Pelaksana</v>
          </cell>
          <cell r="I505" t="str">
            <v>FG &amp; ID PC</v>
          </cell>
          <cell r="J505" t="e">
            <v>#N/A</v>
          </cell>
          <cell r="K505" t="e">
            <v>#N/A</v>
          </cell>
          <cell r="L505">
            <v>44198</v>
          </cell>
          <cell r="M505">
            <v>0</v>
          </cell>
          <cell r="N505">
            <v>4</v>
          </cell>
          <cell r="O505">
            <v>22</v>
          </cell>
          <cell r="Q505">
            <v>5343082</v>
          </cell>
          <cell r="R505">
            <v>4924046</v>
          </cell>
          <cell r="S505">
            <v>5343083</v>
          </cell>
          <cell r="T505">
            <v>0</v>
          </cell>
          <cell r="U505">
            <v>0</v>
          </cell>
          <cell r="V505">
            <v>0</v>
          </cell>
          <cell r="W505">
            <v>5343083</v>
          </cell>
          <cell r="X505">
            <v>5</v>
          </cell>
          <cell r="Z505">
            <v>16</v>
          </cell>
          <cell r="AB505">
            <v>21</v>
          </cell>
          <cell r="AC505">
            <v>1272162.6190476192</v>
          </cell>
          <cell r="AD505">
            <v>4070920.3809523811</v>
          </cell>
          <cell r="AE505">
            <v>5343083</v>
          </cell>
          <cell r="AF505">
            <v>0</v>
          </cell>
          <cell r="AG505">
            <v>5343083</v>
          </cell>
          <cell r="AH505" t="b">
            <v>1</v>
          </cell>
          <cell r="AK505">
            <v>5343083</v>
          </cell>
          <cell r="AL505" t="str">
            <v>TK</v>
          </cell>
          <cell r="AM505">
            <v>5343083</v>
          </cell>
          <cell r="AN505">
            <v>34354.584590750004</v>
          </cell>
          <cell r="AQ505">
            <v>0</v>
          </cell>
          <cell r="AR505">
            <v>38000</v>
          </cell>
          <cell r="AS505">
            <v>31700</v>
          </cell>
          <cell r="AV505">
            <v>53430.83</v>
          </cell>
          <cell r="AW505">
            <v>106861.66</v>
          </cell>
          <cell r="AX505">
            <v>53430.83</v>
          </cell>
          <cell r="AY505">
            <v>317778</v>
          </cell>
          <cell r="AZ505">
            <v>5025305</v>
          </cell>
          <cell r="BA505">
            <v>34354.584590750004</v>
          </cell>
          <cell r="BB505">
            <v>283423</v>
          </cell>
          <cell r="BC505">
            <v>5059660</v>
          </cell>
        </row>
        <row r="506">
          <cell r="F506" t="str">
            <v>150120-001</v>
          </cell>
          <cell r="G506" t="str">
            <v>Pembaharuan</v>
          </cell>
          <cell r="H506" t="str">
            <v>Pelaksana</v>
          </cell>
          <cell r="I506" t="str">
            <v>FG &amp; ID PC</v>
          </cell>
          <cell r="J506">
            <v>43845</v>
          </cell>
          <cell r="K506" t="b">
            <v>1</v>
          </cell>
          <cell r="L506">
            <v>43845</v>
          </cell>
          <cell r="M506">
            <v>1</v>
          </cell>
          <cell r="N506">
            <v>4</v>
          </cell>
          <cell r="O506">
            <v>9</v>
          </cell>
          <cell r="Q506">
            <v>5343082</v>
          </cell>
          <cell r="R506">
            <v>4924046</v>
          </cell>
          <cell r="S506">
            <v>5343083</v>
          </cell>
          <cell r="T506">
            <v>0</v>
          </cell>
          <cell r="U506">
            <v>0</v>
          </cell>
          <cell r="V506">
            <v>0</v>
          </cell>
          <cell r="W506">
            <v>5343083</v>
          </cell>
          <cell r="X506">
            <v>5</v>
          </cell>
          <cell r="Z506">
            <v>16</v>
          </cell>
          <cell r="AB506">
            <v>21</v>
          </cell>
          <cell r="AC506">
            <v>1272162.6190476192</v>
          </cell>
          <cell r="AD506">
            <v>4070920.3809523811</v>
          </cell>
          <cell r="AE506">
            <v>5343083</v>
          </cell>
          <cell r="AF506">
            <v>0</v>
          </cell>
          <cell r="AG506">
            <v>5343083</v>
          </cell>
          <cell r="AH506" t="b">
            <v>1</v>
          </cell>
          <cell r="AK506">
            <v>5343083</v>
          </cell>
          <cell r="AL506" t="str">
            <v>K3</v>
          </cell>
          <cell r="AM506">
            <v>5343083</v>
          </cell>
          <cell r="AN506">
            <v>0</v>
          </cell>
          <cell r="AQ506">
            <v>0</v>
          </cell>
          <cell r="AR506">
            <v>38000</v>
          </cell>
          <cell r="AS506">
            <v>31700</v>
          </cell>
          <cell r="AV506">
            <v>53430.83</v>
          </cell>
          <cell r="AW506">
            <v>106861.66</v>
          </cell>
          <cell r="AX506">
            <v>53430.83</v>
          </cell>
          <cell r="AY506">
            <v>283423</v>
          </cell>
          <cell r="AZ506">
            <v>5059660</v>
          </cell>
          <cell r="BA506">
            <v>0</v>
          </cell>
          <cell r="BB506">
            <v>283423</v>
          </cell>
          <cell r="BC506">
            <v>5059660</v>
          </cell>
        </row>
        <row r="507">
          <cell r="F507" t="str">
            <v>260421-001</v>
          </cell>
          <cell r="G507" t="str">
            <v>Pembaharuan</v>
          </cell>
          <cell r="H507" t="str">
            <v>Pelaksana</v>
          </cell>
          <cell r="I507" t="str">
            <v>FG &amp; ID PC</v>
          </cell>
          <cell r="J507" t="e">
            <v>#N/A</v>
          </cell>
          <cell r="K507" t="e">
            <v>#N/A</v>
          </cell>
          <cell r="L507">
            <v>44312</v>
          </cell>
          <cell r="M507">
            <v>0</v>
          </cell>
          <cell r="N507">
            <v>0</v>
          </cell>
          <cell r="O507">
            <v>28</v>
          </cell>
          <cell r="Q507">
            <v>5343082</v>
          </cell>
          <cell r="R507">
            <v>4924046</v>
          </cell>
          <cell r="S507">
            <v>5343083</v>
          </cell>
          <cell r="T507">
            <v>0</v>
          </cell>
          <cell r="U507">
            <v>0</v>
          </cell>
          <cell r="V507">
            <v>0</v>
          </cell>
          <cell r="W507">
            <v>5343083</v>
          </cell>
          <cell r="X507">
            <v>5</v>
          </cell>
          <cell r="Z507">
            <v>16</v>
          </cell>
          <cell r="AB507">
            <v>21</v>
          </cell>
          <cell r="AC507">
            <v>1272162.6190476192</v>
          </cell>
          <cell r="AD507">
            <v>4070920.3809523811</v>
          </cell>
          <cell r="AE507">
            <v>5343083</v>
          </cell>
          <cell r="AF507">
            <v>0</v>
          </cell>
          <cell r="AG507">
            <v>5343083</v>
          </cell>
          <cell r="AH507" t="b">
            <v>1</v>
          </cell>
          <cell r="AK507">
            <v>5343083</v>
          </cell>
          <cell r="AL507" t="str">
            <v>K2</v>
          </cell>
          <cell r="AM507">
            <v>5343083</v>
          </cell>
          <cell r="AN507">
            <v>0</v>
          </cell>
          <cell r="AQ507">
            <v>0</v>
          </cell>
          <cell r="AR507">
            <v>38000</v>
          </cell>
          <cell r="AS507">
            <v>31700</v>
          </cell>
          <cell r="AV507">
            <v>53430.83</v>
          </cell>
          <cell r="AW507">
            <v>106861.66</v>
          </cell>
          <cell r="AX507">
            <v>53430.83</v>
          </cell>
          <cell r="AY507">
            <v>283423</v>
          </cell>
          <cell r="AZ507">
            <v>5059660</v>
          </cell>
          <cell r="BA507">
            <v>0</v>
          </cell>
          <cell r="BB507">
            <v>283423</v>
          </cell>
          <cell r="BC507">
            <v>5059660</v>
          </cell>
        </row>
        <row r="508">
          <cell r="F508" t="str">
            <v>060818-009</v>
          </cell>
          <cell r="G508" t="str">
            <v>Kontrak 2</v>
          </cell>
          <cell r="H508" t="str">
            <v>Pelaksana</v>
          </cell>
          <cell r="I508" t="str">
            <v>FG &amp; ID PC</v>
          </cell>
          <cell r="J508">
            <v>43318</v>
          </cell>
          <cell r="K508" t="b">
            <v>1</v>
          </cell>
          <cell r="L508">
            <v>43318</v>
          </cell>
          <cell r="M508">
            <v>2</v>
          </cell>
          <cell r="N508">
            <v>9</v>
          </cell>
          <cell r="O508">
            <v>18</v>
          </cell>
          <cell r="Q508">
            <v>5343082</v>
          </cell>
          <cell r="R508">
            <v>4924046</v>
          </cell>
          <cell r="S508">
            <v>5343083</v>
          </cell>
          <cell r="T508">
            <v>0</v>
          </cell>
          <cell r="U508">
            <v>0</v>
          </cell>
          <cell r="V508">
            <v>0</v>
          </cell>
          <cell r="W508">
            <v>5343083</v>
          </cell>
          <cell r="X508">
            <v>5</v>
          </cell>
          <cell r="Z508">
            <v>16</v>
          </cell>
          <cell r="AB508">
            <v>21</v>
          </cell>
          <cell r="AC508">
            <v>1272162.6190476192</v>
          </cell>
          <cell r="AD508">
            <v>4070920.3809523811</v>
          </cell>
          <cell r="AE508">
            <v>5343083</v>
          </cell>
          <cell r="AF508">
            <v>0</v>
          </cell>
          <cell r="AG508">
            <v>5343083</v>
          </cell>
          <cell r="AH508" t="b">
            <v>1</v>
          </cell>
          <cell r="AK508">
            <v>5343083</v>
          </cell>
          <cell r="AL508" t="str">
            <v>TK</v>
          </cell>
          <cell r="AM508">
            <v>5343083</v>
          </cell>
          <cell r="AN508">
            <v>34354.584590750004</v>
          </cell>
          <cell r="AQ508">
            <v>0</v>
          </cell>
          <cell r="AR508">
            <v>38000</v>
          </cell>
          <cell r="AS508">
            <v>31700</v>
          </cell>
          <cell r="AU508">
            <v>10000</v>
          </cell>
          <cell r="AV508">
            <v>53430.83</v>
          </cell>
          <cell r="AW508">
            <v>106861.66</v>
          </cell>
          <cell r="AX508">
            <v>53430.83</v>
          </cell>
          <cell r="AY508">
            <v>327778</v>
          </cell>
          <cell r="AZ508">
            <v>5015305</v>
          </cell>
          <cell r="BA508">
            <v>34354.584590750004</v>
          </cell>
          <cell r="BB508">
            <v>293423</v>
          </cell>
          <cell r="BC508">
            <v>5049660</v>
          </cell>
        </row>
        <row r="509">
          <cell r="F509" t="str">
            <v>120918-005</v>
          </cell>
          <cell r="G509" t="str">
            <v>Kontrak 2</v>
          </cell>
          <cell r="H509" t="str">
            <v>Pelaksana</v>
          </cell>
          <cell r="I509" t="str">
            <v>FG &amp; ID PC</v>
          </cell>
          <cell r="J509">
            <v>43355</v>
          </cell>
          <cell r="K509" t="b">
            <v>1</v>
          </cell>
          <cell r="L509">
            <v>43355</v>
          </cell>
          <cell r="M509">
            <v>2</v>
          </cell>
          <cell r="N509">
            <v>8</v>
          </cell>
          <cell r="O509">
            <v>12</v>
          </cell>
          <cell r="Q509">
            <v>5343082</v>
          </cell>
          <cell r="R509">
            <v>4924046</v>
          </cell>
          <cell r="S509">
            <v>5343083</v>
          </cell>
          <cell r="T509">
            <v>0</v>
          </cell>
          <cell r="U509">
            <v>0</v>
          </cell>
          <cell r="V509">
            <v>0</v>
          </cell>
          <cell r="W509">
            <v>5343083</v>
          </cell>
          <cell r="X509">
            <v>5</v>
          </cell>
          <cell r="Z509">
            <v>16</v>
          </cell>
          <cell r="AB509">
            <v>21</v>
          </cell>
          <cell r="AC509">
            <v>1272162.6190476192</v>
          </cell>
          <cell r="AD509">
            <v>4070920.3809523811</v>
          </cell>
          <cell r="AE509">
            <v>5343083</v>
          </cell>
          <cell r="AF509">
            <v>0</v>
          </cell>
          <cell r="AG509">
            <v>5343083</v>
          </cell>
          <cell r="AH509" t="b">
            <v>1</v>
          </cell>
          <cell r="AK509">
            <v>5343083</v>
          </cell>
          <cell r="AL509" t="str">
            <v>K1</v>
          </cell>
          <cell r="AM509">
            <v>5343083</v>
          </cell>
          <cell r="AN509">
            <v>0</v>
          </cell>
          <cell r="AQ509">
            <v>0</v>
          </cell>
          <cell r="AR509">
            <v>38000</v>
          </cell>
          <cell r="AS509">
            <v>31700</v>
          </cell>
          <cell r="AV509">
            <v>53430.83</v>
          </cell>
          <cell r="AW509">
            <v>106861.66</v>
          </cell>
          <cell r="AX509">
            <v>53430.83</v>
          </cell>
          <cell r="AY509">
            <v>283423</v>
          </cell>
          <cell r="AZ509">
            <v>5059660</v>
          </cell>
          <cell r="BA509">
            <v>0</v>
          </cell>
          <cell r="BB509">
            <v>283423</v>
          </cell>
          <cell r="BC509">
            <v>5059660</v>
          </cell>
        </row>
        <row r="510">
          <cell r="F510" t="str">
            <v>121218-001</v>
          </cell>
          <cell r="G510" t="str">
            <v>Kontrak 2</v>
          </cell>
          <cell r="H510" t="str">
            <v>Pelaksana</v>
          </cell>
          <cell r="I510" t="str">
            <v>FG &amp; ID PC</v>
          </cell>
          <cell r="J510">
            <v>43446</v>
          </cell>
          <cell r="K510" t="b">
            <v>1</v>
          </cell>
          <cell r="L510">
            <v>43446</v>
          </cell>
          <cell r="M510">
            <v>2</v>
          </cell>
          <cell r="N510">
            <v>5</v>
          </cell>
          <cell r="O510">
            <v>12</v>
          </cell>
          <cell r="Q510">
            <v>5343082</v>
          </cell>
          <cell r="R510">
            <v>4924046</v>
          </cell>
          <cell r="S510">
            <v>5343083</v>
          </cell>
          <cell r="T510">
            <v>0</v>
          </cell>
          <cell r="U510">
            <v>0</v>
          </cell>
          <cell r="V510">
            <v>0</v>
          </cell>
          <cell r="W510">
            <v>5343083</v>
          </cell>
          <cell r="X510">
            <v>5</v>
          </cell>
          <cell r="Z510">
            <v>16</v>
          </cell>
          <cell r="AB510">
            <v>21</v>
          </cell>
          <cell r="AC510">
            <v>1272162.6190476192</v>
          </cell>
          <cell r="AD510">
            <v>4070920.3809523811</v>
          </cell>
          <cell r="AE510">
            <v>5343083</v>
          </cell>
          <cell r="AF510">
            <v>0</v>
          </cell>
          <cell r="AG510">
            <v>5343083</v>
          </cell>
          <cell r="AH510" t="b">
            <v>1</v>
          </cell>
          <cell r="AK510">
            <v>5343083</v>
          </cell>
          <cell r="AL510" t="str">
            <v>K1</v>
          </cell>
          <cell r="AM510">
            <v>5343083</v>
          </cell>
          <cell r="AN510">
            <v>0</v>
          </cell>
          <cell r="AQ510">
            <v>0</v>
          </cell>
          <cell r="AR510">
            <v>38000</v>
          </cell>
          <cell r="AS510">
            <v>31700</v>
          </cell>
          <cell r="AV510">
            <v>53430.83</v>
          </cell>
          <cell r="AW510">
            <v>106861.66</v>
          </cell>
          <cell r="AX510">
            <v>53430.83</v>
          </cell>
          <cell r="AY510">
            <v>283423</v>
          </cell>
          <cell r="AZ510">
            <v>5059660</v>
          </cell>
          <cell r="BA510">
            <v>0</v>
          </cell>
          <cell r="BB510">
            <v>283423</v>
          </cell>
          <cell r="BC510">
            <v>5059660</v>
          </cell>
        </row>
        <row r="511">
          <cell r="F511" t="str">
            <v>290321-011</v>
          </cell>
          <cell r="G511" t="str">
            <v>Pembaharuan</v>
          </cell>
          <cell r="H511" t="str">
            <v>Pelaksana</v>
          </cell>
          <cell r="I511" t="str">
            <v>FG &amp; ID PC</v>
          </cell>
          <cell r="J511" t="e">
            <v>#N/A</v>
          </cell>
          <cell r="K511" t="e">
            <v>#N/A</v>
          </cell>
          <cell r="L511">
            <v>44284</v>
          </cell>
          <cell r="M511">
            <v>0</v>
          </cell>
          <cell r="N511">
            <v>1</v>
          </cell>
          <cell r="O511">
            <v>25</v>
          </cell>
          <cell r="Q511">
            <v>5343082</v>
          </cell>
          <cell r="R511">
            <v>4924046</v>
          </cell>
          <cell r="S511">
            <v>5343083</v>
          </cell>
          <cell r="T511">
            <v>0</v>
          </cell>
          <cell r="U511">
            <v>0</v>
          </cell>
          <cell r="V511">
            <v>0</v>
          </cell>
          <cell r="W511">
            <v>5343083</v>
          </cell>
          <cell r="X511">
            <v>5</v>
          </cell>
          <cell r="Z511">
            <v>16</v>
          </cell>
          <cell r="AB511">
            <v>21</v>
          </cell>
          <cell r="AC511">
            <v>1272162.6190476192</v>
          </cell>
          <cell r="AD511">
            <v>4070920.3809523811</v>
          </cell>
          <cell r="AE511">
            <v>5343083</v>
          </cell>
          <cell r="AF511">
            <v>0</v>
          </cell>
          <cell r="AG511">
            <v>5343083</v>
          </cell>
          <cell r="AH511" t="b">
            <v>1</v>
          </cell>
          <cell r="AK511">
            <v>5343083</v>
          </cell>
          <cell r="AL511" t="str">
            <v>TK</v>
          </cell>
          <cell r="AM511">
            <v>5343083</v>
          </cell>
          <cell r="AN511">
            <v>34354.584590750004</v>
          </cell>
          <cell r="AQ511">
            <v>0</v>
          </cell>
          <cell r="AR511">
            <v>38000</v>
          </cell>
          <cell r="AS511">
            <v>31700</v>
          </cell>
          <cell r="AV511">
            <v>53430.83</v>
          </cell>
          <cell r="AW511">
            <v>106861.66</v>
          </cell>
          <cell r="AX511">
            <v>53430.83</v>
          </cell>
          <cell r="AY511">
            <v>317778</v>
          </cell>
          <cell r="AZ511">
            <v>5025305</v>
          </cell>
          <cell r="BA511">
            <v>34354.584590750004</v>
          </cell>
          <cell r="BB511">
            <v>283423</v>
          </cell>
          <cell r="BC511">
            <v>5059660</v>
          </cell>
        </row>
        <row r="512">
          <cell r="F512" t="str">
            <v>020221-001</v>
          </cell>
          <cell r="G512" t="str">
            <v>Pembaharuan</v>
          </cell>
          <cell r="H512" t="str">
            <v>Pelaksana</v>
          </cell>
          <cell r="I512" t="str">
            <v>FG &amp; ID PC</v>
          </cell>
          <cell r="J512" t="str">
            <v>02 Februari 2021</v>
          </cell>
          <cell r="K512" t="b">
            <v>0</v>
          </cell>
          <cell r="L512">
            <v>44229</v>
          </cell>
          <cell r="M512">
            <v>0</v>
          </cell>
          <cell r="N512">
            <v>3</v>
          </cell>
          <cell r="O512">
            <v>22</v>
          </cell>
          <cell r="Q512">
            <v>5343082</v>
          </cell>
          <cell r="R512">
            <v>4924046</v>
          </cell>
          <cell r="S512">
            <v>5343083</v>
          </cell>
          <cell r="T512">
            <v>0</v>
          </cell>
          <cell r="U512">
            <v>0</v>
          </cell>
          <cell r="V512">
            <v>0</v>
          </cell>
          <cell r="W512">
            <v>5343083</v>
          </cell>
          <cell r="X512">
            <v>5</v>
          </cell>
          <cell r="Z512">
            <v>16</v>
          </cell>
          <cell r="AB512">
            <v>21</v>
          </cell>
          <cell r="AC512">
            <v>1272162.6190476192</v>
          </cell>
          <cell r="AD512">
            <v>4070920.3809523811</v>
          </cell>
          <cell r="AE512">
            <v>5343083</v>
          </cell>
          <cell r="AF512">
            <v>0</v>
          </cell>
          <cell r="AG512">
            <v>5343083</v>
          </cell>
          <cell r="AH512" t="b">
            <v>1</v>
          </cell>
          <cell r="AK512">
            <v>5343083</v>
          </cell>
          <cell r="AL512" t="str">
            <v>TK</v>
          </cell>
          <cell r="AM512">
            <v>5343083</v>
          </cell>
          <cell r="AN512">
            <v>34354.584590750004</v>
          </cell>
          <cell r="AQ512">
            <v>0</v>
          </cell>
          <cell r="AS512">
            <v>31700</v>
          </cell>
          <cell r="AU512">
            <v>10000</v>
          </cell>
          <cell r="AV512">
            <v>53430.83</v>
          </cell>
          <cell r="AW512">
            <v>106861.66</v>
          </cell>
          <cell r="AX512">
            <v>53430.83</v>
          </cell>
          <cell r="AY512">
            <v>289778</v>
          </cell>
          <cell r="AZ512">
            <v>5053305</v>
          </cell>
          <cell r="BA512">
            <v>34354.584590750004</v>
          </cell>
          <cell r="BB512">
            <v>255423</v>
          </cell>
          <cell r="BC512">
            <v>5087660</v>
          </cell>
        </row>
        <row r="513">
          <cell r="F513" t="str">
            <v>260919-001</v>
          </cell>
          <cell r="G513" t="str">
            <v>Kontrak 2</v>
          </cell>
          <cell r="H513" t="str">
            <v>Pelaksana</v>
          </cell>
          <cell r="I513" t="str">
            <v>FG &amp; ID PC</v>
          </cell>
          <cell r="J513">
            <v>43734</v>
          </cell>
          <cell r="K513" t="b">
            <v>1</v>
          </cell>
          <cell r="L513">
            <v>43734</v>
          </cell>
          <cell r="M513">
            <v>1</v>
          </cell>
          <cell r="N513">
            <v>7</v>
          </cell>
          <cell r="O513">
            <v>28</v>
          </cell>
          <cell r="Q513">
            <v>5343082</v>
          </cell>
          <cell r="R513">
            <v>4924046</v>
          </cell>
          <cell r="S513">
            <v>5343083</v>
          </cell>
          <cell r="T513">
            <v>0</v>
          </cell>
          <cell r="U513">
            <v>0</v>
          </cell>
          <cell r="V513">
            <v>0</v>
          </cell>
          <cell r="W513">
            <v>5343083</v>
          </cell>
          <cell r="X513">
            <v>5</v>
          </cell>
          <cell r="Z513">
            <v>16</v>
          </cell>
          <cell r="AB513">
            <v>21</v>
          </cell>
          <cell r="AC513">
            <v>1272162.6190476192</v>
          </cell>
          <cell r="AD513">
            <v>4070920.3809523811</v>
          </cell>
          <cell r="AE513">
            <v>5343083</v>
          </cell>
          <cell r="AF513">
            <v>0</v>
          </cell>
          <cell r="AG513">
            <v>5343083</v>
          </cell>
          <cell r="AH513" t="b">
            <v>1</v>
          </cell>
          <cell r="AK513">
            <v>5343083</v>
          </cell>
          <cell r="AL513" t="str">
            <v>K1</v>
          </cell>
          <cell r="AM513">
            <v>5343083</v>
          </cell>
          <cell r="AN513">
            <v>0</v>
          </cell>
          <cell r="AQ513">
            <v>0</v>
          </cell>
          <cell r="AS513">
            <v>31700</v>
          </cell>
          <cell r="AV513">
            <v>53430.83</v>
          </cell>
          <cell r="AW513">
            <v>106861.66</v>
          </cell>
          <cell r="AX513">
            <v>53430.83</v>
          </cell>
          <cell r="AY513">
            <v>245423</v>
          </cell>
          <cell r="AZ513">
            <v>5097660</v>
          </cell>
          <cell r="BA513">
            <v>0</v>
          </cell>
          <cell r="BB513">
            <v>245423</v>
          </cell>
          <cell r="BC513">
            <v>5097660</v>
          </cell>
        </row>
        <row r="514">
          <cell r="F514" t="str">
            <v>181119-004</v>
          </cell>
          <cell r="G514" t="str">
            <v>Kontrak 2</v>
          </cell>
          <cell r="H514" t="str">
            <v>Pelaksana</v>
          </cell>
          <cell r="I514" t="str">
            <v>FG &amp; ID PC</v>
          </cell>
          <cell r="J514">
            <v>43787</v>
          </cell>
          <cell r="K514" t="b">
            <v>1</v>
          </cell>
          <cell r="L514">
            <v>43787</v>
          </cell>
          <cell r="M514">
            <v>1</v>
          </cell>
          <cell r="N514">
            <v>6</v>
          </cell>
          <cell r="O514">
            <v>6</v>
          </cell>
          <cell r="Q514">
            <v>5343082</v>
          </cell>
          <cell r="R514">
            <v>4924046</v>
          </cell>
          <cell r="S514">
            <v>5343083</v>
          </cell>
          <cell r="T514">
            <v>0</v>
          </cell>
          <cell r="U514">
            <v>0</v>
          </cell>
          <cell r="V514">
            <v>0</v>
          </cell>
          <cell r="W514">
            <v>5343083</v>
          </cell>
          <cell r="X514">
            <v>5</v>
          </cell>
          <cell r="Z514">
            <v>16</v>
          </cell>
          <cell r="AB514">
            <v>21</v>
          </cell>
          <cell r="AC514">
            <v>1272162.6190476192</v>
          </cell>
          <cell r="AD514">
            <v>4070920.3809523811</v>
          </cell>
          <cell r="AE514">
            <v>5343083</v>
          </cell>
          <cell r="AF514">
            <v>0</v>
          </cell>
          <cell r="AG514">
            <v>5343083</v>
          </cell>
          <cell r="AH514" t="b">
            <v>1</v>
          </cell>
          <cell r="AK514">
            <v>5343083</v>
          </cell>
          <cell r="AL514" t="str">
            <v>TK</v>
          </cell>
          <cell r="AM514">
            <v>5343083</v>
          </cell>
          <cell r="AN514">
            <v>34354.584590750004</v>
          </cell>
          <cell r="AQ514">
            <v>0</v>
          </cell>
          <cell r="AR514">
            <v>38000</v>
          </cell>
          <cell r="AS514">
            <v>31700</v>
          </cell>
          <cell r="AV514">
            <v>53430.83</v>
          </cell>
          <cell r="AW514">
            <v>106861.66</v>
          </cell>
          <cell r="AX514">
            <v>53430.83</v>
          </cell>
          <cell r="AY514">
            <v>317778</v>
          </cell>
          <cell r="AZ514">
            <v>5025305</v>
          </cell>
          <cell r="BA514">
            <v>34354.584590750004</v>
          </cell>
          <cell r="BB514">
            <v>283423</v>
          </cell>
          <cell r="BC514">
            <v>5059660</v>
          </cell>
        </row>
        <row r="515">
          <cell r="F515" t="str">
            <v>171218-003</v>
          </cell>
          <cell r="G515" t="str">
            <v>Kontrak 2</v>
          </cell>
          <cell r="H515" t="str">
            <v>Pelaksana</v>
          </cell>
          <cell r="I515" t="str">
            <v>FG &amp; ID PC</v>
          </cell>
          <cell r="J515">
            <v>43451</v>
          </cell>
          <cell r="K515" t="b">
            <v>1</v>
          </cell>
          <cell r="L515">
            <v>43451</v>
          </cell>
          <cell r="M515">
            <v>2</v>
          </cell>
          <cell r="N515">
            <v>5</v>
          </cell>
          <cell r="O515">
            <v>7</v>
          </cell>
          <cell r="Q515">
            <v>5343082</v>
          </cell>
          <cell r="R515">
            <v>4924046</v>
          </cell>
          <cell r="S515">
            <v>5343083</v>
          </cell>
          <cell r="T515">
            <v>0</v>
          </cell>
          <cell r="U515">
            <v>0</v>
          </cell>
          <cell r="V515">
            <v>0</v>
          </cell>
          <cell r="W515">
            <v>5343083</v>
          </cell>
          <cell r="X515">
            <v>5</v>
          </cell>
          <cell r="Z515">
            <v>16</v>
          </cell>
          <cell r="AB515">
            <v>21</v>
          </cell>
          <cell r="AC515">
            <v>1272162.6190476192</v>
          </cell>
          <cell r="AD515">
            <v>4070920.3809523811</v>
          </cell>
          <cell r="AE515">
            <v>5343083</v>
          </cell>
          <cell r="AF515">
            <v>0</v>
          </cell>
          <cell r="AG515">
            <v>5343083</v>
          </cell>
          <cell r="AH515" t="b">
            <v>1</v>
          </cell>
          <cell r="AK515">
            <v>5343083</v>
          </cell>
          <cell r="AL515" t="str">
            <v>K1</v>
          </cell>
          <cell r="AM515">
            <v>5343083</v>
          </cell>
          <cell r="AN515">
            <v>0</v>
          </cell>
          <cell r="AQ515">
            <v>0</v>
          </cell>
          <cell r="AS515">
            <v>31700</v>
          </cell>
          <cell r="AV515">
            <v>53430.83</v>
          </cell>
          <cell r="AW515">
            <v>106861.66</v>
          </cell>
          <cell r="AX515">
            <v>53430.83</v>
          </cell>
          <cell r="AY515">
            <v>245423</v>
          </cell>
          <cell r="AZ515">
            <v>5097660</v>
          </cell>
          <cell r="BA515">
            <v>0</v>
          </cell>
          <cell r="BB515">
            <v>245423</v>
          </cell>
          <cell r="BC515">
            <v>5097660</v>
          </cell>
        </row>
        <row r="516">
          <cell r="F516" t="str">
            <v>100521-001</v>
          </cell>
          <cell r="G516" t="str">
            <v>Pembaharuan</v>
          </cell>
          <cell r="H516" t="str">
            <v>Pelaksana</v>
          </cell>
          <cell r="I516" t="str">
            <v>FG &amp; ID PC</v>
          </cell>
          <cell r="J516">
            <v>44326</v>
          </cell>
          <cell r="K516" t="b">
            <v>1</v>
          </cell>
          <cell r="L516">
            <v>44326</v>
          </cell>
          <cell r="M516">
            <v>0</v>
          </cell>
          <cell r="N516">
            <v>0</v>
          </cell>
          <cell r="O516">
            <v>14</v>
          </cell>
          <cell r="Q516">
            <v>5343082</v>
          </cell>
          <cell r="R516">
            <v>4924046</v>
          </cell>
          <cell r="S516">
            <v>5343083</v>
          </cell>
          <cell r="T516">
            <v>0</v>
          </cell>
          <cell r="U516">
            <v>0</v>
          </cell>
          <cell r="V516">
            <v>0</v>
          </cell>
          <cell r="W516">
            <v>5343083</v>
          </cell>
          <cell r="X516">
            <v>5</v>
          </cell>
          <cell r="Z516">
            <v>16</v>
          </cell>
          <cell r="AB516">
            <v>21</v>
          </cell>
          <cell r="AC516">
            <v>1272162.6190476192</v>
          </cell>
          <cell r="AD516">
            <v>4070920.3809523811</v>
          </cell>
          <cell r="AE516">
            <v>5343083</v>
          </cell>
          <cell r="AF516">
            <v>0</v>
          </cell>
          <cell r="AG516">
            <v>5343083</v>
          </cell>
          <cell r="AH516" t="b">
            <v>1</v>
          </cell>
          <cell r="AK516">
            <v>5343083</v>
          </cell>
          <cell r="AL516" t="str">
            <v>K1</v>
          </cell>
          <cell r="AM516">
            <v>5343083</v>
          </cell>
          <cell r="AN516">
            <v>0</v>
          </cell>
          <cell r="AQ516">
            <v>0</v>
          </cell>
          <cell r="AR516">
            <v>38000</v>
          </cell>
          <cell r="AS516">
            <v>31700</v>
          </cell>
          <cell r="AU516">
            <v>10000</v>
          </cell>
          <cell r="AV516">
            <v>53430.83</v>
          </cell>
          <cell r="AW516">
            <v>106861.66</v>
          </cell>
          <cell r="AX516">
            <v>53430.83</v>
          </cell>
          <cell r="AY516">
            <v>293423</v>
          </cell>
          <cell r="AZ516">
            <v>5049660</v>
          </cell>
          <cell r="BA516">
            <v>0</v>
          </cell>
          <cell r="BB516">
            <v>293423</v>
          </cell>
          <cell r="BC516">
            <v>5049660</v>
          </cell>
        </row>
        <row r="517">
          <cell r="F517" t="str">
            <v>140119-010</v>
          </cell>
          <cell r="G517" t="str">
            <v>Kontrak 2</v>
          </cell>
          <cell r="H517" t="str">
            <v>Pelaksana</v>
          </cell>
          <cell r="I517" t="str">
            <v>FG &amp; ID PC</v>
          </cell>
          <cell r="J517">
            <v>43479</v>
          </cell>
          <cell r="K517" t="b">
            <v>1</v>
          </cell>
          <cell r="L517">
            <v>43479</v>
          </cell>
          <cell r="M517">
            <v>2</v>
          </cell>
          <cell r="N517">
            <v>4</v>
          </cell>
          <cell r="O517">
            <v>10</v>
          </cell>
          <cell r="Q517">
            <v>5343082</v>
          </cell>
          <cell r="R517">
            <v>4924046</v>
          </cell>
          <cell r="S517">
            <v>5343083</v>
          </cell>
          <cell r="T517">
            <v>0</v>
          </cell>
          <cell r="U517">
            <v>0</v>
          </cell>
          <cell r="V517">
            <v>0</v>
          </cell>
          <cell r="W517">
            <v>5343083</v>
          </cell>
          <cell r="X517">
            <v>5</v>
          </cell>
          <cell r="Z517">
            <v>16</v>
          </cell>
          <cell r="AB517">
            <v>21</v>
          </cell>
          <cell r="AC517">
            <v>1272162.6190476192</v>
          </cell>
          <cell r="AD517">
            <v>4070920.3809523811</v>
          </cell>
          <cell r="AE517">
            <v>5343083</v>
          </cell>
          <cell r="AF517">
            <v>0</v>
          </cell>
          <cell r="AG517">
            <v>5343083</v>
          </cell>
          <cell r="AH517" t="b">
            <v>1</v>
          </cell>
          <cell r="AK517">
            <v>5343083</v>
          </cell>
          <cell r="AL517" t="str">
            <v>K1</v>
          </cell>
          <cell r="AM517">
            <v>5343083</v>
          </cell>
          <cell r="AN517">
            <v>0</v>
          </cell>
          <cell r="AQ517">
            <v>0</v>
          </cell>
          <cell r="AR517">
            <v>38000</v>
          </cell>
          <cell r="AS517">
            <v>31700</v>
          </cell>
          <cell r="AV517">
            <v>53430.83</v>
          </cell>
          <cell r="AW517">
            <v>106861.66</v>
          </cell>
          <cell r="AX517">
            <v>53430.83</v>
          </cell>
          <cell r="AY517">
            <v>283423</v>
          </cell>
          <cell r="AZ517">
            <v>5059660</v>
          </cell>
          <cell r="BA517">
            <v>0</v>
          </cell>
          <cell r="BB517">
            <v>283423</v>
          </cell>
          <cell r="BC517">
            <v>5059660</v>
          </cell>
        </row>
        <row r="518">
          <cell r="F518" t="str">
            <v>140119-001</v>
          </cell>
          <cell r="G518" t="str">
            <v>Kontrak 2</v>
          </cell>
          <cell r="H518" t="str">
            <v>Pelaksana</v>
          </cell>
          <cell r="I518" t="str">
            <v>FG &amp; ID PC</v>
          </cell>
          <cell r="J518">
            <v>43479</v>
          </cell>
          <cell r="K518" t="b">
            <v>1</v>
          </cell>
          <cell r="L518">
            <v>43479</v>
          </cell>
          <cell r="M518">
            <v>2</v>
          </cell>
          <cell r="N518">
            <v>4</v>
          </cell>
          <cell r="O518">
            <v>10</v>
          </cell>
          <cell r="Q518">
            <v>5343082</v>
          </cell>
          <cell r="R518">
            <v>4924046</v>
          </cell>
          <cell r="S518">
            <v>5343083</v>
          </cell>
          <cell r="T518">
            <v>0</v>
          </cell>
          <cell r="U518">
            <v>0</v>
          </cell>
          <cell r="V518">
            <v>0</v>
          </cell>
          <cell r="W518">
            <v>5343083</v>
          </cell>
          <cell r="X518">
            <v>5</v>
          </cell>
          <cell r="Z518">
            <v>16</v>
          </cell>
          <cell r="AB518">
            <v>21</v>
          </cell>
          <cell r="AC518">
            <v>1272162.6190476192</v>
          </cell>
          <cell r="AD518">
            <v>4070920.3809523811</v>
          </cell>
          <cell r="AE518">
            <v>5343083</v>
          </cell>
          <cell r="AF518">
            <v>0</v>
          </cell>
          <cell r="AG518">
            <v>5343083</v>
          </cell>
          <cell r="AH518" t="b">
            <v>1</v>
          </cell>
          <cell r="AK518">
            <v>5343083</v>
          </cell>
          <cell r="AL518" t="str">
            <v>K1</v>
          </cell>
          <cell r="AM518">
            <v>5343083</v>
          </cell>
          <cell r="AN518">
            <v>0</v>
          </cell>
          <cell r="AQ518">
            <v>0</v>
          </cell>
          <cell r="AR518">
            <v>38000</v>
          </cell>
          <cell r="AS518">
            <v>31700</v>
          </cell>
          <cell r="AV518">
            <v>53430.83</v>
          </cell>
          <cell r="AW518">
            <v>106861.66</v>
          </cell>
          <cell r="AX518">
            <v>53430.83</v>
          </cell>
          <cell r="AY518">
            <v>283423</v>
          </cell>
          <cell r="AZ518">
            <v>5059660</v>
          </cell>
          <cell r="BA518">
            <v>0</v>
          </cell>
          <cell r="BB518">
            <v>283423</v>
          </cell>
          <cell r="BC518">
            <v>5059660</v>
          </cell>
        </row>
        <row r="519">
          <cell r="F519" t="str">
            <v>140119-003</v>
          </cell>
          <cell r="G519" t="str">
            <v>Kontrak 2</v>
          </cell>
          <cell r="H519" t="str">
            <v>Pelaksana</v>
          </cell>
          <cell r="I519" t="str">
            <v>FG &amp; ID PC</v>
          </cell>
          <cell r="J519">
            <v>43479</v>
          </cell>
          <cell r="K519" t="b">
            <v>1</v>
          </cell>
          <cell r="L519">
            <v>43479</v>
          </cell>
          <cell r="M519">
            <v>2</v>
          </cell>
          <cell r="N519">
            <v>4</v>
          </cell>
          <cell r="O519">
            <v>10</v>
          </cell>
          <cell r="Q519">
            <v>5343082</v>
          </cell>
          <cell r="R519">
            <v>4924046</v>
          </cell>
          <cell r="S519">
            <v>5343083</v>
          </cell>
          <cell r="T519">
            <v>0</v>
          </cell>
          <cell r="U519">
            <v>0</v>
          </cell>
          <cell r="V519">
            <v>0</v>
          </cell>
          <cell r="W519">
            <v>5343083</v>
          </cell>
          <cell r="X519">
            <v>5</v>
          </cell>
          <cell r="Z519">
            <v>16</v>
          </cell>
          <cell r="AB519">
            <v>21</v>
          </cell>
          <cell r="AC519">
            <v>1272162.6190476192</v>
          </cell>
          <cell r="AD519">
            <v>4070920.3809523811</v>
          </cell>
          <cell r="AE519">
            <v>5343083</v>
          </cell>
          <cell r="AF519">
            <v>0</v>
          </cell>
          <cell r="AG519">
            <v>5343083</v>
          </cell>
          <cell r="AH519" t="b">
            <v>1</v>
          </cell>
          <cell r="AK519">
            <v>5343083</v>
          </cell>
          <cell r="AL519" t="str">
            <v>TK</v>
          </cell>
          <cell r="AM519">
            <v>5343083</v>
          </cell>
          <cell r="AN519">
            <v>34354.584590750004</v>
          </cell>
          <cell r="AQ519">
            <v>0</v>
          </cell>
          <cell r="AR519">
            <v>38000</v>
          </cell>
          <cell r="AS519">
            <v>31700</v>
          </cell>
          <cell r="AV519">
            <v>53430.83</v>
          </cell>
          <cell r="AW519">
            <v>106861.66</v>
          </cell>
          <cell r="AX519">
            <v>53430.83</v>
          </cell>
          <cell r="AY519">
            <v>317778</v>
          </cell>
          <cell r="AZ519">
            <v>5025305</v>
          </cell>
          <cell r="BA519">
            <v>34354.584590750004</v>
          </cell>
          <cell r="BB519">
            <v>283423</v>
          </cell>
          <cell r="BC519">
            <v>5059660</v>
          </cell>
        </row>
        <row r="520">
          <cell r="F520" t="str">
            <v>240121-002</v>
          </cell>
          <cell r="G520" t="str">
            <v>Pembaharuan</v>
          </cell>
          <cell r="H520" t="str">
            <v>Pelaksana</v>
          </cell>
          <cell r="I520" t="str">
            <v>FG &amp; ID PC</v>
          </cell>
          <cell r="J520" t="str">
            <v>24 Januari 2021</v>
          </cell>
          <cell r="K520" t="b">
            <v>0</v>
          </cell>
          <cell r="L520">
            <v>44220</v>
          </cell>
          <cell r="M520">
            <v>0</v>
          </cell>
          <cell r="N520">
            <v>4</v>
          </cell>
          <cell r="O520">
            <v>0</v>
          </cell>
          <cell r="Q520">
            <v>5343082</v>
          </cell>
          <cell r="R520">
            <v>4924046</v>
          </cell>
          <cell r="S520">
            <v>5343083</v>
          </cell>
          <cell r="T520">
            <v>0</v>
          </cell>
          <cell r="U520">
            <v>0</v>
          </cell>
          <cell r="V520">
            <v>0</v>
          </cell>
          <cell r="W520">
            <v>5343083</v>
          </cell>
          <cell r="X520">
            <v>5</v>
          </cell>
          <cell r="Z520">
            <v>16</v>
          </cell>
          <cell r="AB520">
            <v>21</v>
          </cell>
          <cell r="AC520">
            <v>1272162.6190476192</v>
          </cell>
          <cell r="AD520">
            <v>4070920.3809523811</v>
          </cell>
          <cell r="AE520">
            <v>5343083</v>
          </cell>
          <cell r="AF520">
            <v>0</v>
          </cell>
          <cell r="AG520">
            <v>5343083</v>
          </cell>
          <cell r="AH520" t="b">
            <v>1</v>
          </cell>
          <cell r="AK520">
            <v>5343083</v>
          </cell>
          <cell r="AL520" t="str">
            <v>K0</v>
          </cell>
          <cell r="AM520">
            <v>5343083</v>
          </cell>
          <cell r="AN520">
            <v>15604.584590750002</v>
          </cell>
          <cell r="AQ520">
            <v>0</v>
          </cell>
          <cell r="AR520">
            <v>38000</v>
          </cell>
          <cell r="AS520">
            <v>31700</v>
          </cell>
          <cell r="AU520">
            <v>10000</v>
          </cell>
          <cell r="AV520">
            <v>53430.83</v>
          </cell>
          <cell r="AW520">
            <v>106861.66</v>
          </cell>
          <cell r="AX520">
            <v>53430.83</v>
          </cell>
          <cell r="AY520">
            <v>309028</v>
          </cell>
          <cell r="AZ520">
            <v>5034055</v>
          </cell>
          <cell r="BA520">
            <v>15604.584590750002</v>
          </cell>
          <cell r="BB520">
            <v>293423</v>
          </cell>
          <cell r="BC520">
            <v>5049660</v>
          </cell>
        </row>
        <row r="521">
          <cell r="F521" t="str">
            <v>230121-001</v>
          </cell>
          <cell r="G521" t="str">
            <v>Pembaharuan</v>
          </cell>
          <cell r="H521" t="str">
            <v>Pelaksana</v>
          </cell>
          <cell r="I521" t="str">
            <v>FG &amp; ID PC</v>
          </cell>
          <cell r="J521" t="str">
            <v>23 Januari 2021</v>
          </cell>
          <cell r="K521" t="b">
            <v>0</v>
          </cell>
          <cell r="L521">
            <v>44219</v>
          </cell>
          <cell r="M521">
            <v>0</v>
          </cell>
          <cell r="N521">
            <v>4</v>
          </cell>
          <cell r="O521">
            <v>1</v>
          </cell>
          <cell r="Q521">
            <v>5343082</v>
          </cell>
          <cell r="R521">
            <v>4924046</v>
          </cell>
          <cell r="S521">
            <v>5343083</v>
          </cell>
          <cell r="T521">
            <v>0</v>
          </cell>
          <cell r="U521">
            <v>0</v>
          </cell>
          <cell r="V521">
            <v>0</v>
          </cell>
          <cell r="W521">
            <v>5343083</v>
          </cell>
          <cell r="X521">
            <v>5</v>
          </cell>
          <cell r="Z521">
            <v>16</v>
          </cell>
          <cell r="AB521">
            <v>21</v>
          </cell>
          <cell r="AC521">
            <v>1272162.6190476192</v>
          </cell>
          <cell r="AD521">
            <v>4070920.3809523811</v>
          </cell>
          <cell r="AE521">
            <v>5343083</v>
          </cell>
          <cell r="AF521">
            <v>0</v>
          </cell>
          <cell r="AG521">
            <v>5343083</v>
          </cell>
          <cell r="AH521" t="b">
            <v>1</v>
          </cell>
          <cell r="AK521">
            <v>5343083</v>
          </cell>
          <cell r="AL521" t="str">
            <v>K1</v>
          </cell>
          <cell r="AM521">
            <v>5343083</v>
          </cell>
          <cell r="AN521">
            <v>0</v>
          </cell>
          <cell r="AQ521">
            <v>0</v>
          </cell>
          <cell r="AR521">
            <v>38000</v>
          </cell>
          <cell r="AS521">
            <v>31700</v>
          </cell>
          <cell r="AV521">
            <v>53430.83</v>
          </cell>
          <cell r="AW521">
            <v>106861.66</v>
          </cell>
          <cell r="AX521">
            <v>53430.83</v>
          </cell>
          <cell r="AY521">
            <v>283423</v>
          </cell>
          <cell r="AZ521">
            <v>5059660</v>
          </cell>
          <cell r="BA521">
            <v>0</v>
          </cell>
          <cell r="BB521">
            <v>283423</v>
          </cell>
          <cell r="BC521">
            <v>5059660</v>
          </cell>
        </row>
        <row r="522">
          <cell r="F522" t="str">
            <v>181119-006</v>
          </cell>
          <cell r="G522" t="str">
            <v>Pembaharuan</v>
          </cell>
          <cell r="H522" t="str">
            <v>Pelaksana</v>
          </cell>
          <cell r="I522" t="str">
            <v>FG &amp; ID PC</v>
          </cell>
          <cell r="J522">
            <v>43787</v>
          </cell>
          <cell r="K522" t="b">
            <v>1</v>
          </cell>
          <cell r="L522">
            <v>43787</v>
          </cell>
          <cell r="M522">
            <v>1</v>
          </cell>
          <cell r="N522">
            <v>6</v>
          </cell>
          <cell r="O522">
            <v>6</v>
          </cell>
          <cell r="Q522">
            <v>5343082</v>
          </cell>
          <cell r="R522">
            <v>4924046</v>
          </cell>
          <cell r="S522">
            <v>5343083</v>
          </cell>
          <cell r="T522">
            <v>0</v>
          </cell>
          <cell r="U522">
            <v>0</v>
          </cell>
          <cell r="V522">
            <v>0</v>
          </cell>
          <cell r="W522">
            <v>5343083</v>
          </cell>
          <cell r="X522">
            <v>5</v>
          </cell>
          <cell r="Z522">
            <v>16</v>
          </cell>
          <cell r="AB522">
            <v>21</v>
          </cell>
          <cell r="AC522">
            <v>1272162.6190476192</v>
          </cell>
          <cell r="AD522">
            <v>4070920.3809523811</v>
          </cell>
          <cell r="AE522">
            <v>5343083</v>
          </cell>
          <cell r="AF522">
            <v>0</v>
          </cell>
          <cell r="AG522">
            <v>5343083</v>
          </cell>
          <cell r="AH522" t="b">
            <v>1</v>
          </cell>
          <cell r="AK522">
            <v>5343083</v>
          </cell>
          <cell r="AL522" t="str">
            <v>TK</v>
          </cell>
          <cell r="AM522">
            <v>5343083</v>
          </cell>
          <cell r="AN522">
            <v>34354.584590750004</v>
          </cell>
          <cell r="AQ522">
            <v>0</v>
          </cell>
          <cell r="AR522">
            <v>38000</v>
          </cell>
          <cell r="AS522">
            <v>31700</v>
          </cell>
          <cell r="AV522">
            <v>53430.83</v>
          </cell>
          <cell r="AW522">
            <v>106861.66</v>
          </cell>
          <cell r="AX522">
            <v>53430.83</v>
          </cell>
          <cell r="AY522">
            <v>317778</v>
          </cell>
          <cell r="AZ522">
            <v>5025305</v>
          </cell>
          <cell r="BA522">
            <v>34354.584590750004</v>
          </cell>
          <cell r="BB522">
            <v>283423</v>
          </cell>
          <cell r="BC522">
            <v>5059660</v>
          </cell>
        </row>
        <row r="523">
          <cell r="F523" t="str">
            <v>240121-001</v>
          </cell>
          <cell r="G523" t="str">
            <v>Pembaharuan</v>
          </cell>
          <cell r="H523" t="str">
            <v>Pelaksana</v>
          </cell>
          <cell r="I523" t="str">
            <v>FG &amp; ID PC</v>
          </cell>
          <cell r="J523" t="str">
            <v>24 Januari 2021</v>
          </cell>
          <cell r="K523" t="b">
            <v>0</v>
          </cell>
          <cell r="L523">
            <v>44220</v>
          </cell>
          <cell r="M523">
            <v>0</v>
          </cell>
          <cell r="N523">
            <v>4</v>
          </cell>
          <cell r="O523">
            <v>0</v>
          </cell>
          <cell r="Q523">
            <v>5343082</v>
          </cell>
          <cell r="R523">
            <v>4924046</v>
          </cell>
          <cell r="S523">
            <v>5343083</v>
          </cell>
          <cell r="T523">
            <v>0</v>
          </cell>
          <cell r="U523">
            <v>0</v>
          </cell>
          <cell r="V523">
            <v>0</v>
          </cell>
          <cell r="W523">
            <v>5343083</v>
          </cell>
          <cell r="X523">
            <v>5</v>
          </cell>
          <cell r="Z523">
            <v>16</v>
          </cell>
          <cell r="AB523">
            <v>21</v>
          </cell>
          <cell r="AC523">
            <v>1272162.6190476192</v>
          </cell>
          <cell r="AD523">
            <v>4070920.3809523811</v>
          </cell>
          <cell r="AE523">
            <v>5343083</v>
          </cell>
          <cell r="AF523">
            <v>0</v>
          </cell>
          <cell r="AG523">
            <v>5343083</v>
          </cell>
          <cell r="AH523" t="b">
            <v>1</v>
          </cell>
          <cell r="AK523">
            <v>5343083</v>
          </cell>
          <cell r="AL523" t="str">
            <v>K1</v>
          </cell>
          <cell r="AM523">
            <v>5343083</v>
          </cell>
          <cell r="AN523">
            <v>0</v>
          </cell>
          <cell r="AQ523">
            <v>0</v>
          </cell>
          <cell r="AR523">
            <v>38000</v>
          </cell>
          <cell r="AS523">
            <v>31700</v>
          </cell>
          <cell r="AV523">
            <v>53430.83</v>
          </cell>
          <cell r="AW523">
            <v>106861.66</v>
          </cell>
          <cell r="AX523">
            <v>53430.83</v>
          </cell>
          <cell r="AY523">
            <v>283423</v>
          </cell>
          <cell r="AZ523">
            <v>5059660</v>
          </cell>
          <cell r="BA523">
            <v>0</v>
          </cell>
          <cell r="BB523">
            <v>283423</v>
          </cell>
          <cell r="BC523">
            <v>5059660</v>
          </cell>
        </row>
        <row r="524">
          <cell r="F524" t="str">
            <v>220321-003</v>
          </cell>
          <cell r="G524" t="str">
            <v>Pembaharuan</v>
          </cell>
          <cell r="H524" t="str">
            <v>Pelaksana</v>
          </cell>
          <cell r="I524" t="str">
            <v>FG &amp; ID PC</v>
          </cell>
          <cell r="J524" t="e">
            <v>#N/A</v>
          </cell>
          <cell r="K524" t="e">
            <v>#N/A</v>
          </cell>
          <cell r="L524">
            <v>44277</v>
          </cell>
          <cell r="M524">
            <v>0</v>
          </cell>
          <cell r="N524">
            <v>2</v>
          </cell>
          <cell r="O524">
            <v>2</v>
          </cell>
          <cell r="Q524">
            <v>5343082</v>
          </cell>
          <cell r="R524">
            <v>4924046</v>
          </cell>
          <cell r="S524">
            <v>5343083</v>
          </cell>
          <cell r="T524">
            <v>0</v>
          </cell>
          <cell r="U524">
            <v>0</v>
          </cell>
          <cell r="V524">
            <v>0</v>
          </cell>
          <cell r="W524">
            <v>5343083</v>
          </cell>
          <cell r="X524">
            <v>5</v>
          </cell>
          <cell r="Z524">
            <v>16</v>
          </cell>
          <cell r="AB524">
            <v>21</v>
          </cell>
          <cell r="AC524">
            <v>1272162.6190476192</v>
          </cell>
          <cell r="AD524">
            <v>4070920.3809523811</v>
          </cell>
          <cell r="AE524">
            <v>5343083</v>
          </cell>
          <cell r="AF524">
            <v>0</v>
          </cell>
          <cell r="AG524">
            <v>5343083</v>
          </cell>
          <cell r="AH524" t="b">
            <v>1</v>
          </cell>
          <cell r="AK524">
            <v>5343083</v>
          </cell>
          <cell r="AL524" t="str">
            <v>K1</v>
          </cell>
          <cell r="AM524">
            <v>5343083</v>
          </cell>
          <cell r="AN524">
            <v>0</v>
          </cell>
          <cell r="AQ524">
            <v>0</v>
          </cell>
          <cell r="AS524">
            <v>31700</v>
          </cell>
          <cell r="AV524">
            <v>53430.83</v>
          </cell>
          <cell r="AW524">
            <v>106861.66</v>
          </cell>
          <cell r="AX524">
            <v>53430.83</v>
          </cell>
          <cell r="AY524">
            <v>245423</v>
          </cell>
          <cell r="AZ524">
            <v>5097660</v>
          </cell>
          <cell r="BA524">
            <v>0</v>
          </cell>
          <cell r="BB524">
            <v>245423</v>
          </cell>
          <cell r="BC524">
            <v>5097660</v>
          </cell>
        </row>
        <row r="525">
          <cell r="F525" t="str">
            <v>290419-001</v>
          </cell>
          <cell r="G525" t="str">
            <v>Kontrak 2</v>
          </cell>
          <cell r="H525" t="str">
            <v>Pelaksana</v>
          </cell>
          <cell r="I525" t="str">
            <v>FG &amp; ID PC</v>
          </cell>
          <cell r="J525">
            <v>43584</v>
          </cell>
          <cell r="K525" t="b">
            <v>1</v>
          </cell>
          <cell r="L525">
            <v>43584</v>
          </cell>
          <cell r="M525">
            <v>2</v>
          </cell>
          <cell r="N525">
            <v>0</v>
          </cell>
          <cell r="O525">
            <v>25</v>
          </cell>
          <cell r="Q525">
            <v>5343082</v>
          </cell>
          <cell r="R525">
            <v>4924046</v>
          </cell>
          <cell r="S525">
            <v>5343083</v>
          </cell>
          <cell r="T525">
            <v>0</v>
          </cell>
          <cell r="U525">
            <v>0</v>
          </cell>
          <cell r="V525">
            <v>0</v>
          </cell>
          <cell r="W525">
            <v>5343083</v>
          </cell>
          <cell r="X525">
            <v>5</v>
          </cell>
          <cell r="Z525">
            <v>16</v>
          </cell>
          <cell r="AB525">
            <v>21</v>
          </cell>
          <cell r="AC525">
            <v>1272162.6190476192</v>
          </cell>
          <cell r="AD525">
            <v>4070920.3809523811</v>
          </cell>
          <cell r="AE525">
            <v>5343083</v>
          </cell>
          <cell r="AF525">
            <v>0</v>
          </cell>
          <cell r="AG525">
            <v>5343083</v>
          </cell>
          <cell r="AH525" t="b">
            <v>1</v>
          </cell>
          <cell r="AK525">
            <v>5343083</v>
          </cell>
          <cell r="AL525" t="str">
            <v>TK</v>
          </cell>
          <cell r="AM525">
            <v>5343083</v>
          </cell>
          <cell r="AN525">
            <v>34354.584590750004</v>
          </cell>
          <cell r="AQ525">
            <v>0</v>
          </cell>
          <cell r="AS525">
            <v>31700</v>
          </cell>
          <cell r="AV525">
            <v>53430.83</v>
          </cell>
          <cell r="AW525">
            <v>106861.66</v>
          </cell>
          <cell r="AX525">
            <v>53430.83</v>
          </cell>
          <cell r="AY525">
            <v>279778</v>
          </cell>
          <cell r="AZ525">
            <v>5063305</v>
          </cell>
          <cell r="BA525">
            <v>34354.584590750004</v>
          </cell>
          <cell r="BB525">
            <v>245423</v>
          </cell>
          <cell r="BC525">
            <v>5097660</v>
          </cell>
        </row>
        <row r="526">
          <cell r="F526" t="str">
            <v>260121-001</v>
          </cell>
          <cell r="G526" t="str">
            <v>Pembaharuan</v>
          </cell>
          <cell r="H526" t="str">
            <v>Pelaksana</v>
          </cell>
          <cell r="I526" t="str">
            <v>FG &amp; ID PC</v>
          </cell>
          <cell r="J526" t="str">
            <v>26 Januari 2021</v>
          </cell>
          <cell r="K526" t="b">
            <v>0</v>
          </cell>
          <cell r="L526">
            <v>44222</v>
          </cell>
          <cell r="M526">
            <v>0</v>
          </cell>
          <cell r="N526">
            <v>3</v>
          </cell>
          <cell r="O526">
            <v>28</v>
          </cell>
          <cell r="Q526">
            <v>5343082</v>
          </cell>
          <cell r="R526">
            <v>4924046</v>
          </cell>
          <cell r="S526">
            <v>5343083</v>
          </cell>
          <cell r="T526">
            <v>0</v>
          </cell>
          <cell r="U526">
            <v>0</v>
          </cell>
          <cell r="V526">
            <v>0</v>
          </cell>
          <cell r="W526">
            <v>5343083</v>
          </cell>
          <cell r="X526">
            <v>5</v>
          </cell>
          <cell r="Z526">
            <v>16</v>
          </cell>
          <cell r="AB526">
            <v>21</v>
          </cell>
          <cell r="AC526">
            <v>1272162.6190476192</v>
          </cell>
          <cell r="AD526">
            <v>4070920.3809523811</v>
          </cell>
          <cell r="AE526">
            <v>5343083</v>
          </cell>
          <cell r="AF526">
            <v>0</v>
          </cell>
          <cell r="AG526">
            <v>5343083</v>
          </cell>
          <cell r="AH526" t="b">
            <v>1</v>
          </cell>
          <cell r="AK526">
            <v>5343083</v>
          </cell>
          <cell r="AL526" t="str">
            <v>TK</v>
          </cell>
          <cell r="AM526">
            <v>5343083</v>
          </cell>
          <cell r="AN526">
            <v>34354.584590750004</v>
          </cell>
          <cell r="AQ526">
            <v>0</v>
          </cell>
          <cell r="AR526">
            <v>38000</v>
          </cell>
          <cell r="AS526">
            <v>31700</v>
          </cell>
          <cell r="AV526">
            <v>53430.83</v>
          </cell>
          <cell r="AW526">
            <v>106861.66</v>
          </cell>
          <cell r="AX526">
            <v>53430.83</v>
          </cell>
          <cell r="AY526">
            <v>317778</v>
          </cell>
          <cell r="AZ526">
            <v>5025305</v>
          </cell>
          <cell r="BA526">
            <v>34354.584590750004</v>
          </cell>
          <cell r="BB526">
            <v>283423</v>
          </cell>
          <cell r="BC526">
            <v>5059660</v>
          </cell>
        </row>
        <row r="527">
          <cell r="F527" t="str">
            <v>120121-002</v>
          </cell>
          <cell r="G527" t="str">
            <v>Pembaharuan</v>
          </cell>
          <cell r="H527" t="str">
            <v>Pelaksana</v>
          </cell>
          <cell r="I527" t="str">
            <v>FG &amp; ID PC</v>
          </cell>
          <cell r="J527" t="str">
            <v>12 Januari 2021</v>
          </cell>
          <cell r="K527" t="b">
            <v>0</v>
          </cell>
          <cell r="L527">
            <v>44208</v>
          </cell>
          <cell r="M527">
            <v>0</v>
          </cell>
          <cell r="N527">
            <v>4</v>
          </cell>
          <cell r="O527">
            <v>12</v>
          </cell>
          <cell r="Q527">
            <v>5343082</v>
          </cell>
          <cell r="R527">
            <v>4924046</v>
          </cell>
          <cell r="S527">
            <v>5343083</v>
          </cell>
          <cell r="T527">
            <v>0</v>
          </cell>
          <cell r="U527">
            <v>0</v>
          </cell>
          <cell r="V527">
            <v>0</v>
          </cell>
          <cell r="W527">
            <v>5343083</v>
          </cell>
          <cell r="X527">
            <v>5</v>
          </cell>
          <cell r="Z527">
            <v>16</v>
          </cell>
          <cell r="AB527">
            <v>21</v>
          </cell>
          <cell r="AC527">
            <v>1272162.6190476192</v>
          </cell>
          <cell r="AD527">
            <v>4070920.3809523811</v>
          </cell>
          <cell r="AE527">
            <v>5343083</v>
          </cell>
          <cell r="AF527">
            <v>0</v>
          </cell>
          <cell r="AG527">
            <v>5343083</v>
          </cell>
          <cell r="AH527" t="b">
            <v>1</v>
          </cell>
          <cell r="AK527">
            <v>5343083</v>
          </cell>
          <cell r="AL527" t="str">
            <v>TK</v>
          </cell>
          <cell r="AM527">
            <v>5343083</v>
          </cell>
          <cell r="AN527">
            <v>34354.584590750004</v>
          </cell>
          <cell r="AQ527">
            <v>0</v>
          </cell>
          <cell r="AS527">
            <v>31700</v>
          </cell>
          <cell r="AU527">
            <v>10000</v>
          </cell>
          <cell r="AV527">
            <v>53430.83</v>
          </cell>
          <cell r="AW527">
            <v>106861.66</v>
          </cell>
          <cell r="AX527">
            <v>53430.83</v>
          </cell>
          <cell r="AY527">
            <v>289778</v>
          </cell>
          <cell r="AZ527">
            <v>5053305</v>
          </cell>
          <cell r="BA527">
            <v>34354.584590750004</v>
          </cell>
          <cell r="BB527">
            <v>255423</v>
          </cell>
          <cell r="BC527">
            <v>5087660</v>
          </cell>
        </row>
        <row r="528">
          <cell r="F528" t="str">
            <v>250920-003</v>
          </cell>
          <cell r="G528" t="str">
            <v>Kontrak 1</v>
          </cell>
          <cell r="H528" t="str">
            <v>Pelaksana</v>
          </cell>
          <cell r="I528" t="str">
            <v>FG &amp; ID PC</v>
          </cell>
          <cell r="J528">
            <v>44099</v>
          </cell>
          <cell r="K528" t="b">
            <v>1</v>
          </cell>
          <cell r="L528">
            <v>44099</v>
          </cell>
          <cell r="M528">
            <v>0</v>
          </cell>
          <cell r="N528">
            <v>7</v>
          </cell>
          <cell r="O528">
            <v>29</v>
          </cell>
          <cell r="Q528">
            <v>5343082</v>
          </cell>
          <cell r="R528">
            <v>4924046</v>
          </cell>
          <cell r="S528">
            <v>5343083</v>
          </cell>
          <cell r="T528">
            <v>0</v>
          </cell>
          <cell r="U528">
            <v>0</v>
          </cell>
          <cell r="V528">
            <v>0</v>
          </cell>
          <cell r="W528">
            <v>5343083</v>
          </cell>
          <cell r="X528">
            <v>5</v>
          </cell>
          <cell r="Z528">
            <v>16</v>
          </cell>
          <cell r="AB528">
            <v>21</v>
          </cell>
          <cell r="AC528">
            <v>1272162.6190476192</v>
          </cell>
          <cell r="AD528">
            <v>4070920.3809523811</v>
          </cell>
          <cell r="AE528">
            <v>5343083</v>
          </cell>
          <cell r="AF528">
            <v>0</v>
          </cell>
          <cell r="AG528">
            <v>5343083</v>
          </cell>
          <cell r="AH528" t="b">
            <v>1</v>
          </cell>
          <cell r="AK528">
            <v>5343083</v>
          </cell>
          <cell r="AL528" t="str">
            <v>K2</v>
          </cell>
          <cell r="AM528">
            <v>5088650</v>
          </cell>
          <cell r="AN528">
            <v>0</v>
          </cell>
          <cell r="AP528">
            <v>1</v>
          </cell>
          <cell r="AQ528">
            <v>254433</v>
          </cell>
          <cell r="AS528">
            <v>31700</v>
          </cell>
          <cell r="AV528">
            <v>53430.83</v>
          </cell>
          <cell r="AW528">
            <v>106861.66</v>
          </cell>
          <cell r="AX528">
            <v>53430.83</v>
          </cell>
          <cell r="AY528">
            <v>499856</v>
          </cell>
          <cell r="AZ528">
            <v>4843227</v>
          </cell>
          <cell r="BA528">
            <v>0</v>
          </cell>
          <cell r="BB528">
            <v>499856</v>
          </cell>
          <cell r="BC528">
            <v>4843227</v>
          </cell>
        </row>
        <row r="530">
          <cell r="F530" t="str">
            <v>180121-007</v>
          </cell>
          <cell r="G530" t="str">
            <v>Pembaharuan</v>
          </cell>
          <cell r="H530" t="str">
            <v>Pelaksana</v>
          </cell>
          <cell r="I530" t="str">
            <v>FG &amp; ID PC</v>
          </cell>
          <cell r="J530" t="str">
            <v>18 Januari 2021</v>
          </cell>
          <cell r="K530" t="b">
            <v>0</v>
          </cell>
          <cell r="L530">
            <v>44214</v>
          </cell>
          <cell r="M530">
            <v>0</v>
          </cell>
          <cell r="N530">
            <v>4</v>
          </cell>
          <cell r="O530">
            <v>6</v>
          </cell>
          <cell r="Q530">
            <v>5343082</v>
          </cell>
          <cell r="R530">
            <v>4924046</v>
          </cell>
          <cell r="S530">
            <v>5343083</v>
          </cell>
          <cell r="T530">
            <v>0</v>
          </cell>
          <cell r="U530">
            <v>0</v>
          </cell>
          <cell r="V530">
            <v>0</v>
          </cell>
          <cell r="W530">
            <v>5343083</v>
          </cell>
          <cell r="X530">
            <v>5</v>
          </cell>
          <cell r="Z530">
            <v>16</v>
          </cell>
          <cell r="AB530">
            <v>21</v>
          </cell>
          <cell r="AC530">
            <v>1272162.6190476192</v>
          </cell>
          <cell r="AD530">
            <v>4070920.3809523811</v>
          </cell>
          <cell r="AE530">
            <v>5343083</v>
          </cell>
          <cell r="AF530">
            <v>0</v>
          </cell>
          <cell r="AG530">
            <v>5343083</v>
          </cell>
          <cell r="AH530" t="b">
            <v>1</v>
          </cell>
          <cell r="AK530">
            <v>5343083</v>
          </cell>
          <cell r="AL530" t="str">
            <v>TK</v>
          </cell>
          <cell r="AM530">
            <v>5343083</v>
          </cell>
          <cell r="AN530">
            <v>34354.584590750004</v>
          </cell>
          <cell r="AQ530">
            <v>0</v>
          </cell>
          <cell r="AR530">
            <v>38000</v>
          </cell>
          <cell r="AS530">
            <v>31700</v>
          </cell>
          <cell r="AU530">
            <v>10000</v>
          </cell>
          <cell r="AV530">
            <v>53430.83</v>
          </cell>
          <cell r="AW530">
            <v>106861.66</v>
          </cell>
          <cell r="AX530">
            <v>53430.83</v>
          </cell>
          <cell r="AY530">
            <v>327778</v>
          </cell>
          <cell r="AZ530">
            <v>5015305</v>
          </cell>
          <cell r="BA530">
            <v>34354.584590750004</v>
          </cell>
          <cell r="BB530">
            <v>293423</v>
          </cell>
          <cell r="BC530">
            <v>5049660</v>
          </cell>
        </row>
        <row r="531">
          <cell r="F531" t="str">
            <v>140119-011</v>
          </cell>
          <cell r="G531" t="str">
            <v>Kontrak 2</v>
          </cell>
          <cell r="H531" t="str">
            <v>Pelaksana</v>
          </cell>
          <cell r="I531" t="str">
            <v>FG &amp; ID PC</v>
          </cell>
          <cell r="J531">
            <v>43479</v>
          </cell>
          <cell r="K531" t="b">
            <v>1</v>
          </cell>
          <cell r="L531">
            <v>43479</v>
          </cell>
          <cell r="M531">
            <v>2</v>
          </cell>
          <cell r="N531">
            <v>4</v>
          </cell>
          <cell r="O531">
            <v>10</v>
          </cell>
          <cell r="Q531">
            <v>5343082</v>
          </cell>
          <cell r="R531">
            <v>4924046</v>
          </cell>
          <cell r="S531">
            <v>5343083</v>
          </cell>
          <cell r="T531">
            <v>0</v>
          </cell>
          <cell r="U531">
            <v>0</v>
          </cell>
          <cell r="V531">
            <v>0</v>
          </cell>
          <cell r="W531">
            <v>5343083</v>
          </cell>
          <cell r="X531">
            <v>5</v>
          </cell>
          <cell r="Z531">
            <v>16</v>
          </cell>
          <cell r="AB531">
            <v>21</v>
          </cell>
          <cell r="AC531">
            <v>1272162.6190476192</v>
          </cell>
          <cell r="AD531">
            <v>4070920.3809523811</v>
          </cell>
          <cell r="AE531">
            <v>5343083</v>
          </cell>
          <cell r="AF531">
            <v>0</v>
          </cell>
          <cell r="AG531">
            <v>5343083</v>
          </cell>
          <cell r="AH531" t="b">
            <v>1</v>
          </cell>
          <cell r="AK531">
            <v>5343083</v>
          </cell>
          <cell r="AL531" t="str">
            <v>TK</v>
          </cell>
          <cell r="AM531">
            <v>5343083</v>
          </cell>
          <cell r="AN531">
            <v>34354.584590750004</v>
          </cell>
          <cell r="AQ531">
            <v>0</v>
          </cell>
          <cell r="AR531">
            <v>38000</v>
          </cell>
          <cell r="AS531">
            <v>31700</v>
          </cell>
          <cell r="AV531">
            <v>53430.83</v>
          </cell>
          <cell r="AW531">
            <v>106861.66</v>
          </cell>
          <cell r="AX531">
            <v>53430.83</v>
          </cell>
          <cell r="AY531">
            <v>317778</v>
          </cell>
          <cell r="AZ531">
            <v>5025305</v>
          </cell>
          <cell r="BA531">
            <v>34354.584590750004</v>
          </cell>
          <cell r="BB531">
            <v>283423</v>
          </cell>
          <cell r="BC531">
            <v>5059660</v>
          </cell>
        </row>
        <row r="532">
          <cell r="F532" t="str">
            <v>260121-002</v>
          </cell>
          <cell r="G532" t="str">
            <v>Pembaharuan</v>
          </cell>
          <cell r="H532" t="str">
            <v>Pelaksana</v>
          </cell>
          <cell r="I532" t="str">
            <v>FG &amp; ID PC</v>
          </cell>
          <cell r="J532" t="str">
            <v>26 Januari 2021</v>
          </cell>
          <cell r="K532" t="b">
            <v>0</v>
          </cell>
          <cell r="L532">
            <v>44222</v>
          </cell>
          <cell r="M532">
            <v>0</v>
          </cell>
          <cell r="N532">
            <v>3</v>
          </cell>
          <cell r="O532">
            <v>28</v>
          </cell>
          <cell r="Q532">
            <v>5343082</v>
          </cell>
          <cell r="R532">
            <v>4924046</v>
          </cell>
          <cell r="S532">
            <v>5343083</v>
          </cell>
          <cell r="T532">
            <v>0</v>
          </cell>
          <cell r="U532">
            <v>0</v>
          </cell>
          <cell r="V532">
            <v>0</v>
          </cell>
          <cell r="W532">
            <v>5343083</v>
          </cell>
          <cell r="X532">
            <v>5</v>
          </cell>
          <cell r="Z532">
            <v>16</v>
          </cell>
          <cell r="AB532">
            <v>21</v>
          </cell>
          <cell r="AC532">
            <v>1272162.6190476192</v>
          </cell>
          <cell r="AD532">
            <v>4070920.3809523811</v>
          </cell>
          <cell r="AE532">
            <v>5343083</v>
          </cell>
          <cell r="AF532">
            <v>0</v>
          </cell>
          <cell r="AG532">
            <v>5343083</v>
          </cell>
          <cell r="AH532" t="b">
            <v>1</v>
          </cell>
          <cell r="AK532">
            <v>5343083</v>
          </cell>
          <cell r="AL532" t="str">
            <v>K1</v>
          </cell>
          <cell r="AM532">
            <v>5343083</v>
          </cell>
          <cell r="AN532">
            <v>0</v>
          </cell>
          <cell r="AQ532">
            <v>0</v>
          </cell>
          <cell r="AR532">
            <v>38000</v>
          </cell>
          <cell r="AS532">
            <v>31700</v>
          </cell>
          <cell r="AU532">
            <v>10000</v>
          </cell>
          <cell r="AV532">
            <v>53430.83</v>
          </cell>
          <cell r="AW532">
            <v>106861.66</v>
          </cell>
          <cell r="AX532">
            <v>53430.83</v>
          </cell>
          <cell r="AY532">
            <v>293423</v>
          </cell>
          <cell r="AZ532">
            <v>5049660</v>
          </cell>
          <cell r="BA532">
            <v>0</v>
          </cell>
          <cell r="BB532">
            <v>293423</v>
          </cell>
          <cell r="BC532">
            <v>5049660</v>
          </cell>
        </row>
        <row r="533">
          <cell r="F533" t="str">
            <v>030221-001</v>
          </cell>
          <cell r="G533" t="str">
            <v>Pembaharuan</v>
          </cell>
          <cell r="H533" t="str">
            <v>Pelaksana</v>
          </cell>
          <cell r="I533" t="str">
            <v>FG &amp; ID PC</v>
          </cell>
          <cell r="J533" t="str">
            <v>03 Februari 2021</v>
          </cell>
          <cell r="K533" t="b">
            <v>0</v>
          </cell>
          <cell r="L533">
            <v>44230</v>
          </cell>
          <cell r="M533">
            <v>0</v>
          </cell>
          <cell r="N533">
            <v>3</v>
          </cell>
          <cell r="O533">
            <v>21</v>
          </cell>
          <cell r="Q533">
            <v>5343082</v>
          </cell>
          <cell r="R533">
            <v>4924046</v>
          </cell>
          <cell r="S533">
            <v>5343083</v>
          </cell>
          <cell r="T533">
            <v>0</v>
          </cell>
          <cell r="U533">
            <v>0</v>
          </cell>
          <cell r="V533">
            <v>0</v>
          </cell>
          <cell r="W533">
            <v>5343083</v>
          </cell>
          <cell r="X533">
            <v>5</v>
          </cell>
          <cell r="Z533">
            <v>16</v>
          </cell>
          <cell r="AB533">
            <v>21</v>
          </cell>
          <cell r="AC533">
            <v>1272162.6190476192</v>
          </cell>
          <cell r="AD533">
            <v>4070920.3809523811</v>
          </cell>
          <cell r="AE533">
            <v>5343083</v>
          </cell>
          <cell r="AF533">
            <v>0</v>
          </cell>
          <cell r="AG533">
            <v>5343083</v>
          </cell>
          <cell r="AH533" t="b">
            <v>1</v>
          </cell>
          <cell r="AK533">
            <v>5343083</v>
          </cell>
          <cell r="AL533" t="str">
            <v>K0</v>
          </cell>
          <cell r="AM533">
            <v>5343083</v>
          </cell>
          <cell r="AN533">
            <v>15604.584590750002</v>
          </cell>
          <cell r="AQ533">
            <v>0</v>
          </cell>
          <cell r="AS533">
            <v>31700</v>
          </cell>
          <cell r="AV533">
            <v>53430.83</v>
          </cell>
          <cell r="AW533">
            <v>106861.66</v>
          </cell>
          <cell r="AX533">
            <v>53430.83</v>
          </cell>
          <cell r="AY533">
            <v>261028</v>
          </cell>
          <cell r="AZ533">
            <v>5082055</v>
          </cell>
          <cell r="BA533">
            <v>15604.584590750002</v>
          </cell>
          <cell r="BB533">
            <v>245423</v>
          </cell>
          <cell r="BC533">
            <v>5097660</v>
          </cell>
        </row>
        <row r="534">
          <cell r="F534" t="str">
            <v>040814-425</v>
          </cell>
          <cell r="G534" t="str">
            <v>Tetap</v>
          </cell>
          <cell r="H534" t="str">
            <v>Leader</v>
          </cell>
          <cell r="I534" t="str">
            <v>FG &amp; ID PC</v>
          </cell>
          <cell r="J534">
            <v>41855</v>
          </cell>
          <cell r="K534" t="b">
            <v>1</v>
          </cell>
          <cell r="L534">
            <v>41855</v>
          </cell>
          <cell r="M534">
            <v>6</v>
          </cell>
          <cell r="N534">
            <v>9</v>
          </cell>
          <cell r="O534">
            <v>20</v>
          </cell>
          <cell r="Q534">
            <v>5343082</v>
          </cell>
          <cell r="R534">
            <v>4924046</v>
          </cell>
          <cell r="S534">
            <v>5343083</v>
          </cell>
          <cell r="T534">
            <v>500000</v>
          </cell>
          <cell r="U534">
            <v>0</v>
          </cell>
          <cell r="V534">
            <v>0</v>
          </cell>
          <cell r="W534">
            <v>5843083</v>
          </cell>
          <cell r="X534">
            <v>5</v>
          </cell>
          <cell r="Z534">
            <v>16</v>
          </cell>
          <cell r="AB534">
            <v>21</v>
          </cell>
          <cell r="AC534">
            <v>1391210.2380952381</v>
          </cell>
          <cell r="AD534">
            <v>4451872.7619047621</v>
          </cell>
          <cell r="AE534">
            <v>5843083</v>
          </cell>
          <cell r="AF534">
            <v>0</v>
          </cell>
          <cell r="AG534">
            <v>5843083</v>
          </cell>
          <cell r="AH534" t="b">
            <v>1</v>
          </cell>
          <cell r="AK534">
            <v>5843083</v>
          </cell>
          <cell r="AL534" t="str">
            <v>K3</v>
          </cell>
          <cell r="AM534">
            <v>5843083</v>
          </cell>
          <cell r="AN534">
            <v>0</v>
          </cell>
          <cell r="AQ534">
            <v>0</v>
          </cell>
          <cell r="AR534">
            <v>38000</v>
          </cell>
          <cell r="AT534">
            <v>2591500</v>
          </cell>
          <cell r="AU534">
            <v>10000</v>
          </cell>
          <cell r="AV534">
            <v>58430.83</v>
          </cell>
          <cell r="AW534">
            <v>116861.66</v>
          </cell>
          <cell r="AX534">
            <v>58430.83</v>
          </cell>
          <cell r="AY534">
            <v>2873223</v>
          </cell>
          <cell r="AZ534">
            <v>2969860</v>
          </cell>
          <cell r="BA534">
            <v>0</v>
          </cell>
          <cell r="BB534">
            <v>2873223</v>
          </cell>
          <cell r="BC534">
            <v>2969860</v>
          </cell>
        </row>
        <row r="535">
          <cell r="F535" t="str">
            <v>140119-006</v>
          </cell>
          <cell r="G535" t="str">
            <v>Kontrak 2</v>
          </cell>
          <cell r="H535" t="str">
            <v>Pelaksana</v>
          </cell>
          <cell r="I535" t="str">
            <v>FG &amp; ID PC</v>
          </cell>
          <cell r="J535">
            <v>43479</v>
          </cell>
          <cell r="K535" t="b">
            <v>1</v>
          </cell>
          <cell r="L535">
            <v>43479</v>
          </cell>
          <cell r="M535">
            <v>2</v>
          </cell>
          <cell r="N535">
            <v>4</v>
          </cell>
          <cell r="O535">
            <v>10</v>
          </cell>
          <cell r="Q535">
            <v>5343082</v>
          </cell>
          <cell r="R535">
            <v>4924046</v>
          </cell>
          <cell r="S535">
            <v>5343083</v>
          </cell>
          <cell r="T535">
            <v>0</v>
          </cell>
          <cell r="U535">
            <v>0</v>
          </cell>
          <cell r="V535">
            <v>0</v>
          </cell>
          <cell r="W535">
            <v>5343083</v>
          </cell>
          <cell r="X535">
            <v>5</v>
          </cell>
          <cell r="Z535">
            <v>16</v>
          </cell>
          <cell r="AB535">
            <v>21</v>
          </cell>
          <cell r="AC535">
            <v>1272162.6190476192</v>
          </cell>
          <cell r="AD535">
            <v>4070920.3809523811</v>
          </cell>
          <cell r="AE535">
            <v>5343083</v>
          </cell>
          <cell r="AF535">
            <v>0</v>
          </cell>
          <cell r="AG535">
            <v>5343083</v>
          </cell>
          <cell r="AH535" t="b">
            <v>1</v>
          </cell>
          <cell r="AK535">
            <v>5343083</v>
          </cell>
          <cell r="AL535" t="str">
            <v>TK</v>
          </cell>
          <cell r="AM535">
            <v>5343083</v>
          </cell>
          <cell r="AN535">
            <v>34354.584590750004</v>
          </cell>
          <cell r="AQ535">
            <v>0</v>
          </cell>
          <cell r="AR535">
            <v>38000</v>
          </cell>
          <cell r="AS535">
            <v>31700</v>
          </cell>
          <cell r="AV535">
            <v>53430.83</v>
          </cell>
          <cell r="AW535">
            <v>106861.66</v>
          </cell>
          <cell r="AX535">
            <v>53430.83</v>
          </cell>
          <cell r="AY535">
            <v>317778</v>
          </cell>
          <cell r="AZ535">
            <v>5025305</v>
          </cell>
          <cell r="BA535">
            <v>34354.584590750004</v>
          </cell>
          <cell r="BB535">
            <v>283423</v>
          </cell>
          <cell r="BC535">
            <v>5059660</v>
          </cell>
        </row>
        <row r="536">
          <cell r="F536" t="str">
            <v>140119-009</v>
          </cell>
          <cell r="G536" t="str">
            <v>Kontrak 2</v>
          </cell>
          <cell r="H536" t="str">
            <v>Pelaksana</v>
          </cell>
          <cell r="I536" t="str">
            <v>FG &amp; ID PC</v>
          </cell>
          <cell r="J536">
            <v>43479</v>
          </cell>
          <cell r="K536" t="b">
            <v>1</v>
          </cell>
          <cell r="L536">
            <v>43479</v>
          </cell>
          <cell r="M536">
            <v>2</v>
          </cell>
          <cell r="N536">
            <v>4</v>
          </cell>
          <cell r="O536">
            <v>10</v>
          </cell>
          <cell r="Q536">
            <v>5343082</v>
          </cell>
          <cell r="R536">
            <v>4924046</v>
          </cell>
          <cell r="S536">
            <v>5343083</v>
          </cell>
          <cell r="T536">
            <v>0</v>
          </cell>
          <cell r="U536">
            <v>0</v>
          </cell>
          <cell r="V536">
            <v>0</v>
          </cell>
          <cell r="W536">
            <v>5343083</v>
          </cell>
          <cell r="X536">
            <v>5</v>
          </cell>
          <cell r="Z536">
            <v>16</v>
          </cell>
          <cell r="AB536">
            <v>21</v>
          </cell>
          <cell r="AC536">
            <v>1272162.6190476192</v>
          </cell>
          <cell r="AD536">
            <v>4070920.3809523811</v>
          </cell>
          <cell r="AE536">
            <v>5343083</v>
          </cell>
          <cell r="AF536">
            <v>0</v>
          </cell>
          <cell r="AG536">
            <v>5343083</v>
          </cell>
          <cell r="AH536" t="b">
            <v>1</v>
          </cell>
          <cell r="AK536">
            <v>5343083</v>
          </cell>
          <cell r="AL536" t="str">
            <v>K2</v>
          </cell>
          <cell r="AM536">
            <v>5343083</v>
          </cell>
          <cell r="AN536">
            <v>0</v>
          </cell>
          <cell r="AQ536">
            <v>0</v>
          </cell>
          <cell r="AR536">
            <v>38000</v>
          </cell>
          <cell r="AS536">
            <v>31700</v>
          </cell>
          <cell r="AV536">
            <v>53430.83</v>
          </cell>
          <cell r="AW536">
            <v>106861.66</v>
          </cell>
          <cell r="AX536">
            <v>53430.83</v>
          </cell>
          <cell r="AY536">
            <v>283423</v>
          </cell>
          <cell r="AZ536">
            <v>5059660</v>
          </cell>
          <cell r="BA536">
            <v>0</v>
          </cell>
          <cell r="BB536">
            <v>283423</v>
          </cell>
          <cell r="BC536">
            <v>5059660</v>
          </cell>
        </row>
        <row r="537">
          <cell r="F537" t="str">
            <v>140119-008</v>
          </cell>
          <cell r="G537" t="str">
            <v>Kontrak 2</v>
          </cell>
          <cell r="H537" t="str">
            <v>Pelaksana</v>
          </cell>
          <cell r="I537" t="str">
            <v>FG &amp; ID PC</v>
          </cell>
          <cell r="J537">
            <v>43479</v>
          </cell>
          <cell r="K537" t="b">
            <v>1</v>
          </cell>
          <cell r="L537">
            <v>43479</v>
          </cell>
          <cell r="M537">
            <v>2</v>
          </cell>
          <cell r="N537">
            <v>4</v>
          </cell>
          <cell r="O537">
            <v>10</v>
          </cell>
          <cell r="Q537">
            <v>5343082</v>
          </cell>
          <cell r="R537">
            <v>4924046</v>
          </cell>
          <cell r="S537">
            <v>5343083</v>
          </cell>
          <cell r="T537">
            <v>0</v>
          </cell>
          <cell r="U537">
            <v>0</v>
          </cell>
          <cell r="V537">
            <v>0</v>
          </cell>
          <cell r="W537">
            <v>5343083</v>
          </cell>
          <cell r="X537">
            <v>5</v>
          </cell>
          <cell r="Z537">
            <v>16</v>
          </cell>
          <cell r="AB537">
            <v>21</v>
          </cell>
          <cell r="AC537">
            <v>1272162.6190476192</v>
          </cell>
          <cell r="AD537">
            <v>4070920.3809523811</v>
          </cell>
          <cell r="AE537">
            <v>5343083</v>
          </cell>
          <cell r="AF537">
            <v>0</v>
          </cell>
          <cell r="AG537">
            <v>5343083</v>
          </cell>
          <cell r="AH537" t="b">
            <v>1</v>
          </cell>
          <cell r="AK537">
            <v>5343083</v>
          </cell>
          <cell r="AL537" t="str">
            <v>K1</v>
          </cell>
          <cell r="AM537">
            <v>5343083</v>
          </cell>
          <cell r="AN537">
            <v>0</v>
          </cell>
          <cell r="AQ537">
            <v>0</v>
          </cell>
          <cell r="AR537">
            <v>38000</v>
          </cell>
          <cell r="AS537">
            <v>31700</v>
          </cell>
          <cell r="AV537">
            <v>53430.83</v>
          </cell>
          <cell r="AW537">
            <v>106861.66</v>
          </cell>
          <cell r="AX537">
            <v>53430.83</v>
          </cell>
          <cell r="AY537">
            <v>283423</v>
          </cell>
          <cell r="AZ537">
            <v>5059660</v>
          </cell>
          <cell r="BA537">
            <v>0</v>
          </cell>
          <cell r="BB537">
            <v>283423</v>
          </cell>
          <cell r="BC537">
            <v>5059660</v>
          </cell>
        </row>
        <row r="538">
          <cell r="F538" t="str">
            <v>290321-010</v>
          </cell>
          <cell r="G538" t="str">
            <v>Pembaharuan</v>
          </cell>
          <cell r="H538" t="str">
            <v>Pelaksana</v>
          </cell>
          <cell r="I538" t="str">
            <v>FG &amp; ID PC</v>
          </cell>
          <cell r="J538" t="e">
            <v>#N/A</v>
          </cell>
          <cell r="K538" t="e">
            <v>#N/A</v>
          </cell>
          <cell r="L538">
            <v>44284</v>
          </cell>
          <cell r="M538">
            <v>0</v>
          </cell>
          <cell r="N538">
            <v>1</v>
          </cell>
          <cell r="O538">
            <v>25</v>
          </cell>
          <cell r="Q538">
            <v>5343082</v>
          </cell>
          <cell r="R538">
            <v>4924046</v>
          </cell>
          <cell r="S538">
            <v>5343083</v>
          </cell>
          <cell r="T538">
            <v>0</v>
          </cell>
          <cell r="U538">
            <v>0</v>
          </cell>
          <cell r="V538">
            <v>0</v>
          </cell>
          <cell r="W538">
            <v>5343083</v>
          </cell>
          <cell r="X538">
            <v>5</v>
          </cell>
          <cell r="Z538">
            <v>16</v>
          </cell>
          <cell r="AB538">
            <v>21</v>
          </cell>
          <cell r="AC538">
            <v>1272162.6190476192</v>
          </cell>
          <cell r="AD538">
            <v>4070920.3809523811</v>
          </cell>
          <cell r="AE538">
            <v>5343083</v>
          </cell>
          <cell r="AF538">
            <v>0</v>
          </cell>
          <cell r="AG538">
            <v>5343083</v>
          </cell>
          <cell r="AH538" t="b">
            <v>1</v>
          </cell>
          <cell r="AK538">
            <v>5343083</v>
          </cell>
          <cell r="AL538" t="str">
            <v>K1</v>
          </cell>
          <cell r="AM538">
            <v>5343083</v>
          </cell>
          <cell r="AN538">
            <v>0</v>
          </cell>
          <cell r="AQ538">
            <v>0</v>
          </cell>
          <cell r="AR538">
            <v>38000</v>
          </cell>
          <cell r="AS538">
            <v>31700</v>
          </cell>
          <cell r="AU538">
            <v>10000</v>
          </cell>
          <cell r="AV538">
            <v>53430.83</v>
          </cell>
          <cell r="AW538">
            <v>106861.66</v>
          </cell>
          <cell r="AX538">
            <v>53430.83</v>
          </cell>
          <cell r="AY538">
            <v>293423</v>
          </cell>
          <cell r="AZ538">
            <v>5049660</v>
          </cell>
          <cell r="BA538">
            <v>0</v>
          </cell>
          <cell r="BB538">
            <v>293423</v>
          </cell>
          <cell r="BC538">
            <v>5049660</v>
          </cell>
        </row>
        <row r="539">
          <cell r="F539" t="str">
            <v>120421-002</v>
          </cell>
          <cell r="G539" t="str">
            <v>Pembaharuan</v>
          </cell>
          <cell r="H539" t="str">
            <v>Leader</v>
          </cell>
          <cell r="I539" t="str">
            <v>FG &amp; ID PC</v>
          </cell>
          <cell r="J539" t="e">
            <v>#N/A</v>
          </cell>
          <cell r="K539" t="e">
            <v>#N/A</v>
          </cell>
          <cell r="L539">
            <v>44298</v>
          </cell>
          <cell r="M539">
            <v>0</v>
          </cell>
          <cell r="N539">
            <v>1</v>
          </cell>
          <cell r="O539">
            <v>12</v>
          </cell>
          <cell r="Q539">
            <v>5343082</v>
          </cell>
          <cell r="R539">
            <v>4924046</v>
          </cell>
          <cell r="S539">
            <v>5343083</v>
          </cell>
          <cell r="T539">
            <v>300000</v>
          </cell>
          <cell r="U539">
            <v>0</v>
          </cell>
          <cell r="V539">
            <v>0</v>
          </cell>
          <cell r="W539">
            <v>5643083</v>
          </cell>
          <cell r="X539">
            <v>5</v>
          </cell>
          <cell r="Z539">
            <v>16</v>
          </cell>
          <cell r="AB539">
            <v>21</v>
          </cell>
          <cell r="AC539">
            <v>1343591.1904761905</v>
          </cell>
          <cell r="AD539">
            <v>4299491.8095238097</v>
          </cell>
          <cell r="AE539">
            <v>5643083</v>
          </cell>
          <cell r="AF539">
            <v>0</v>
          </cell>
          <cell r="AG539">
            <v>5643083</v>
          </cell>
          <cell r="AH539" t="b">
            <v>1</v>
          </cell>
          <cell r="AK539">
            <v>5643083</v>
          </cell>
          <cell r="AL539" t="str">
            <v>K0</v>
          </cell>
          <cell r="AM539">
            <v>5643083</v>
          </cell>
          <cell r="AN539">
            <v>30166.659590749972</v>
          </cell>
          <cell r="AQ539">
            <v>0</v>
          </cell>
          <cell r="AS539">
            <v>31700</v>
          </cell>
          <cell r="AV539">
            <v>56430.83</v>
          </cell>
          <cell r="AW539">
            <v>112861.66</v>
          </cell>
          <cell r="AX539">
            <v>56430.83</v>
          </cell>
          <cell r="AY539">
            <v>287590</v>
          </cell>
          <cell r="AZ539">
            <v>5355493</v>
          </cell>
          <cell r="BA539">
            <v>30166.659590749972</v>
          </cell>
          <cell r="BB539">
            <v>257423</v>
          </cell>
          <cell r="BC539">
            <v>5385660</v>
          </cell>
        </row>
        <row r="540">
          <cell r="F540" t="str">
            <v>260919-002</v>
          </cell>
          <cell r="G540" t="str">
            <v>Kontrak 2</v>
          </cell>
          <cell r="H540" t="str">
            <v>Pelaksana</v>
          </cell>
          <cell r="I540" t="str">
            <v>FG &amp; ID PC</v>
          </cell>
          <cell r="J540">
            <v>43734</v>
          </cell>
          <cell r="K540" t="b">
            <v>1</v>
          </cell>
          <cell r="L540">
            <v>43734</v>
          </cell>
          <cell r="M540">
            <v>1</v>
          </cell>
          <cell r="N540">
            <v>7</v>
          </cell>
          <cell r="O540">
            <v>28</v>
          </cell>
          <cell r="Q540">
            <v>5343082</v>
          </cell>
          <cell r="R540">
            <v>4924046</v>
          </cell>
          <cell r="S540">
            <v>5343083</v>
          </cell>
          <cell r="T540">
            <v>0</v>
          </cell>
          <cell r="U540">
            <v>0</v>
          </cell>
          <cell r="V540">
            <v>0</v>
          </cell>
          <cell r="W540">
            <v>5343083</v>
          </cell>
          <cell r="X540">
            <v>5</v>
          </cell>
          <cell r="Z540">
            <v>16</v>
          </cell>
          <cell r="AB540">
            <v>21</v>
          </cell>
          <cell r="AC540">
            <v>1272162.6190476192</v>
          </cell>
          <cell r="AD540">
            <v>4070920.3809523811</v>
          </cell>
          <cell r="AE540">
            <v>5343083</v>
          </cell>
          <cell r="AF540">
            <v>0</v>
          </cell>
          <cell r="AG540">
            <v>5343083</v>
          </cell>
          <cell r="AH540" t="b">
            <v>1</v>
          </cell>
          <cell r="AK540">
            <v>5343083</v>
          </cell>
          <cell r="AL540" t="str">
            <v>K2</v>
          </cell>
          <cell r="AM540">
            <v>5343083</v>
          </cell>
          <cell r="AN540">
            <v>0</v>
          </cell>
          <cell r="AQ540">
            <v>0</v>
          </cell>
          <cell r="AS540">
            <v>31700</v>
          </cell>
          <cell r="AV540">
            <v>53430.83</v>
          </cell>
          <cell r="AW540">
            <v>106861.66</v>
          </cell>
          <cell r="AX540">
            <v>53430.83</v>
          </cell>
          <cell r="AY540">
            <v>245423</v>
          </cell>
          <cell r="AZ540">
            <v>5097660</v>
          </cell>
          <cell r="BA540">
            <v>0</v>
          </cell>
          <cell r="BB540">
            <v>245423</v>
          </cell>
          <cell r="BC540">
            <v>5097660</v>
          </cell>
        </row>
        <row r="541">
          <cell r="F541" t="str">
            <v>270219-001</v>
          </cell>
          <cell r="G541" t="str">
            <v>Kontrak 2</v>
          </cell>
          <cell r="H541" t="str">
            <v>Pelaksana</v>
          </cell>
          <cell r="I541" t="str">
            <v>FG &amp; ID PC</v>
          </cell>
          <cell r="J541" t="str">
            <v>27 Februari 2019</v>
          </cell>
          <cell r="K541" t="b">
            <v>0</v>
          </cell>
          <cell r="L541">
            <v>43523</v>
          </cell>
          <cell r="M541">
            <v>2</v>
          </cell>
          <cell r="N541">
            <v>2</v>
          </cell>
          <cell r="O541">
            <v>27</v>
          </cell>
          <cell r="Q541">
            <v>5343082</v>
          </cell>
          <cell r="R541">
            <v>4924046</v>
          </cell>
          <cell r="S541">
            <v>5343083</v>
          </cell>
          <cell r="T541">
            <v>0</v>
          </cell>
          <cell r="U541">
            <v>0</v>
          </cell>
          <cell r="V541">
            <v>0</v>
          </cell>
          <cell r="W541">
            <v>5343083</v>
          </cell>
          <cell r="X541">
            <v>5</v>
          </cell>
          <cell r="Z541">
            <v>16</v>
          </cell>
          <cell r="AB541">
            <v>21</v>
          </cell>
          <cell r="AC541">
            <v>1272162.6190476192</v>
          </cell>
          <cell r="AD541">
            <v>4070920.3809523811</v>
          </cell>
          <cell r="AE541">
            <v>5343083</v>
          </cell>
          <cell r="AF541">
            <v>0</v>
          </cell>
          <cell r="AG541">
            <v>5343083</v>
          </cell>
          <cell r="AH541" t="b">
            <v>1</v>
          </cell>
          <cell r="AK541">
            <v>5343083</v>
          </cell>
          <cell r="AL541" t="str">
            <v>TK</v>
          </cell>
          <cell r="AM541">
            <v>5343083</v>
          </cell>
          <cell r="AN541">
            <v>34354.584590750004</v>
          </cell>
          <cell r="AQ541">
            <v>0</v>
          </cell>
          <cell r="AR541">
            <v>38000</v>
          </cell>
          <cell r="AS541">
            <v>31700</v>
          </cell>
          <cell r="AV541">
            <v>53430.83</v>
          </cell>
          <cell r="AW541">
            <v>106861.66</v>
          </cell>
          <cell r="AX541">
            <v>53430.83</v>
          </cell>
          <cell r="AY541">
            <v>317778</v>
          </cell>
          <cell r="AZ541">
            <v>5025305</v>
          </cell>
          <cell r="BA541">
            <v>34354.584590750004</v>
          </cell>
          <cell r="BB541">
            <v>283423</v>
          </cell>
          <cell r="BC541">
            <v>5059660</v>
          </cell>
        </row>
        <row r="542">
          <cell r="F542" t="str">
            <v>270121-006</v>
          </cell>
          <cell r="G542" t="str">
            <v>Pembaharuan</v>
          </cell>
          <cell r="H542" t="str">
            <v>Pelaksana</v>
          </cell>
          <cell r="I542" t="str">
            <v>FG &amp; ID PC</v>
          </cell>
          <cell r="J542" t="str">
            <v>27 Januari 2021</v>
          </cell>
          <cell r="K542" t="b">
            <v>0</v>
          </cell>
          <cell r="L542">
            <v>44223</v>
          </cell>
          <cell r="M542">
            <v>0</v>
          </cell>
          <cell r="N542">
            <v>3</v>
          </cell>
          <cell r="O542">
            <v>27</v>
          </cell>
          <cell r="Q542">
            <v>5343082</v>
          </cell>
          <cell r="R542">
            <v>4924046</v>
          </cell>
          <cell r="S542">
            <v>5343083</v>
          </cell>
          <cell r="T542">
            <v>0</v>
          </cell>
          <cell r="U542">
            <v>0</v>
          </cell>
          <cell r="V542">
            <v>0</v>
          </cell>
          <cell r="W542">
            <v>5343083</v>
          </cell>
          <cell r="X542">
            <v>5</v>
          </cell>
          <cell r="Z542">
            <v>16</v>
          </cell>
          <cell r="AB542">
            <v>21</v>
          </cell>
          <cell r="AC542">
            <v>1272162.6190476192</v>
          </cell>
          <cell r="AD542">
            <v>4070920.3809523811</v>
          </cell>
          <cell r="AE542">
            <v>5343083</v>
          </cell>
          <cell r="AF542">
            <v>0</v>
          </cell>
          <cell r="AG542">
            <v>5343083</v>
          </cell>
          <cell r="AH542" t="b">
            <v>1</v>
          </cell>
          <cell r="AK542">
            <v>5343083</v>
          </cell>
          <cell r="AL542" t="str">
            <v>K1</v>
          </cell>
          <cell r="AM542">
            <v>5343083</v>
          </cell>
          <cell r="AN542">
            <v>0</v>
          </cell>
          <cell r="AQ542">
            <v>0</v>
          </cell>
          <cell r="AR542">
            <v>38000</v>
          </cell>
          <cell r="AS542">
            <v>31700</v>
          </cell>
          <cell r="AV542">
            <v>53430.83</v>
          </cell>
          <cell r="AW542">
            <v>106861.66</v>
          </cell>
          <cell r="AX542">
            <v>53430.83</v>
          </cell>
          <cell r="AY542">
            <v>283423</v>
          </cell>
          <cell r="AZ542">
            <v>5059660</v>
          </cell>
          <cell r="BA542">
            <v>0</v>
          </cell>
          <cell r="BB542">
            <v>283423</v>
          </cell>
          <cell r="BC542">
            <v>5059660</v>
          </cell>
        </row>
        <row r="543">
          <cell r="F543" t="str">
            <v>091120-001</v>
          </cell>
          <cell r="G543" t="str">
            <v>Pembaharuan</v>
          </cell>
          <cell r="H543" t="str">
            <v>Pelaksana</v>
          </cell>
          <cell r="I543" t="str">
            <v>FG &amp; ID PC</v>
          </cell>
          <cell r="J543">
            <v>0</v>
          </cell>
          <cell r="K543" t="b">
            <v>0</v>
          </cell>
          <cell r="L543">
            <v>44144</v>
          </cell>
          <cell r="M543">
            <v>0</v>
          </cell>
          <cell r="N543">
            <v>6</v>
          </cell>
          <cell r="O543">
            <v>15</v>
          </cell>
          <cell r="Q543">
            <v>5343082</v>
          </cell>
          <cell r="R543">
            <v>4924046</v>
          </cell>
          <cell r="S543">
            <v>5343083</v>
          </cell>
          <cell r="T543">
            <v>0</v>
          </cell>
          <cell r="U543">
            <v>0</v>
          </cell>
          <cell r="V543">
            <v>0</v>
          </cell>
          <cell r="W543">
            <v>5343083</v>
          </cell>
          <cell r="X543">
            <v>5</v>
          </cell>
          <cell r="Z543">
            <v>16</v>
          </cell>
          <cell r="AB543">
            <v>21</v>
          </cell>
          <cell r="AC543">
            <v>1272162.6190476192</v>
          </cell>
          <cell r="AD543">
            <v>4070920.3809523811</v>
          </cell>
          <cell r="AE543">
            <v>5343083</v>
          </cell>
          <cell r="AF543">
            <v>0</v>
          </cell>
          <cell r="AG543">
            <v>5343083</v>
          </cell>
          <cell r="AH543" t="b">
            <v>1</v>
          </cell>
          <cell r="AK543">
            <v>5343083</v>
          </cell>
          <cell r="AL543" t="str">
            <v>K1</v>
          </cell>
          <cell r="AM543">
            <v>5343083</v>
          </cell>
          <cell r="AN543">
            <v>0</v>
          </cell>
          <cell r="AQ543">
            <v>0</v>
          </cell>
          <cell r="AR543">
            <v>38000</v>
          </cell>
          <cell r="AS543">
            <v>31700</v>
          </cell>
          <cell r="AV543">
            <v>53430.83</v>
          </cell>
          <cell r="AW543">
            <v>106861.66</v>
          </cell>
          <cell r="AX543">
            <v>53430.83</v>
          </cell>
          <cell r="AY543">
            <v>283423</v>
          </cell>
          <cell r="AZ543">
            <v>5059660</v>
          </cell>
          <cell r="BA543">
            <v>0</v>
          </cell>
          <cell r="BB543">
            <v>283423</v>
          </cell>
          <cell r="BC543">
            <v>5059660</v>
          </cell>
        </row>
        <row r="544">
          <cell r="F544" t="str">
            <v>190916-009</v>
          </cell>
          <cell r="G544" t="str">
            <v>Tetap</v>
          </cell>
          <cell r="H544" t="str">
            <v>Leader</v>
          </cell>
          <cell r="I544" t="str">
            <v>FG &amp; ID PC</v>
          </cell>
          <cell r="J544">
            <v>42632</v>
          </cell>
          <cell r="K544" t="b">
            <v>1</v>
          </cell>
          <cell r="L544">
            <v>42632</v>
          </cell>
          <cell r="M544">
            <v>4</v>
          </cell>
          <cell r="N544">
            <v>8</v>
          </cell>
          <cell r="O544">
            <v>5</v>
          </cell>
          <cell r="Q544">
            <v>5343082</v>
          </cell>
          <cell r="R544">
            <v>4924046</v>
          </cell>
          <cell r="S544">
            <v>5343083</v>
          </cell>
          <cell r="T544">
            <v>500000</v>
          </cell>
          <cell r="U544">
            <v>0</v>
          </cell>
          <cell r="V544">
            <v>0</v>
          </cell>
          <cell r="W544">
            <v>5843083</v>
          </cell>
          <cell r="X544">
            <v>5</v>
          </cell>
          <cell r="Z544">
            <v>16</v>
          </cell>
          <cell r="AB544">
            <v>21</v>
          </cell>
          <cell r="AC544">
            <v>1391210.2380952381</v>
          </cell>
          <cell r="AD544">
            <v>4451872.7619047621</v>
          </cell>
          <cell r="AE544">
            <v>5843083</v>
          </cell>
          <cell r="AF544">
            <v>0</v>
          </cell>
          <cell r="AG544">
            <v>5843083</v>
          </cell>
          <cell r="AH544" t="b">
            <v>1</v>
          </cell>
          <cell r="AK544">
            <v>5843083</v>
          </cell>
          <cell r="AL544" t="str">
            <v>K3</v>
          </cell>
          <cell r="AM544">
            <v>5843083</v>
          </cell>
          <cell r="AN544">
            <v>0</v>
          </cell>
          <cell r="AQ544">
            <v>0</v>
          </cell>
          <cell r="AR544">
            <v>38000</v>
          </cell>
          <cell r="AS544">
            <v>31700</v>
          </cell>
          <cell r="AU544">
            <v>10000</v>
          </cell>
          <cell r="AV544">
            <v>58430.83</v>
          </cell>
          <cell r="AW544">
            <v>116861.66</v>
          </cell>
          <cell r="AX544">
            <v>58430.83</v>
          </cell>
          <cell r="AY544">
            <v>313423</v>
          </cell>
          <cell r="AZ544">
            <v>5529660</v>
          </cell>
          <cell r="BA544">
            <v>0</v>
          </cell>
          <cell r="BB544">
            <v>313423</v>
          </cell>
          <cell r="BC544">
            <v>5529660</v>
          </cell>
        </row>
        <row r="545">
          <cell r="Q545">
            <v>229752526</v>
          </cell>
          <cell r="R545">
            <v>211733978</v>
          </cell>
          <cell r="S545">
            <v>229752569</v>
          </cell>
          <cell r="T545">
            <v>2300000</v>
          </cell>
          <cell r="U545">
            <v>0</v>
          </cell>
          <cell r="V545">
            <v>0</v>
          </cell>
          <cell r="W545">
            <v>232052569</v>
          </cell>
          <cell r="X545">
            <v>215</v>
          </cell>
          <cell r="Y545">
            <v>0</v>
          </cell>
          <cell r="Z545">
            <v>688</v>
          </cell>
          <cell r="AA545">
            <v>0</v>
          </cell>
          <cell r="AB545">
            <v>903</v>
          </cell>
          <cell r="AC545">
            <v>55250611.666666679</v>
          </cell>
          <cell r="AD545">
            <v>176801957.33333352</v>
          </cell>
          <cell r="AE545">
            <v>232052569</v>
          </cell>
          <cell r="AF545">
            <v>0</v>
          </cell>
          <cell r="AG545">
            <v>232052569</v>
          </cell>
          <cell r="AJ545">
            <v>0</v>
          </cell>
          <cell r="AK545">
            <v>232052569</v>
          </cell>
          <cell r="AL545">
            <v>0</v>
          </cell>
          <cell r="AM545">
            <v>231798136</v>
          </cell>
          <cell r="AN545">
            <v>611049.18222424993</v>
          </cell>
          <cell r="AO545">
            <v>0</v>
          </cell>
          <cell r="AP545">
            <v>1</v>
          </cell>
          <cell r="AQ545">
            <v>254433</v>
          </cell>
          <cell r="AR545">
            <v>1254000</v>
          </cell>
          <cell r="AS545">
            <v>1299700</v>
          </cell>
          <cell r="AT545">
            <v>2591500</v>
          </cell>
          <cell r="AU545">
            <v>120000</v>
          </cell>
          <cell r="AV545">
            <v>2320525.6900000013</v>
          </cell>
          <cell r="AW545">
            <v>4641051.3800000027</v>
          </cell>
          <cell r="AX545">
            <v>2320525.6900000013</v>
          </cell>
          <cell r="AY545">
            <v>15412779</v>
          </cell>
          <cell r="AZ545">
            <v>216639790</v>
          </cell>
          <cell r="BA545">
            <v>611049.18222424993</v>
          </cell>
          <cell r="BB545">
            <v>14801722</v>
          </cell>
          <cell r="BC545">
            <v>217250847</v>
          </cell>
        </row>
        <row r="548">
          <cell r="F548" t="str">
            <v>NIK</v>
          </cell>
          <cell r="G548" t="str">
            <v>STATUS</v>
          </cell>
          <cell r="H548" t="str">
            <v>LEVEL</v>
          </cell>
          <cell r="I548" t="str">
            <v>BAGIAN</v>
          </cell>
          <cell r="J548" t="str">
            <v>DB</v>
          </cell>
          <cell r="L548" t="str">
            <v>JOIN</v>
          </cell>
          <cell r="M548" t="str">
            <v>MK</v>
          </cell>
          <cell r="Q548" t="str">
            <v>FIXED SALARY (KESEPAKATAN 2020)</v>
          </cell>
          <cell r="R548" t="str">
            <v>FIXED SALARY (NOVEMBER 2020)</v>
          </cell>
          <cell r="S548" t="str">
            <v>FIXED SALARY (UMSK 2020)</v>
          </cell>
          <cell r="T548" t="str">
            <v>JOB STRUCTURE ALLOWANCE</v>
          </cell>
          <cell r="U548" t="str">
            <v>SKILL ALLOWANCE</v>
          </cell>
          <cell r="V548" t="str">
            <v>PERFORMANCE ALLOWANCE 2020</v>
          </cell>
          <cell r="W548" t="str">
            <v>TOTAL</v>
          </cell>
          <cell r="X548" t="str">
            <v>WORKDAYS</v>
          </cell>
          <cell r="AB548" t="str">
            <v>CEK</v>
          </cell>
          <cell r="AC548" t="str">
            <v xml:space="preserve">SALARY </v>
          </cell>
          <cell r="AD548" t="str">
            <v>SALARY</v>
          </cell>
          <cell r="AE548" t="str">
            <v>TOTAL SALARY (COVID-19)</v>
          </cell>
          <cell r="AF548" t="str">
            <v>POT OFF</v>
          </cell>
          <cell r="AG548" t="str">
            <v>CEK</v>
          </cell>
          <cell r="AH548" t="str">
            <v>CEK</v>
          </cell>
          <cell r="AJ548" t="str">
            <v>BACK PAY ( RAPEL) / INCENTIVE</v>
          </cell>
          <cell r="AK548" t="str">
            <v>TOTAL</v>
          </cell>
          <cell r="AL548" t="str">
            <v>PERHITUNGAN PPh</v>
          </cell>
          <cell r="AN548" t="str">
            <v>TAX</v>
          </cell>
          <cell r="AO548" t="str">
            <v>RETURND</v>
          </cell>
          <cell r="AP548" t="str">
            <v>ABSEN</v>
          </cell>
          <cell r="AR548" t="str">
            <v>DEDUCTION</v>
          </cell>
          <cell r="AV548" t="str">
            <v>BPJS</v>
          </cell>
          <cell r="AW548" t="str">
            <v>BPJS KETENAGAKERJAAN</v>
          </cell>
          <cell r="AY548" t="str">
            <v>TOTAL</v>
          </cell>
          <cell r="AZ548" t="str">
            <v>TOTAL</v>
          </cell>
          <cell r="BA548" t="str">
            <v>INSENTIF</v>
          </cell>
          <cell r="BB548" t="str">
            <v>WITH INSENTIF PPh21</v>
          </cell>
        </row>
        <row r="549">
          <cell r="F549" t="str">
            <v>SAI</v>
          </cell>
          <cell r="G549" t="str">
            <v>KONTRAK</v>
          </cell>
          <cell r="J549" t="str">
            <v>DATEJOIN</v>
          </cell>
          <cell r="K549" t="str">
            <v>CHECK</v>
          </cell>
          <cell r="L549" t="str">
            <v>DATE</v>
          </cell>
          <cell r="M549" t="str">
            <v>YEAR</v>
          </cell>
          <cell r="N549" t="str">
            <v>MONTH</v>
          </cell>
          <cell r="O549" t="str">
            <v>DAY</v>
          </cell>
          <cell r="W549" t="str">
            <v>SALARY</v>
          </cell>
          <cell r="X549" t="str">
            <v>ON</v>
          </cell>
          <cell r="Y549" t="str">
            <v>OFF</v>
          </cell>
          <cell r="Z549" t="str">
            <v>ON</v>
          </cell>
          <cell r="AA549" t="str">
            <v>OFF</v>
          </cell>
          <cell r="AB549" t="str">
            <v>WORKINGDAYS</v>
          </cell>
          <cell r="AC549" t="str">
            <v>PERIODE 25-31 FEB</v>
          </cell>
          <cell r="AD549" t="str">
            <v xml:space="preserve"> PERIODE 1-24 MAR</v>
          </cell>
          <cell r="AK549" t="str">
            <v xml:space="preserve">RECIEVED       </v>
          </cell>
          <cell r="AL549" t="str">
            <v>STATUS</v>
          </cell>
          <cell r="AM549" t="str">
            <v xml:space="preserve">TOTAL    GROSS </v>
          </cell>
          <cell r="AN549">
            <v>21</v>
          </cell>
          <cell r="AO549" t="str">
            <v>TAX JAN 2021</v>
          </cell>
          <cell r="AP549" t="str">
            <v>DAY</v>
          </cell>
          <cell r="AQ549" t="str">
            <v>( Rp )</v>
          </cell>
          <cell r="AR549" t="str">
            <v>UNION</v>
          </cell>
          <cell r="AS549" t="str">
            <v>RAPID TEST</v>
          </cell>
          <cell r="AT549" t="str">
            <v>OTHERS</v>
          </cell>
          <cell r="AU549" t="str">
            <v>KOPERASI</v>
          </cell>
          <cell r="AV549" t="str">
            <v>KESEHATAN</v>
          </cell>
          <cell r="AW549" t="str">
            <v>JHT</v>
          </cell>
          <cell r="AX549" t="str">
            <v>PENSIUN</v>
          </cell>
          <cell r="AY549" t="str">
            <v>DEDUCTION</v>
          </cell>
          <cell r="AZ549" t="str">
            <v>PAID</v>
          </cell>
          <cell r="BA549" t="str">
            <v>PPh21</v>
          </cell>
          <cell r="BB549" t="str">
            <v>TOTAL DEDUCTION</v>
          </cell>
          <cell r="BC549" t="str">
            <v>TOTAL PAID</v>
          </cell>
        </row>
        <row r="550">
          <cell r="F550" t="str">
            <v>040814-430</v>
          </cell>
          <cell r="G550" t="str">
            <v>Tetap</v>
          </cell>
          <cell r="H550" t="str">
            <v>Sect Head</v>
          </cell>
          <cell r="I550" t="str">
            <v>FG &amp; ID PC</v>
          </cell>
          <cell r="J550">
            <v>41855</v>
          </cell>
          <cell r="K550" t="b">
            <v>1</v>
          </cell>
          <cell r="L550">
            <v>41855</v>
          </cell>
          <cell r="M550">
            <v>6</v>
          </cell>
          <cell r="N550">
            <v>9</v>
          </cell>
          <cell r="O550">
            <v>20</v>
          </cell>
          <cell r="Q550">
            <v>5343082</v>
          </cell>
          <cell r="R550">
            <v>5343083</v>
          </cell>
          <cell r="S550">
            <v>5343083</v>
          </cell>
          <cell r="T550">
            <v>1500000</v>
          </cell>
          <cell r="U550">
            <v>0</v>
          </cell>
          <cell r="V550">
            <v>151054</v>
          </cell>
          <cell r="W550">
            <v>6994137</v>
          </cell>
          <cell r="X550">
            <v>5</v>
          </cell>
          <cell r="Z550">
            <v>16</v>
          </cell>
          <cell r="AB550">
            <v>21</v>
          </cell>
          <cell r="AC550">
            <v>1665270.7142857141</v>
          </cell>
          <cell r="AD550">
            <v>5328866.2857142854</v>
          </cell>
          <cell r="AE550">
            <v>6994137</v>
          </cell>
          <cell r="AF550">
            <v>0</v>
          </cell>
          <cell r="AG550">
            <v>6994137</v>
          </cell>
          <cell r="AH550" t="b">
            <v>1</v>
          </cell>
          <cell r="AK550">
            <v>6994137</v>
          </cell>
          <cell r="AL550" t="str">
            <v>K1</v>
          </cell>
          <cell r="AM550">
            <v>6994137</v>
          </cell>
          <cell r="AN550">
            <v>76997.158514250012</v>
          </cell>
          <cell r="AQ550">
            <v>0</v>
          </cell>
          <cell r="AR550">
            <v>38000</v>
          </cell>
          <cell r="AS550">
            <v>31700</v>
          </cell>
          <cell r="AU550">
            <v>10000</v>
          </cell>
          <cell r="AV550">
            <v>69941.37</v>
          </cell>
          <cell r="AW550">
            <v>139882.74</v>
          </cell>
          <cell r="AX550">
            <v>69941.37</v>
          </cell>
          <cell r="AY550">
            <v>436463</v>
          </cell>
          <cell r="AZ550">
            <v>6557674</v>
          </cell>
          <cell r="BA550">
            <v>76997.158514250012</v>
          </cell>
          <cell r="BB550">
            <v>359465</v>
          </cell>
          <cell r="BC550">
            <v>6634672</v>
          </cell>
        </row>
        <row r="551">
          <cell r="F551" t="str">
            <v>040814-432</v>
          </cell>
          <cell r="G551" t="str">
            <v>Tetap</v>
          </cell>
          <cell r="H551" t="str">
            <v>Leader</v>
          </cell>
          <cell r="I551" t="str">
            <v>PPIC</v>
          </cell>
          <cell r="J551">
            <v>41855</v>
          </cell>
          <cell r="K551" t="b">
            <v>1</v>
          </cell>
          <cell r="L551">
            <v>41855</v>
          </cell>
          <cell r="M551">
            <v>6</v>
          </cell>
          <cell r="N551">
            <v>9</v>
          </cell>
          <cell r="O551">
            <v>20</v>
          </cell>
          <cell r="Q551">
            <v>5720000</v>
          </cell>
          <cell r="R551">
            <v>4924046</v>
          </cell>
          <cell r="S551">
            <v>5343083</v>
          </cell>
          <cell r="T551">
            <v>500000</v>
          </cell>
          <cell r="U551">
            <v>0</v>
          </cell>
          <cell r="V551">
            <v>220000</v>
          </cell>
          <cell r="W551">
            <v>6063083</v>
          </cell>
          <cell r="X551">
            <v>5</v>
          </cell>
          <cell r="Z551">
            <v>16</v>
          </cell>
          <cell r="AB551">
            <v>21</v>
          </cell>
          <cell r="AC551">
            <v>1443591.1904761905</v>
          </cell>
          <cell r="AD551">
            <v>4619491.8095238097</v>
          </cell>
          <cell r="AE551">
            <v>6063083</v>
          </cell>
          <cell r="AF551">
            <v>0</v>
          </cell>
          <cell r="AG551">
            <v>6063083</v>
          </cell>
          <cell r="AH551" t="b">
            <v>1</v>
          </cell>
          <cell r="AK551">
            <v>6063083</v>
          </cell>
          <cell r="AL551" t="str">
            <v>K1</v>
          </cell>
          <cell r="AM551">
            <v>6063083</v>
          </cell>
          <cell r="AN551">
            <v>31803.564590749953</v>
          </cell>
          <cell r="AQ551">
            <v>0</v>
          </cell>
          <cell r="AR551">
            <v>38000</v>
          </cell>
          <cell r="AS551">
            <v>31700</v>
          </cell>
          <cell r="AU551">
            <v>10000</v>
          </cell>
          <cell r="AV551">
            <v>60630.83</v>
          </cell>
          <cell r="AW551">
            <v>121261.66</v>
          </cell>
          <cell r="AX551">
            <v>60630.83</v>
          </cell>
          <cell r="AY551">
            <v>354027</v>
          </cell>
          <cell r="AZ551">
            <v>5709056</v>
          </cell>
          <cell r="BA551">
            <v>31803.564590749953</v>
          </cell>
          <cell r="BB551">
            <v>322223</v>
          </cell>
          <cell r="BC551">
            <v>5740860</v>
          </cell>
        </row>
        <row r="552">
          <cell r="F552" t="str">
            <v>260117-001</v>
          </cell>
          <cell r="G552" t="str">
            <v>Tetap</v>
          </cell>
          <cell r="H552" t="str">
            <v>Leader</v>
          </cell>
          <cell r="I552" t="str">
            <v>PPIC</v>
          </cell>
          <cell r="J552">
            <v>42761</v>
          </cell>
          <cell r="K552" t="b">
            <v>1</v>
          </cell>
          <cell r="L552">
            <v>42761</v>
          </cell>
          <cell r="M552">
            <v>4</v>
          </cell>
          <cell r="N552">
            <v>3</v>
          </cell>
          <cell r="O552">
            <v>28</v>
          </cell>
          <cell r="Q552">
            <v>5343082</v>
          </cell>
          <cell r="R552">
            <v>4924046</v>
          </cell>
          <cell r="S552">
            <v>5343083</v>
          </cell>
          <cell r="T552">
            <v>500000</v>
          </cell>
          <cell r="U552">
            <v>0</v>
          </cell>
          <cell r="V552">
            <v>0</v>
          </cell>
          <cell r="W552">
            <v>5843083</v>
          </cell>
          <cell r="X552">
            <v>5</v>
          </cell>
          <cell r="Z552">
            <v>16</v>
          </cell>
          <cell r="AB552">
            <v>21</v>
          </cell>
          <cell r="AC552">
            <v>1391210.2380952381</v>
          </cell>
          <cell r="AD552">
            <v>4451872.7619047621</v>
          </cell>
          <cell r="AE552">
            <v>5843083</v>
          </cell>
          <cell r="AF552">
            <v>0</v>
          </cell>
          <cell r="AG552">
            <v>5843083</v>
          </cell>
          <cell r="AH552" t="b">
            <v>1</v>
          </cell>
          <cell r="AK552">
            <v>5843083</v>
          </cell>
          <cell r="AL552" t="str">
            <v>K1</v>
          </cell>
          <cell r="AM552">
            <v>5843083</v>
          </cell>
          <cell r="AN552">
            <v>21124.709590749942</v>
          </cell>
          <cell r="AQ552">
            <v>0</v>
          </cell>
          <cell r="AR552">
            <v>38000</v>
          </cell>
          <cell r="AS552">
            <v>31700</v>
          </cell>
          <cell r="AV552">
            <v>58430.83</v>
          </cell>
          <cell r="AW552">
            <v>116861.66</v>
          </cell>
          <cell r="AX552">
            <v>58430.83</v>
          </cell>
          <cell r="AY552">
            <v>324548</v>
          </cell>
          <cell r="AZ552">
            <v>5518535</v>
          </cell>
          <cell r="BA552">
            <v>21124.709590749942</v>
          </cell>
          <cell r="BB552">
            <v>303423</v>
          </cell>
          <cell r="BC552">
            <v>5539660</v>
          </cell>
        </row>
        <row r="553">
          <cell r="F553" t="str">
            <v>150216-003</v>
          </cell>
          <cell r="G553" t="str">
            <v>Tetap</v>
          </cell>
          <cell r="H553" t="str">
            <v>Staff</v>
          </cell>
          <cell r="I553" t="str">
            <v>FG &amp; ID PC</v>
          </cell>
          <cell r="J553">
            <v>42416</v>
          </cell>
          <cell r="K553" t="b">
            <v>1</v>
          </cell>
          <cell r="L553">
            <v>42416</v>
          </cell>
          <cell r="M553">
            <v>5</v>
          </cell>
          <cell r="N553">
            <v>3</v>
          </cell>
          <cell r="O553">
            <v>8</v>
          </cell>
          <cell r="Q553">
            <v>5343082</v>
          </cell>
          <cell r="R553">
            <v>4924046</v>
          </cell>
          <cell r="S553">
            <v>5343083</v>
          </cell>
          <cell r="T553">
            <v>0</v>
          </cell>
          <cell r="U553">
            <v>0</v>
          </cell>
          <cell r="V553">
            <v>0</v>
          </cell>
          <cell r="W553">
            <v>5343083</v>
          </cell>
          <cell r="X553">
            <v>5</v>
          </cell>
          <cell r="Z553">
            <v>16</v>
          </cell>
          <cell r="AB553">
            <v>21</v>
          </cell>
          <cell r="AC553">
            <v>1272162.6190476192</v>
          </cell>
          <cell r="AD553">
            <v>4070920.3809523811</v>
          </cell>
          <cell r="AE553">
            <v>5343083</v>
          </cell>
          <cell r="AF553">
            <v>0</v>
          </cell>
          <cell r="AG553">
            <v>5343083</v>
          </cell>
          <cell r="AH553" t="b">
            <v>1</v>
          </cell>
          <cell r="AK553">
            <v>5343083</v>
          </cell>
          <cell r="AL553" t="str">
            <v>TK</v>
          </cell>
          <cell r="AM553">
            <v>5343083</v>
          </cell>
          <cell r="AN553">
            <v>34354.584590750004</v>
          </cell>
          <cell r="AQ553">
            <v>0</v>
          </cell>
          <cell r="AR553">
            <v>38000</v>
          </cell>
          <cell r="AS553">
            <v>31700</v>
          </cell>
          <cell r="AU553">
            <v>10000</v>
          </cell>
          <cell r="AV553">
            <v>53430.83</v>
          </cell>
          <cell r="AW553">
            <v>106861.66</v>
          </cell>
          <cell r="AX553">
            <v>53430.83</v>
          </cell>
          <cell r="AY553">
            <v>327778</v>
          </cell>
          <cell r="AZ553">
            <v>5015305</v>
          </cell>
          <cell r="BA553">
            <v>34354.584590750004</v>
          </cell>
          <cell r="BB553">
            <v>293423</v>
          </cell>
          <cell r="BC553">
            <v>5049660</v>
          </cell>
        </row>
        <row r="554">
          <cell r="F554" t="str">
            <v>120918-001</v>
          </cell>
          <cell r="G554" t="str">
            <v>Kontrak 2</v>
          </cell>
          <cell r="H554" t="str">
            <v>Pelaksana</v>
          </cell>
          <cell r="I554" t="str">
            <v>FG &amp; ID PC</v>
          </cell>
          <cell r="J554">
            <v>43355</v>
          </cell>
          <cell r="K554" t="b">
            <v>1</v>
          </cell>
          <cell r="L554">
            <v>43355</v>
          </cell>
          <cell r="M554">
            <v>2</v>
          </cell>
          <cell r="N554">
            <v>8</v>
          </cell>
          <cell r="O554">
            <v>12</v>
          </cell>
          <cell r="Q554">
            <v>5343082</v>
          </cell>
          <cell r="R554">
            <v>4924046</v>
          </cell>
          <cell r="S554">
            <v>5343083</v>
          </cell>
          <cell r="T554">
            <v>0</v>
          </cell>
          <cell r="U554">
            <v>0</v>
          </cell>
          <cell r="V554">
            <v>0</v>
          </cell>
          <cell r="W554">
            <v>5343083</v>
          </cell>
          <cell r="X554">
            <v>5</v>
          </cell>
          <cell r="Z554">
            <v>16</v>
          </cell>
          <cell r="AB554">
            <v>21</v>
          </cell>
          <cell r="AC554">
            <v>1272162.6190476192</v>
          </cell>
          <cell r="AD554">
            <v>4070920.3809523811</v>
          </cell>
          <cell r="AE554">
            <v>5343083</v>
          </cell>
          <cell r="AF554">
            <v>0</v>
          </cell>
          <cell r="AG554">
            <v>5343083</v>
          </cell>
          <cell r="AH554" t="b">
            <v>1</v>
          </cell>
          <cell r="AK554">
            <v>5343083</v>
          </cell>
          <cell r="AL554" t="str">
            <v>K1</v>
          </cell>
          <cell r="AM554">
            <v>5343083</v>
          </cell>
          <cell r="AN554">
            <v>0</v>
          </cell>
          <cell r="AQ554">
            <v>0</v>
          </cell>
          <cell r="AR554">
            <v>38000</v>
          </cell>
          <cell r="AS554">
            <v>31700</v>
          </cell>
          <cell r="AU554">
            <v>10000</v>
          </cell>
          <cell r="AV554">
            <v>53430.83</v>
          </cell>
          <cell r="AW554">
            <v>106861.66</v>
          </cell>
          <cell r="AX554">
            <v>53430.83</v>
          </cell>
          <cell r="AY554">
            <v>293423</v>
          </cell>
          <cell r="AZ554">
            <v>5049660</v>
          </cell>
          <cell r="BA554">
            <v>0</v>
          </cell>
          <cell r="BB554">
            <v>293423</v>
          </cell>
          <cell r="BC554">
            <v>5049660</v>
          </cell>
        </row>
        <row r="555">
          <cell r="F555" t="str">
            <v>040814-433</v>
          </cell>
          <cell r="G555" t="str">
            <v>Tetap</v>
          </cell>
          <cell r="H555" t="str">
            <v>Leader</v>
          </cell>
          <cell r="I555" t="str">
            <v>FG &amp; ID PC</v>
          </cell>
          <cell r="J555">
            <v>41855</v>
          </cell>
          <cell r="K555" t="b">
            <v>1</v>
          </cell>
          <cell r="L555">
            <v>41855</v>
          </cell>
          <cell r="M555">
            <v>6</v>
          </cell>
          <cell r="N555">
            <v>9</v>
          </cell>
          <cell r="O555">
            <v>20</v>
          </cell>
          <cell r="Q555">
            <v>5343082</v>
          </cell>
          <cell r="R555">
            <v>4924046</v>
          </cell>
          <cell r="S555">
            <v>5343083</v>
          </cell>
          <cell r="T555">
            <v>400000</v>
          </cell>
          <cell r="U555">
            <v>0</v>
          </cell>
          <cell r="V555">
            <v>0</v>
          </cell>
          <cell r="W555">
            <v>5743083</v>
          </cell>
          <cell r="X555">
            <v>5</v>
          </cell>
          <cell r="Z555">
            <v>16</v>
          </cell>
          <cell r="AB555">
            <v>21</v>
          </cell>
          <cell r="AC555">
            <v>1367400.7142857141</v>
          </cell>
          <cell r="AD555">
            <v>4375682.2857142854</v>
          </cell>
          <cell r="AE555">
            <v>5743083</v>
          </cell>
          <cell r="AF555">
            <v>0</v>
          </cell>
          <cell r="AG555">
            <v>5743083</v>
          </cell>
          <cell r="AH555" t="b">
            <v>1</v>
          </cell>
          <cell r="AK555">
            <v>5743083</v>
          </cell>
          <cell r="AL555" t="str">
            <v>TK</v>
          </cell>
          <cell r="AM555">
            <v>5743083</v>
          </cell>
          <cell r="AN555">
            <v>53770.684590749974</v>
          </cell>
          <cell r="AQ555">
            <v>0</v>
          </cell>
          <cell r="AR555">
            <v>38000</v>
          </cell>
          <cell r="AS555">
            <v>31700</v>
          </cell>
          <cell r="AU555">
            <v>10000</v>
          </cell>
          <cell r="AV555">
            <v>57430.83</v>
          </cell>
          <cell r="AW555">
            <v>114861.66</v>
          </cell>
          <cell r="AX555">
            <v>57430.83</v>
          </cell>
          <cell r="AY555">
            <v>363194</v>
          </cell>
          <cell r="AZ555">
            <v>5379889</v>
          </cell>
          <cell r="BA555">
            <v>53770.684590749974</v>
          </cell>
          <cell r="BB555">
            <v>309423</v>
          </cell>
          <cell r="BC555">
            <v>5433660</v>
          </cell>
        </row>
        <row r="556">
          <cell r="F556" t="str">
            <v>060818-008</v>
          </cell>
          <cell r="G556" t="str">
            <v>Kontrak 2</v>
          </cell>
          <cell r="H556" t="str">
            <v>Pelaksana</v>
          </cell>
          <cell r="I556" t="str">
            <v>FG &amp; ID PC</v>
          </cell>
          <cell r="J556">
            <v>43318</v>
          </cell>
          <cell r="K556" t="b">
            <v>1</v>
          </cell>
          <cell r="L556">
            <v>43318</v>
          </cell>
          <cell r="M556">
            <v>2</v>
          </cell>
          <cell r="N556">
            <v>9</v>
          </cell>
          <cell r="O556">
            <v>18</v>
          </cell>
          <cell r="Q556">
            <v>5343082</v>
          </cell>
          <cell r="R556">
            <v>4924046</v>
          </cell>
          <cell r="S556">
            <v>5343083</v>
          </cell>
          <cell r="T556">
            <v>0</v>
          </cell>
          <cell r="U556">
            <v>0</v>
          </cell>
          <cell r="V556">
            <v>0</v>
          </cell>
          <cell r="W556">
            <v>5343083</v>
          </cell>
          <cell r="X556">
            <v>5</v>
          </cell>
          <cell r="Z556">
            <v>16</v>
          </cell>
          <cell r="AB556">
            <v>21</v>
          </cell>
          <cell r="AC556">
            <v>1272162.6190476192</v>
          </cell>
          <cell r="AD556">
            <v>4070920.3809523811</v>
          </cell>
          <cell r="AE556">
            <v>5343083</v>
          </cell>
          <cell r="AF556">
            <v>0</v>
          </cell>
          <cell r="AG556">
            <v>5343083</v>
          </cell>
          <cell r="AH556" t="b">
            <v>1</v>
          </cell>
          <cell r="AK556">
            <v>5343083</v>
          </cell>
          <cell r="AL556" t="str">
            <v>K1</v>
          </cell>
          <cell r="AM556">
            <v>5343083</v>
          </cell>
          <cell r="AN556">
            <v>0</v>
          </cell>
          <cell r="AQ556">
            <v>0</v>
          </cell>
          <cell r="AR556">
            <v>38000</v>
          </cell>
          <cell r="AS556">
            <v>31700</v>
          </cell>
          <cell r="AU556">
            <v>10000</v>
          </cell>
          <cell r="AV556">
            <v>53430.83</v>
          </cell>
          <cell r="AW556">
            <v>106861.66</v>
          </cell>
          <cell r="AX556">
            <v>53430.83</v>
          </cell>
          <cell r="AY556">
            <v>293423</v>
          </cell>
          <cell r="AZ556">
            <v>5049660</v>
          </cell>
          <cell r="BA556">
            <v>0</v>
          </cell>
          <cell r="BB556">
            <v>293423</v>
          </cell>
          <cell r="BC556">
            <v>5049660</v>
          </cell>
        </row>
        <row r="557">
          <cell r="F557" t="str">
            <v>171218-004</v>
          </cell>
          <cell r="G557" t="str">
            <v>Kontrak 2</v>
          </cell>
          <cell r="H557" t="str">
            <v>Pelaksana</v>
          </cell>
          <cell r="I557" t="str">
            <v>FG &amp; ID PC</v>
          </cell>
          <cell r="J557">
            <v>43451</v>
          </cell>
          <cell r="K557" t="b">
            <v>1</v>
          </cell>
          <cell r="L557">
            <v>43451</v>
          </cell>
          <cell r="M557">
            <v>2</v>
          </cell>
          <cell r="N557">
            <v>5</v>
          </cell>
          <cell r="O557">
            <v>7</v>
          </cell>
          <cell r="Q557">
            <v>5343082</v>
          </cell>
          <cell r="R557">
            <v>4924046</v>
          </cell>
          <cell r="S557">
            <v>5343083</v>
          </cell>
          <cell r="T557">
            <v>0</v>
          </cell>
          <cell r="U557">
            <v>0</v>
          </cell>
          <cell r="V557">
            <v>0</v>
          </cell>
          <cell r="W557">
            <v>5343083</v>
          </cell>
          <cell r="X557">
            <v>5</v>
          </cell>
          <cell r="Z557">
            <v>16</v>
          </cell>
          <cell r="AB557">
            <v>21</v>
          </cell>
          <cell r="AC557">
            <v>1272162.6190476192</v>
          </cell>
          <cell r="AD557">
            <v>4070920.3809523811</v>
          </cell>
          <cell r="AE557">
            <v>5343083</v>
          </cell>
          <cell r="AF557">
            <v>0</v>
          </cell>
          <cell r="AG557">
            <v>5343083</v>
          </cell>
          <cell r="AH557" t="b">
            <v>1</v>
          </cell>
          <cell r="AK557">
            <v>5343083</v>
          </cell>
          <cell r="AL557" t="str">
            <v>K3</v>
          </cell>
          <cell r="AM557">
            <v>5343083</v>
          </cell>
          <cell r="AN557">
            <v>0</v>
          </cell>
          <cell r="AQ557">
            <v>0</v>
          </cell>
          <cell r="AR557">
            <v>38000</v>
          </cell>
          <cell r="AS557">
            <v>31700</v>
          </cell>
          <cell r="AV557">
            <v>53430.83</v>
          </cell>
          <cell r="AW557">
            <v>106861.66</v>
          </cell>
          <cell r="AX557">
            <v>53430.83</v>
          </cell>
          <cell r="AY557">
            <v>283423</v>
          </cell>
          <cell r="AZ557">
            <v>5059660</v>
          </cell>
          <cell r="BA557">
            <v>0</v>
          </cell>
          <cell r="BB557">
            <v>283423</v>
          </cell>
          <cell r="BC557">
            <v>5059660</v>
          </cell>
        </row>
        <row r="558">
          <cell r="Q558">
            <v>43121574</v>
          </cell>
          <cell r="R558">
            <v>39811405</v>
          </cell>
          <cell r="S558">
            <v>42744664</v>
          </cell>
          <cell r="T558">
            <v>2900000</v>
          </cell>
          <cell r="U558">
            <v>0</v>
          </cell>
          <cell r="V558">
            <v>371054</v>
          </cell>
          <cell r="W558">
            <v>46015718</v>
          </cell>
          <cell r="X558">
            <v>40</v>
          </cell>
          <cell r="Y558">
            <v>0</v>
          </cell>
          <cell r="Z558">
            <v>128</v>
          </cell>
          <cell r="AA558">
            <v>0</v>
          </cell>
          <cell r="AB558">
            <v>168</v>
          </cell>
          <cell r="AC558">
            <v>10956123.333333334</v>
          </cell>
          <cell r="AD558">
            <v>35059594.666666664</v>
          </cell>
          <cell r="AE558">
            <v>46015718</v>
          </cell>
          <cell r="AF558">
            <v>0</v>
          </cell>
          <cell r="AG558">
            <v>46015718</v>
          </cell>
          <cell r="AH558">
            <v>0</v>
          </cell>
          <cell r="AJ558">
            <v>0</v>
          </cell>
          <cell r="AK558">
            <v>46015718</v>
          </cell>
          <cell r="AL558">
            <v>0</v>
          </cell>
          <cell r="AM558">
            <v>46015718</v>
          </cell>
          <cell r="AN558">
            <v>218050.70187724987</v>
          </cell>
          <cell r="AO558">
            <v>0</v>
          </cell>
          <cell r="AP558">
            <v>0</v>
          </cell>
          <cell r="AQ558">
            <v>0</v>
          </cell>
          <cell r="AR558">
            <v>304000</v>
          </cell>
          <cell r="AS558">
            <v>253600</v>
          </cell>
          <cell r="AT558">
            <v>0</v>
          </cell>
          <cell r="AU558">
            <v>60000</v>
          </cell>
          <cell r="AV558">
            <v>460157.18000000005</v>
          </cell>
          <cell r="AW558">
            <v>920314.3600000001</v>
          </cell>
          <cell r="AX558">
            <v>460157.18000000005</v>
          </cell>
          <cell r="AY558">
            <v>2676279</v>
          </cell>
          <cell r="AZ558">
            <v>43339439</v>
          </cell>
          <cell r="BA558">
            <v>218050.70187724987</v>
          </cell>
          <cell r="BB558">
            <v>2458226</v>
          </cell>
          <cell r="BC558">
            <v>43557492</v>
          </cell>
        </row>
        <row r="561">
          <cell r="F561" t="str">
            <v>NIK</v>
          </cell>
          <cell r="G561" t="str">
            <v>STATUS</v>
          </cell>
          <cell r="H561" t="str">
            <v>LEVEL</v>
          </cell>
          <cell r="I561" t="str">
            <v>BAGIAN</v>
          </cell>
          <cell r="J561" t="str">
            <v>DB</v>
          </cell>
          <cell r="L561" t="str">
            <v>JOIN</v>
          </cell>
          <cell r="M561" t="str">
            <v>MK</v>
          </cell>
          <cell r="Q561" t="str">
            <v>FIXED SALARY (KESEPAKATAN 2020)</v>
          </cell>
          <cell r="R561" t="str">
            <v>FIXED SALARY (NOVEMBER 2020)</v>
          </cell>
          <cell r="S561" t="str">
            <v>FIXED SALARY (UMSK 2020)</v>
          </cell>
          <cell r="T561" t="str">
            <v>JOB STRUCTURE ALLOWANCE</v>
          </cell>
          <cell r="U561" t="str">
            <v>SKILL ALLOWANCE</v>
          </cell>
          <cell r="V561" t="str">
            <v>PERFORMANCE ALLOWANCE 2020</v>
          </cell>
          <cell r="W561" t="str">
            <v>TOTAL</v>
          </cell>
          <cell r="X561" t="str">
            <v>WORKDAYS</v>
          </cell>
          <cell r="AB561" t="str">
            <v>CEK</v>
          </cell>
          <cell r="AC561" t="str">
            <v xml:space="preserve">SALARY </v>
          </cell>
          <cell r="AD561" t="str">
            <v>SALARY</v>
          </cell>
          <cell r="AE561" t="str">
            <v>TOTAL SALARY (COVID-19)</v>
          </cell>
          <cell r="AF561" t="str">
            <v>POT OFF</v>
          </cell>
          <cell r="AG561" t="str">
            <v>CEK</v>
          </cell>
          <cell r="AH561" t="str">
            <v>CEK</v>
          </cell>
          <cell r="AJ561" t="str">
            <v>BACK PAY ( RAPEL) / INCENTIVE</v>
          </cell>
          <cell r="AK561" t="str">
            <v>TOTAL</v>
          </cell>
          <cell r="AL561" t="str">
            <v>PERHITUNGAN PPh</v>
          </cell>
          <cell r="AN561" t="str">
            <v>TAX</v>
          </cell>
          <cell r="AO561" t="str">
            <v>RETURND</v>
          </cell>
          <cell r="AP561" t="str">
            <v>ABSEN</v>
          </cell>
          <cell r="AR561" t="str">
            <v>DEDUCTION</v>
          </cell>
          <cell r="AV561" t="str">
            <v>BPJS</v>
          </cell>
          <cell r="AW561" t="str">
            <v>BPJS KETENAGAKERJAAN</v>
          </cell>
          <cell r="AY561" t="str">
            <v>TOTAL</v>
          </cell>
          <cell r="AZ561" t="str">
            <v>TOTAL</v>
          </cell>
          <cell r="BA561" t="str">
            <v>INSENTIF</v>
          </cell>
          <cell r="BB561" t="str">
            <v>WITH INSENTIF PPh21</v>
          </cell>
        </row>
        <row r="562">
          <cell r="F562" t="str">
            <v>SAI</v>
          </cell>
          <cell r="G562" t="str">
            <v>KONTRAK</v>
          </cell>
          <cell r="J562" t="str">
            <v>DATEJOIN</v>
          </cell>
          <cell r="K562" t="str">
            <v>CHECK</v>
          </cell>
          <cell r="L562" t="str">
            <v>DATE</v>
          </cell>
          <cell r="M562" t="str">
            <v>YEAR</v>
          </cell>
          <cell r="N562" t="str">
            <v>MONTH</v>
          </cell>
          <cell r="O562" t="str">
            <v>DAY</v>
          </cell>
          <cell r="W562" t="str">
            <v>SALARY</v>
          </cell>
          <cell r="X562" t="str">
            <v>ON</v>
          </cell>
          <cell r="Y562" t="str">
            <v>OFF</v>
          </cell>
          <cell r="Z562" t="str">
            <v>ON</v>
          </cell>
          <cell r="AA562" t="str">
            <v>OFF</v>
          </cell>
          <cell r="AB562" t="str">
            <v>WORKINGDAYS</v>
          </cell>
          <cell r="AC562" t="str">
            <v>PERIODE 25-31 FEB</v>
          </cell>
          <cell r="AD562" t="str">
            <v xml:space="preserve"> PERIODE 1-24 MAR</v>
          </cell>
          <cell r="AK562" t="str">
            <v xml:space="preserve">RECIEVED       </v>
          </cell>
          <cell r="AL562" t="str">
            <v>STATUS</v>
          </cell>
          <cell r="AM562" t="str">
            <v xml:space="preserve">TOTAL    GROSS </v>
          </cell>
          <cell r="AN562">
            <v>21</v>
          </cell>
          <cell r="AO562" t="str">
            <v>TAX JAN 2021</v>
          </cell>
          <cell r="AP562" t="str">
            <v>DAY</v>
          </cell>
          <cell r="AQ562" t="str">
            <v>( Rp )</v>
          </cell>
          <cell r="AR562" t="str">
            <v>UNION</v>
          </cell>
          <cell r="AS562" t="str">
            <v>RAPID TEST</v>
          </cell>
          <cell r="AT562" t="str">
            <v>OTHERS</v>
          </cell>
          <cell r="AU562" t="str">
            <v>KOPERASI</v>
          </cell>
          <cell r="AV562" t="str">
            <v>KESEHATAN</v>
          </cell>
          <cell r="AW562" t="str">
            <v>JHT</v>
          </cell>
          <cell r="AX562" t="str">
            <v>PENSIUN</v>
          </cell>
          <cell r="AY562" t="str">
            <v>DEDUCTION</v>
          </cell>
          <cell r="AZ562" t="str">
            <v>PAID</v>
          </cell>
          <cell r="BA562" t="str">
            <v>PPh21</v>
          </cell>
          <cell r="BB562" t="str">
            <v>TOTAL DEDUCTION</v>
          </cell>
          <cell r="BC562" t="str">
            <v>TOTAL PAID</v>
          </cell>
        </row>
        <row r="563">
          <cell r="F563" t="str">
            <v>230719-001</v>
          </cell>
          <cell r="G563" t="str">
            <v>Kontrak 2</v>
          </cell>
          <cell r="H563" t="str">
            <v>Sect Head</v>
          </cell>
          <cell r="I563" t="str">
            <v>Tool Manufacture</v>
          </cell>
          <cell r="J563" t="str">
            <v>23 Juli 2019</v>
          </cell>
          <cell r="K563" t="b">
            <v>0</v>
          </cell>
          <cell r="L563">
            <v>43669</v>
          </cell>
          <cell r="M563">
            <v>1</v>
          </cell>
          <cell r="N563">
            <v>10</v>
          </cell>
          <cell r="O563">
            <v>1</v>
          </cell>
          <cell r="Q563">
            <v>6500000</v>
          </cell>
          <cell r="R563">
            <v>6500000</v>
          </cell>
          <cell r="S563">
            <v>6500000</v>
          </cell>
          <cell r="T563">
            <v>1500000</v>
          </cell>
          <cell r="U563">
            <v>0</v>
          </cell>
          <cell r="V563">
            <v>195000</v>
          </cell>
          <cell r="W563">
            <v>8195000</v>
          </cell>
          <cell r="X563">
            <v>5</v>
          </cell>
          <cell r="Z563">
            <v>16</v>
          </cell>
          <cell r="AB563">
            <v>21</v>
          </cell>
          <cell r="AC563">
            <v>1951190.4761904762</v>
          </cell>
          <cell r="AD563">
            <v>6243809.5238095243</v>
          </cell>
          <cell r="AE563">
            <v>8195000</v>
          </cell>
          <cell r="AF563">
            <v>0</v>
          </cell>
          <cell r="AG563">
            <v>8195000</v>
          </cell>
          <cell r="AH563" t="b">
            <v>1</v>
          </cell>
          <cell r="AK563">
            <v>8195000</v>
          </cell>
          <cell r="AL563" t="str">
            <v>K3</v>
          </cell>
          <cell r="AM563">
            <v>8195000</v>
          </cell>
          <cell r="AN563">
            <v>97787.348750000019</v>
          </cell>
          <cell r="AQ563">
            <v>0</v>
          </cell>
          <cell r="AS563">
            <v>31700</v>
          </cell>
          <cell r="AT563">
            <v>2613833</v>
          </cell>
          <cell r="AV563">
            <v>81950</v>
          </cell>
          <cell r="AW563">
            <v>163900</v>
          </cell>
          <cell r="AX563">
            <v>81950</v>
          </cell>
          <cell r="AY563">
            <v>3071120</v>
          </cell>
          <cell r="AZ563">
            <v>5123880</v>
          </cell>
          <cell r="BA563">
            <v>97787.348750000019</v>
          </cell>
          <cell r="BB563">
            <v>2973333</v>
          </cell>
          <cell r="BC563">
            <v>5221667</v>
          </cell>
        </row>
        <row r="564">
          <cell r="F564" t="str">
            <v>040814-484</v>
          </cell>
          <cell r="G564" t="str">
            <v>Tetap</v>
          </cell>
          <cell r="H564" t="str">
            <v>Specialist</v>
          </cell>
          <cell r="I564" t="str">
            <v>Tool Manufacture</v>
          </cell>
          <cell r="J564">
            <v>41855</v>
          </cell>
          <cell r="K564" t="b">
            <v>1</v>
          </cell>
          <cell r="L564">
            <v>41855</v>
          </cell>
          <cell r="M564">
            <v>6</v>
          </cell>
          <cell r="N564">
            <v>9</v>
          </cell>
          <cell r="O564">
            <v>20</v>
          </cell>
          <cell r="Q564">
            <v>6014855</v>
          </cell>
          <cell r="R564">
            <v>6014855</v>
          </cell>
          <cell r="S564">
            <v>6014855</v>
          </cell>
          <cell r="T564">
            <v>1000000</v>
          </cell>
          <cell r="U564">
            <v>0</v>
          </cell>
          <cell r="V564">
            <v>175253</v>
          </cell>
          <cell r="W564">
            <v>7190108</v>
          </cell>
          <cell r="X564">
            <v>5</v>
          </cell>
          <cell r="Z564">
            <v>16</v>
          </cell>
          <cell r="AB564">
            <v>21</v>
          </cell>
          <cell r="AC564">
            <v>1711930.4761904762</v>
          </cell>
          <cell r="AD564">
            <v>5478177.5238095243</v>
          </cell>
          <cell r="AE564">
            <v>7190108</v>
          </cell>
          <cell r="AF564">
            <v>0</v>
          </cell>
          <cell r="AG564">
            <v>7190108</v>
          </cell>
          <cell r="AH564" t="b">
            <v>1</v>
          </cell>
          <cell r="AK564">
            <v>7190108</v>
          </cell>
          <cell r="AL564" t="str">
            <v>TK</v>
          </cell>
          <cell r="AM564">
            <v>7190108</v>
          </cell>
          <cell r="AN564">
            <v>124009.63984700001</v>
          </cell>
          <cell r="AQ564">
            <v>0</v>
          </cell>
          <cell r="AS564">
            <v>31700</v>
          </cell>
          <cell r="AV564">
            <v>71901.08</v>
          </cell>
          <cell r="AW564">
            <v>143802.16</v>
          </cell>
          <cell r="AX564">
            <v>71901.08</v>
          </cell>
          <cell r="AY564">
            <v>443314</v>
          </cell>
          <cell r="AZ564">
            <v>6746794</v>
          </cell>
          <cell r="BA564">
            <v>124009.63984700001</v>
          </cell>
          <cell r="BB564">
            <v>319304</v>
          </cell>
          <cell r="BC564">
            <v>6870804</v>
          </cell>
        </row>
        <row r="565">
          <cell r="F565" t="str">
            <v>080916-002</v>
          </cell>
          <cell r="G565" t="str">
            <v>Tetap</v>
          </cell>
          <cell r="H565" t="str">
            <v>Leader</v>
          </cell>
          <cell r="I565" t="str">
            <v>Tool Manufacture</v>
          </cell>
          <cell r="J565">
            <v>42621</v>
          </cell>
          <cell r="K565" t="b">
            <v>1</v>
          </cell>
          <cell r="L565">
            <v>42621</v>
          </cell>
          <cell r="M565">
            <v>4</v>
          </cell>
          <cell r="N565">
            <v>8</v>
          </cell>
          <cell r="O565">
            <v>16</v>
          </cell>
          <cell r="Q565">
            <v>4770024</v>
          </cell>
          <cell r="R565">
            <v>4770024</v>
          </cell>
          <cell r="S565">
            <v>4770024</v>
          </cell>
          <cell r="U565">
            <v>727300</v>
          </cell>
          <cell r="V565">
            <v>183538</v>
          </cell>
          <cell r="W565">
            <v>5680862</v>
          </cell>
          <cell r="X565">
            <v>5</v>
          </cell>
          <cell r="Z565">
            <v>16</v>
          </cell>
          <cell r="AB565">
            <v>21</v>
          </cell>
          <cell r="AC565">
            <v>1352586.1904761905</v>
          </cell>
          <cell r="AD565">
            <v>4328275.8095238097</v>
          </cell>
          <cell r="AE565">
            <v>5680862</v>
          </cell>
          <cell r="AF565">
            <v>0</v>
          </cell>
          <cell r="AG565">
            <v>5680862</v>
          </cell>
          <cell r="AH565" t="b">
            <v>1</v>
          </cell>
          <cell r="AK565">
            <v>5680862</v>
          </cell>
          <cell r="AL565" t="str">
            <v>K2</v>
          </cell>
          <cell r="AM565">
            <v>5680862</v>
          </cell>
          <cell r="AN565">
            <v>0</v>
          </cell>
          <cell r="AQ565">
            <v>0</v>
          </cell>
          <cell r="AS565">
            <v>31700</v>
          </cell>
          <cell r="AV565">
            <v>56808.62</v>
          </cell>
          <cell r="AW565">
            <v>113617.24</v>
          </cell>
          <cell r="AX565">
            <v>56808.62</v>
          </cell>
          <cell r="AY565">
            <v>258934</v>
          </cell>
          <cell r="AZ565">
            <v>5421928</v>
          </cell>
          <cell r="BA565">
            <v>0</v>
          </cell>
          <cell r="BB565">
            <v>258934</v>
          </cell>
          <cell r="BC565">
            <v>5421928</v>
          </cell>
        </row>
        <row r="566">
          <cell r="F566" t="str">
            <v>201016-003</v>
          </cell>
          <cell r="G566" t="str">
            <v>Tetap</v>
          </cell>
          <cell r="H566" t="str">
            <v>Leader</v>
          </cell>
          <cell r="I566" t="str">
            <v>Tool Manufacture</v>
          </cell>
          <cell r="J566">
            <v>42663</v>
          </cell>
          <cell r="K566" t="b">
            <v>1</v>
          </cell>
          <cell r="L566">
            <v>42663</v>
          </cell>
          <cell r="M566">
            <v>4</v>
          </cell>
          <cell r="N566">
            <v>7</v>
          </cell>
          <cell r="O566">
            <v>4</v>
          </cell>
          <cell r="Q566">
            <v>5343082</v>
          </cell>
          <cell r="R566">
            <v>4924046</v>
          </cell>
          <cell r="S566">
            <v>5343083</v>
          </cell>
          <cell r="T566">
            <v>500000</v>
          </cell>
          <cell r="U566">
            <v>0</v>
          </cell>
          <cell r="V566">
            <v>0</v>
          </cell>
          <cell r="W566">
            <v>5843083</v>
          </cell>
          <cell r="X566">
            <v>5</v>
          </cell>
          <cell r="Z566">
            <v>16</v>
          </cell>
          <cell r="AB566">
            <v>21</v>
          </cell>
          <cell r="AC566">
            <v>1391210.2380952381</v>
          </cell>
          <cell r="AD566">
            <v>4451872.7619047621</v>
          </cell>
          <cell r="AE566">
            <v>5843083</v>
          </cell>
          <cell r="AF566">
            <v>0</v>
          </cell>
          <cell r="AG566">
            <v>5843083</v>
          </cell>
          <cell r="AH566" t="b">
            <v>1</v>
          </cell>
          <cell r="AK566">
            <v>5843083</v>
          </cell>
          <cell r="AL566" t="str">
            <v>K2</v>
          </cell>
          <cell r="AM566">
            <v>5843083</v>
          </cell>
          <cell r="AN566">
            <v>2238.995305035698</v>
          </cell>
          <cell r="AQ566">
            <v>0</v>
          </cell>
          <cell r="AR566">
            <v>38000</v>
          </cell>
          <cell r="AS566">
            <v>31700</v>
          </cell>
          <cell r="AV566">
            <v>57716.544285714284</v>
          </cell>
          <cell r="AW566">
            <v>116861.66</v>
          </cell>
          <cell r="AX566">
            <v>58430.83</v>
          </cell>
          <cell r="AY566">
            <v>304948</v>
          </cell>
          <cell r="AZ566">
            <v>5538135</v>
          </cell>
          <cell r="BA566">
            <v>2238.995305035698</v>
          </cell>
          <cell r="BB566">
            <v>302709</v>
          </cell>
          <cell r="BC566">
            <v>5540374</v>
          </cell>
        </row>
        <row r="567">
          <cell r="F567" t="str">
            <v>170220-001</v>
          </cell>
          <cell r="G567" t="str">
            <v>Pembaharuan</v>
          </cell>
          <cell r="H567" t="str">
            <v>Leader</v>
          </cell>
          <cell r="I567" t="str">
            <v>Tool Manufacture</v>
          </cell>
          <cell r="J567">
            <v>43878</v>
          </cell>
          <cell r="K567" t="b">
            <v>1</v>
          </cell>
          <cell r="L567">
            <v>43878</v>
          </cell>
          <cell r="M567">
            <v>1</v>
          </cell>
          <cell r="N567">
            <v>3</v>
          </cell>
          <cell r="O567">
            <v>7</v>
          </cell>
          <cell r="Q567">
            <v>5343082</v>
          </cell>
          <cell r="R567">
            <v>4924046</v>
          </cell>
          <cell r="S567">
            <v>5343083</v>
          </cell>
          <cell r="T567">
            <v>0</v>
          </cell>
          <cell r="U567">
            <v>250000</v>
          </cell>
          <cell r="V567">
            <v>0</v>
          </cell>
          <cell r="W567">
            <v>5593083</v>
          </cell>
          <cell r="X567">
            <v>5</v>
          </cell>
          <cell r="Z567">
            <v>16</v>
          </cell>
          <cell r="AB567">
            <v>21</v>
          </cell>
          <cell r="AC567">
            <v>1331686.4285714286</v>
          </cell>
          <cell r="AD567">
            <v>4261396.5714285718</v>
          </cell>
          <cell r="AE567">
            <v>5593083</v>
          </cell>
          <cell r="AF567">
            <v>0</v>
          </cell>
          <cell r="AG567">
            <v>5593083</v>
          </cell>
          <cell r="AH567" t="b">
            <v>1</v>
          </cell>
          <cell r="AK567">
            <v>5593083</v>
          </cell>
          <cell r="AL567" t="str">
            <v>K2</v>
          </cell>
          <cell r="AM567">
            <v>5593083</v>
          </cell>
          <cell r="AN567">
            <v>0</v>
          </cell>
          <cell r="AQ567">
            <v>0</v>
          </cell>
          <cell r="AR567">
            <v>38000</v>
          </cell>
          <cell r="AS567">
            <v>31700</v>
          </cell>
          <cell r="AV567">
            <v>53430.83</v>
          </cell>
          <cell r="AW567">
            <v>111861.66</v>
          </cell>
          <cell r="AX567">
            <v>55930.83</v>
          </cell>
          <cell r="AY567">
            <v>290923</v>
          </cell>
          <cell r="AZ567">
            <v>5302160</v>
          </cell>
          <cell r="BA567">
            <v>0</v>
          </cell>
          <cell r="BB567">
            <v>290923</v>
          </cell>
          <cell r="BC567">
            <v>5302160</v>
          </cell>
        </row>
        <row r="568">
          <cell r="F568" t="str">
            <v>220517-002</v>
          </cell>
          <cell r="G568" t="str">
            <v>Tetap</v>
          </cell>
          <cell r="H568" t="str">
            <v>Staff</v>
          </cell>
          <cell r="I568" t="str">
            <v>Tool Manufacture</v>
          </cell>
          <cell r="J568">
            <v>42877</v>
          </cell>
          <cell r="K568" t="b">
            <v>1</v>
          </cell>
          <cell r="L568">
            <v>42877</v>
          </cell>
          <cell r="M568">
            <v>4</v>
          </cell>
          <cell r="N568">
            <v>0</v>
          </cell>
          <cell r="O568">
            <v>2</v>
          </cell>
          <cell r="Q568">
            <v>5343082</v>
          </cell>
          <cell r="R568">
            <v>4924046</v>
          </cell>
          <cell r="S568">
            <v>5343083</v>
          </cell>
          <cell r="T568">
            <v>0</v>
          </cell>
          <cell r="U568">
            <v>431580</v>
          </cell>
          <cell r="V568">
            <v>0</v>
          </cell>
          <cell r="W568">
            <v>5774663</v>
          </cell>
          <cell r="X568">
            <v>5</v>
          </cell>
          <cell r="Z568">
            <v>16</v>
          </cell>
          <cell r="AB568">
            <v>21</v>
          </cell>
          <cell r="AC568">
            <v>1374919.7619047619</v>
          </cell>
          <cell r="AD568">
            <v>4399743.2380952379</v>
          </cell>
          <cell r="AE568">
            <v>5774663</v>
          </cell>
          <cell r="AF568">
            <v>0</v>
          </cell>
          <cell r="AG568">
            <v>5774663</v>
          </cell>
          <cell r="AH568" t="b">
            <v>1</v>
          </cell>
          <cell r="AK568">
            <v>5774663</v>
          </cell>
          <cell r="AL568" t="str">
            <v>TK</v>
          </cell>
          <cell r="AM568">
            <v>4399743</v>
          </cell>
          <cell r="AN568">
            <v>0</v>
          </cell>
          <cell r="AP568">
            <v>5</v>
          </cell>
          <cell r="AQ568">
            <v>1374920</v>
          </cell>
          <cell r="AR568">
            <v>38000</v>
          </cell>
          <cell r="AV568">
            <v>55246.630000000005</v>
          </cell>
          <cell r="AW568">
            <v>115493.26000000001</v>
          </cell>
          <cell r="AX568">
            <v>57746.630000000005</v>
          </cell>
          <cell r="AY568">
            <v>1641407</v>
          </cell>
          <cell r="AZ568">
            <v>4133256</v>
          </cell>
          <cell r="BA568">
            <v>0</v>
          </cell>
          <cell r="BB568">
            <v>1641407</v>
          </cell>
          <cell r="BC568">
            <v>4133256</v>
          </cell>
        </row>
        <row r="569">
          <cell r="F569" t="str">
            <v>290216-001</v>
          </cell>
          <cell r="G569" t="str">
            <v>Tetap</v>
          </cell>
          <cell r="H569" t="str">
            <v>Leader</v>
          </cell>
          <cell r="I569" t="str">
            <v>Tool Manufacture</v>
          </cell>
          <cell r="J569">
            <v>42429</v>
          </cell>
          <cell r="K569" t="b">
            <v>1</v>
          </cell>
          <cell r="L569">
            <v>42429</v>
          </cell>
          <cell r="M569">
            <v>5</v>
          </cell>
          <cell r="N569">
            <v>2</v>
          </cell>
          <cell r="O569">
            <v>25</v>
          </cell>
          <cell r="Q569">
            <v>5343082</v>
          </cell>
          <cell r="R569">
            <v>4924046</v>
          </cell>
          <cell r="S569">
            <v>5343083</v>
          </cell>
          <cell r="T569">
            <v>500000</v>
          </cell>
          <cell r="U569">
            <v>250000</v>
          </cell>
          <cell r="V569">
            <v>0</v>
          </cell>
          <cell r="W569">
            <v>6093083</v>
          </cell>
          <cell r="X569">
            <v>5</v>
          </cell>
          <cell r="Z569">
            <v>16</v>
          </cell>
          <cell r="AB569">
            <v>21</v>
          </cell>
          <cell r="AC569">
            <v>1450734.0476190476</v>
          </cell>
          <cell r="AD569">
            <v>4642348.9523809524</v>
          </cell>
          <cell r="AE569">
            <v>6093083</v>
          </cell>
          <cell r="AF569">
            <v>0</v>
          </cell>
          <cell r="AG569">
            <v>6093083</v>
          </cell>
          <cell r="AH569" t="b">
            <v>1</v>
          </cell>
          <cell r="AK569">
            <v>6093083</v>
          </cell>
          <cell r="AL569" t="str">
            <v>K2</v>
          </cell>
          <cell r="AM569">
            <v>6093083</v>
          </cell>
          <cell r="AN569">
            <v>14034.772090749941</v>
          </cell>
          <cell r="AQ569">
            <v>0</v>
          </cell>
          <cell r="AR569">
            <v>38000</v>
          </cell>
          <cell r="AS569">
            <v>31700</v>
          </cell>
          <cell r="AU569">
            <v>10000</v>
          </cell>
          <cell r="AV569">
            <v>58430.83</v>
          </cell>
          <cell r="AW569">
            <v>121861.66</v>
          </cell>
          <cell r="AX569">
            <v>60930.83</v>
          </cell>
          <cell r="AY569">
            <v>334958</v>
          </cell>
          <cell r="AZ569">
            <v>5758125</v>
          </cell>
          <cell r="BA569">
            <v>14034.772090749941</v>
          </cell>
          <cell r="BB569">
            <v>320923</v>
          </cell>
          <cell r="BC569">
            <v>5772160</v>
          </cell>
        </row>
        <row r="570">
          <cell r="F570" t="str">
            <v>040814-490</v>
          </cell>
          <cell r="G570" t="str">
            <v>Tetap</v>
          </cell>
          <cell r="H570" t="str">
            <v>Leader</v>
          </cell>
          <cell r="I570" t="str">
            <v>Tool Manufacture</v>
          </cell>
          <cell r="J570">
            <v>41855</v>
          </cell>
          <cell r="K570" t="b">
            <v>1</v>
          </cell>
          <cell r="L570">
            <v>41855</v>
          </cell>
          <cell r="M570">
            <v>6</v>
          </cell>
          <cell r="N570">
            <v>9</v>
          </cell>
          <cell r="O570">
            <v>20</v>
          </cell>
          <cell r="Q570">
            <v>5343082</v>
          </cell>
          <cell r="R570">
            <v>4924046</v>
          </cell>
          <cell r="S570">
            <v>5343083</v>
          </cell>
          <cell r="T570">
            <v>300000</v>
          </cell>
          <cell r="U570">
            <v>372177</v>
          </cell>
          <cell r="V570">
            <v>0</v>
          </cell>
          <cell r="W570">
            <v>6015260</v>
          </cell>
          <cell r="X570">
            <v>5</v>
          </cell>
          <cell r="Z570">
            <v>16</v>
          </cell>
          <cell r="AB570">
            <v>21</v>
          </cell>
          <cell r="AC570">
            <v>1432204.7619047619</v>
          </cell>
          <cell r="AD570">
            <v>4583055.2380952379</v>
          </cell>
          <cell r="AE570">
            <v>6015260</v>
          </cell>
          <cell r="AF570">
            <v>0</v>
          </cell>
          <cell r="AG570">
            <v>6015260</v>
          </cell>
          <cell r="AH570" t="b">
            <v>1</v>
          </cell>
          <cell r="AK570">
            <v>6015260</v>
          </cell>
          <cell r="AL570" t="str">
            <v>K1</v>
          </cell>
          <cell r="AM570">
            <v>6015260</v>
          </cell>
          <cell r="AN570">
            <v>29482.224215000064</v>
          </cell>
          <cell r="AQ570">
            <v>0</v>
          </cell>
          <cell r="AR570">
            <v>38000</v>
          </cell>
          <cell r="AS570">
            <v>31700</v>
          </cell>
          <cell r="AU570">
            <v>10000</v>
          </cell>
          <cell r="AV570">
            <v>60152.6</v>
          </cell>
          <cell r="AW570">
            <v>120305.2</v>
          </cell>
          <cell r="AX570">
            <v>60152.6</v>
          </cell>
          <cell r="AY570">
            <v>349793</v>
          </cell>
          <cell r="AZ570">
            <v>5665467</v>
          </cell>
          <cell r="BA570">
            <v>29482.224215000064</v>
          </cell>
          <cell r="BB570">
            <v>320310</v>
          </cell>
          <cell r="BC570">
            <v>5694950</v>
          </cell>
        </row>
        <row r="571">
          <cell r="F571" t="str">
            <v>040814-487</v>
          </cell>
          <cell r="G571" t="str">
            <v>Tetap</v>
          </cell>
          <cell r="H571" t="str">
            <v>Leader</v>
          </cell>
          <cell r="I571" t="str">
            <v>Tool Manufacture</v>
          </cell>
          <cell r="J571">
            <v>41855</v>
          </cell>
          <cell r="K571" t="b">
            <v>1</v>
          </cell>
          <cell r="L571">
            <v>41855</v>
          </cell>
          <cell r="M571">
            <v>6</v>
          </cell>
          <cell r="N571">
            <v>9</v>
          </cell>
          <cell r="O571">
            <v>20</v>
          </cell>
          <cell r="Q571">
            <v>5343082</v>
          </cell>
          <cell r="R571">
            <v>4924046</v>
          </cell>
          <cell r="S571">
            <v>5343083</v>
          </cell>
          <cell r="T571">
            <v>500000</v>
          </cell>
          <cell r="U571">
            <v>0</v>
          </cell>
          <cell r="V571">
            <v>0</v>
          </cell>
          <cell r="W571">
            <v>5843083</v>
          </cell>
          <cell r="X571">
            <v>5</v>
          </cell>
          <cell r="Z571">
            <v>16</v>
          </cell>
          <cell r="AB571">
            <v>21</v>
          </cell>
          <cell r="AC571">
            <v>1391210.2380952381</v>
          </cell>
          <cell r="AD571">
            <v>4451872.7619047621</v>
          </cell>
          <cell r="AE571">
            <v>5843083</v>
          </cell>
          <cell r="AF571">
            <v>0</v>
          </cell>
          <cell r="AG571">
            <v>5843083</v>
          </cell>
          <cell r="AH571" t="b">
            <v>1</v>
          </cell>
          <cell r="AK571">
            <v>5843083</v>
          </cell>
          <cell r="AL571" t="str">
            <v>K3</v>
          </cell>
          <cell r="AM571">
            <v>5843083</v>
          </cell>
          <cell r="AN571">
            <v>0</v>
          </cell>
          <cell r="AQ571">
            <v>0</v>
          </cell>
          <cell r="AV571">
            <v>58430.83</v>
          </cell>
          <cell r="AW571">
            <v>116861.66</v>
          </cell>
          <cell r="AX571">
            <v>58430.83</v>
          </cell>
          <cell r="AY571">
            <v>233723</v>
          </cell>
          <cell r="AZ571">
            <v>5609360</v>
          </cell>
          <cell r="BA571">
            <v>0</v>
          </cell>
          <cell r="BB571">
            <v>233723</v>
          </cell>
          <cell r="BC571">
            <v>5609360</v>
          </cell>
        </row>
        <row r="572">
          <cell r="F572" t="str">
            <v>040814-489</v>
          </cell>
          <cell r="G572" t="str">
            <v>Tetap</v>
          </cell>
          <cell r="H572" t="str">
            <v>Leader</v>
          </cell>
          <cell r="I572" t="str">
            <v>Tool Manufacture</v>
          </cell>
          <cell r="J572">
            <v>41855</v>
          </cell>
          <cell r="K572" t="b">
            <v>1</v>
          </cell>
          <cell r="L572">
            <v>41855</v>
          </cell>
          <cell r="M572">
            <v>6</v>
          </cell>
          <cell r="N572">
            <v>9</v>
          </cell>
          <cell r="O572">
            <v>20</v>
          </cell>
          <cell r="Q572">
            <v>5343082</v>
          </cell>
          <cell r="R572">
            <v>4924046</v>
          </cell>
          <cell r="S572">
            <v>5343083</v>
          </cell>
          <cell r="T572">
            <v>500000</v>
          </cell>
          <cell r="U572">
            <v>200000</v>
          </cell>
          <cell r="V572">
            <v>0</v>
          </cell>
          <cell r="W572">
            <v>6043083</v>
          </cell>
          <cell r="X572">
            <v>5</v>
          </cell>
          <cell r="Z572">
            <v>16</v>
          </cell>
          <cell r="AB572">
            <v>21</v>
          </cell>
          <cell r="AC572">
            <v>1438829.2857142859</v>
          </cell>
          <cell r="AD572">
            <v>4604253.7142857146</v>
          </cell>
          <cell r="AE572">
            <v>6043083</v>
          </cell>
          <cell r="AF572">
            <v>0</v>
          </cell>
          <cell r="AG572">
            <v>6043083</v>
          </cell>
          <cell r="AH572" t="b">
            <v>1</v>
          </cell>
          <cell r="AK572">
            <v>6043083</v>
          </cell>
          <cell r="AL572" t="str">
            <v>K1</v>
          </cell>
          <cell r="AM572">
            <v>6043083</v>
          </cell>
          <cell r="AN572">
            <v>30452.759590749938</v>
          </cell>
          <cell r="AQ572">
            <v>0</v>
          </cell>
          <cell r="AR572">
            <v>38000</v>
          </cell>
          <cell r="AS572">
            <v>31700</v>
          </cell>
          <cell r="AV572">
            <v>58430.83</v>
          </cell>
          <cell r="AW572">
            <v>120861.66</v>
          </cell>
          <cell r="AX572">
            <v>60430.83</v>
          </cell>
          <cell r="AY572">
            <v>339876</v>
          </cell>
          <cell r="AZ572">
            <v>5703207</v>
          </cell>
          <cell r="BA572">
            <v>30452.759590749938</v>
          </cell>
          <cell r="BB572">
            <v>309423</v>
          </cell>
          <cell r="BC572">
            <v>5733660</v>
          </cell>
        </row>
        <row r="573">
          <cell r="F573" t="str">
            <v>240715-001</v>
          </cell>
          <cell r="G573" t="str">
            <v>Tetap</v>
          </cell>
          <cell r="H573" t="str">
            <v>Staff</v>
          </cell>
          <cell r="I573" t="str">
            <v>Tool Manufacture</v>
          </cell>
          <cell r="J573">
            <v>42209</v>
          </cell>
          <cell r="K573" t="b">
            <v>1</v>
          </cell>
          <cell r="L573">
            <v>42209</v>
          </cell>
          <cell r="M573">
            <v>5</v>
          </cell>
          <cell r="N573">
            <v>10</v>
          </cell>
          <cell r="O573">
            <v>0</v>
          </cell>
          <cell r="Q573">
            <v>5524823</v>
          </cell>
          <cell r="R573">
            <v>5343083</v>
          </cell>
          <cell r="S573">
            <v>5343083</v>
          </cell>
          <cell r="T573">
            <v>0</v>
          </cell>
          <cell r="U573">
            <v>181740</v>
          </cell>
          <cell r="V573">
            <v>0</v>
          </cell>
          <cell r="W573">
            <v>5524823</v>
          </cell>
          <cell r="X573">
            <v>5</v>
          </cell>
          <cell r="Z573">
            <v>16</v>
          </cell>
          <cell r="AB573">
            <v>21</v>
          </cell>
          <cell r="AC573">
            <v>1315434.0476190476</v>
          </cell>
          <cell r="AD573">
            <v>4209388.9523809524</v>
          </cell>
          <cell r="AE573">
            <v>5524823</v>
          </cell>
          <cell r="AF573">
            <v>0</v>
          </cell>
          <cell r="AG573">
            <v>5524823</v>
          </cell>
          <cell r="AH573" t="b">
            <v>1</v>
          </cell>
          <cell r="AK573">
            <v>5524823</v>
          </cell>
          <cell r="AL573" t="str">
            <v>K1</v>
          </cell>
          <cell r="AM573">
            <v>5524823</v>
          </cell>
          <cell r="AN573">
            <v>5676.2896257499551</v>
          </cell>
          <cell r="AQ573">
            <v>0</v>
          </cell>
          <cell r="AS573">
            <v>31700</v>
          </cell>
          <cell r="AV573">
            <v>55248.23</v>
          </cell>
          <cell r="AW573">
            <v>110496.46</v>
          </cell>
          <cell r="AX573">
            <v>55248.23</v>
          </cell>
          <cell r="AY573">
            <v>258369</v>
          </cell>
          <cell r="AZ573">
            <v>5266454</v>
          </cell>
          <cell r="BA573">
            <v>5676.2896257499551</v>
          </cell>
          <cell r="BB573">
            <v>252693</v>
          </cell>
          <cell r="BC573">
            <v>5272130</v>
          </cell>
        </row>
        <row r="574">
          <cell r="F574" t="str">
            <v>080318-001</v>
          </cell>
          <cell r="G574" t="str">
            <v>Pembaharuan</v>
          </cell>
          <cell r="H574" t="str">
            <v>Staff</v>
          </cell>
          <cell r="I574" t="str">
            <v>Tool Manufacture</v>
          </cell>
          <cell r="J574">
            <v>43167</v>
          </cell>
          <cell r="K574" t="b">
            <v>1</v>
          </cell>
          <cell r="L574">
            <v>43167</v>
          </cell>
          <cell r="M574">
            <v>3</v>
          </cell>
          <cell r="N574">
            <v>2</v>
          </cell>
          <cell r="O574">
            <v>16</v>
          </cell>
          <cell r="Q574">
            <v>5343082</v>
          </cell>
          <cell r="R574">
            <v>5343083</v>
          </cell>
          <cell r="S574">
            <v>5343083</v>
          </cell>
          <cell r="T574">
            <v>0</v>
          </cell>
          <cell r="U574">
            <v>0</v>
          </cell>
          <cell r="V574">
            <v>160292</v>
          </cell>
          <cell r="W574">
            <v>5503375</v>
          </cell>
          <cell r="X574">
            <v>5</v>
          </cell>
          <cell r="Z574">
            <v>16</v>
          </cell>
          <cell r="AB574">
            <v>21</v>
          </cell>
          <cell r="AC574">
            <v>1310327.3809523808</v>
          </cell>
          <cell r="AD574">
            <v>4193047.6190476189</v>
          </cell>
          <cell r="AE574">
            <v>5503375</v>
          </cell>
          <cell r="AF574">
            <v>0</v>
          </cell>
          <cell r="AG574">
            <v>5503375</v>
          </cell>
          <cell r="AH574" t="b">
            <v>1</v>
          </cell>
          <cell r="AK574">
            <v>5503375</v>
          </cell>
          <cell r="AL574" t="str">
            <v>K1</v>
          </cell>
          <cell r="AM574">
            <v>5503375</v>
          </cell>
          <cell r="AN574">
            <v>4635.1983437499657</v>
          </cell>
          <cell r="AQ574">
            <v>0</v>
          </cell>
          <cell r="AR574">
            <v>38000</v>
          </cell>
          <cell r="AS574">
            <v>31700</v>
          </cell>
          <cell r="AU574">
            <v>10000</v>
          </cell>
          <cell r="AV574">
            <v>55033.75</v>
          </cell>
          <cell r="AW574">
            <v>110067.5</v>
          </cell>
          <cell r="AX574">
            <v>55033.75</v>
          </cell>
          <cell r="AY574">
            <v>304470</v>
          </cell>
          <cell r="AZ574">
            <v>5198905</v>
          </cell>
          <cell r="BA574">
            <v>4635.1983437499657</v>
          </cell>
          <cell r="BB574">
            <v>299835</v>
          </cell>
          <cell r="BC574">
            <v>5203540</v>
          </cell>
        </row>
        <row r="575">
          <cell r="F575" t="str">
            <v>281020-002</v>
          </cell>
          <cell r="G575" t="str">
            <v>Kontrak 1</v>
          </cell>
          <cell r="H575" t="str">
            <v>Pelaksana</v>
          </cell>
          <cell r="I575" t="str">
            <v>Tool Manufacture</v>
          </cell>
          <cell r="J575" t="str">
            <v>28 Oktober 2020</v>
          </cell>
          <cell r="K575" t="b">
            <v>0</v>
          </cell>
          <cell r="L575">
            <v>44132</v>
          </cell>
          <cell r="M575">
            <v>0</v>
          </cell>
          <cell r="N575">
            <v>6</v>
          </cell>
          <cell r="O575">
            <v>26</v>
          </cell>
          <cell r="Q575">
            <v>5343082</v>
          </cell>
          <cell r="R575">
            <v>4924046</v>
          </cell>
          <cell r="S575">
            <v>5343083</v>
          </cell>
          <cell r="T575">
            <v>0</v>
          </cell>
          <cell r="U575">
            <v>0</v>
          </cell>
          <cell r="V575">
            <v>0</v>
          </cell>
          <cell r="W575">
            <v>5343083</v>
          </cell>
          <cell r="X575">
            <v>5</v>
          </cell>
          <cell r="Z575">
            <v>16</v>
          </cell>
          <cell r="AB575">
            <v>21</v>
          </cell>
          <cell r="AC575">
            <v>1272162.6190476192</v>
          </cell>
          <cell r="AD575">
            <v>4070920.3809523811</v>
          </cell>
          <cell r="AE575">
            <v>5343083</v>
          </cell>
          <cell r="AF575">
            <v>0</v>
          </cell>
          <cell r="AG575">
            <v>5343083</v>
          </cell>
          <cell r="AH575" t="b">
            <v>1</v>
          </cell>
          <cell r="AK575">
            <v>5343083</v>
          </cell>
          <cell r="AL575" t="str">
            <v>TK</v>
          </cell>
          <cell r="AM575">
            <v>5343083</v>
          </cell>
          <cell r="AN575">
            <v>34354.584590750004</v>
          </cell>
          <cell r="AQ575">
            <v>0</v>
          </cell>
          <cell r="AR575">
            <v>38000</v>
          </cell>
          <cell r="AS575">
            <v>31700</v>
          </cell>
          <cell r="AV575">
            <v>53430.83</v>
          </cell>
          <cell r="AW575">
            <v>106861.66</v>
          </cell>
          <cell r="AX575">
            <v>53430.83</v>
          </cell>
          <cell r="AY575">
            <v>317778</v>
          </cell>
          <cell r="AZ575">
            <v>5025305</v>
          </cell>
          <cell r="BA575">
            <v>34354.584590750004</v>
          </cell>
          <cell r="BB575">
            <v>283423</v>
          </cell>
          <cell r="BC575">
            <v>5059660</v>
          </cell>
        </row>
        <row r="576">
          <cell r="F576" t="str">
            <v>071220-003</v>
          </cell>
          <cell r="G576" t="str">
            <v>Recall Kontrak 1</v>
          </cell>
          <cell r="H576" t="str">
            <v>Adm</v>
          </cell>
          <cell r="I576" t="str">
            <v>Tool Manufacture</v>
          </cell>
          <cell r="J576" t="str">
            <v>07 Desember 2020</v>
          </cell>
          <cell r="K576" t="b">
            <v>0</v>
          </cell>
          <cell r="L576">
            <v>44172</v>
          </cell>
          <cell r="M576">
            <v>0</v>
          </cell>
          <cell r="N576">
            <v>5</v>
          </cell>
          <cell r="O576">
            <v>17</v>
          </cell>
          <cell r="Q576">
            <v>5343082</v>
          </cell>
          <cell r="R576">
            <v>4924046</v>
          </cell>
          <cell r="S576">
            <v>5343083</v>
          </cell>
          <cell r="T576">
            <v>0</v>
          </cell>
          <cell r="U576">
            <v>0</v>
          </cell>
          <cell r="V576">
            <v>0</v>
          </cell>
          <cell r="W576">
            <v>5343083</v>
          </cell>
          <cell r="X576">
            <v>5</v>
          </cell>
          <cell r="Z576">
            <v>16</v>
          </cell>
          <cell r="AB576">
            <v>21</v>
          </cell>
          <cell r="AC576">
            <v>1272162.6190476192</v>
          </cell>
          <cell r="AD576">
            <v>4070920.3809523811</v>
          </cell>
          <cell r="AE576">
            <v>5343083</v>
          </cell>
          <cell r="AF576">
            <v>0</v>
          </cell>
          <cell r="AG576">
            <v>5343083</v>
          </cell>
          <cell r="AH576" t="b">
            <v>1</v>
          </cell>
          <cell r="AK576">
            <v>5343083</v>
          </cell>
          <cell r="AL576" t="str">
            <v>TK</v>
          </cell>
          <cell r="AM576">
            <v>5343083</v>
          </cell>
          <cell r="AN576">
            <v>34354.584590750004</v>
          </cell>
          <cell r="AQ576">
            <v>0</v>
          </cell>
          <cell r="AR576">
            <v>38000</v>
          </cell>
          <cell r="AS576">
            <v>31700</v>
          </cell>
          <cell r="AV576">
            <v>53430.83</v>
          </cell>
          <cell r="AW576">
            <v>106861.66</v>
          </cell>
          <cell r="AX576">
            <v>53430.83</v>
          </cell>
          <cell r="AY576">
            <v>317778</v>
          </cell>
          <cell r="AZ576">
            <v>5025305</v>
          </cell>
          <cell r="BA576">
            <v>34354.584590750004</v>
          </cell>
          <cell r="BB576">
            <v>283423</v>
          </cell>
          <cell r="BC576">
            <v>5059660</v>
          </cell>
        </row>
        <row r="577">
          <cell r="F577" t="str">
            <v>131016-004</v>
          </cell>
          <cell r="G577" t="str">
            <v>Tetap</v>
          </cell>
          <cell r="H577" t="str">
            <v>Officer</v>
          </cell>
          <cell r="I577" t="str">
            <v>Tool Manufacture</v>
          </cell>
          <cell r="J577">
            <v>42656</v>
          </cell>
          <cell r="K577" t="b">
            <v>1</v>
          </cell>
          <cell r="L577">
            <v>42656</v>
          </cell>
          <cell r="M577">
            <v>4</v>
          </cell>
          <cell r="N577">
            <v>7</v>
          </cell>
          <cell r="O577">
            <v>11</v>
          </cell>
          <cell r="Q577">
            <v>5343082</v>
          </cell>
          <cell r="R577">
            <v>4924046</v>
          </cell>
          <cell r="S577">
            <v>5343083</v>
          </cell>
          <cell r="T577">
            <v>500000</v>
          </cell>
          <cell r="U577">
            <v>300000</v>
          </cell>
          <cell r="V577">
            <v>42500</v>
          </cell>
          <cell r="W577">
            <v>6185583</v>
          </cell>
          <cell r="X577">
            <v>5</v>
          </cell>
          <cell r="Z577">
            <v>16</v>
          </cell>
          <cell r="AB577">
            <v>21</v>
          </cell>
          <cell r="AC577">
            <v>1472757.857142857</v>
          </cell>
          <cell r="AD577">
            <v>4712825.1428571427</v>
          </cell>
          <cell r="AE577">
            <v>6185583</v>
          </cell>
          <cell r="AF577">
            <v>0</v>
          </cell>
          <cell r="AG577">
            <v>6185583</v>
          </cell>
          <cell r="AH577" t="b">
            <v>1</v>
          </cell>
          <cell r="AK577">
            <v>6185583</v>
          </cell>
          <cell r="AL577" t="str">
            <v>TK</v>
          </cell>
          <cell r="AM577">
            <v>6185583</v>
          </cell>
          <cell r="AN577">
            <v>74299.745215749994</v>
          </cell>
          <cell r="AQ577">
            <v>0</v>
          </cell>
          <cell r="AR577">
            <v>38000</v>
          </cell>
          <cell r="AS577">
            <v>31700</v>
          </cell>
          <cell r="AV577">
            <v>56855.83</v>
          </cell>
          <cell r="AW577">
            <v>123711.66</v>
          </cell>
          <cell r="AX577">
            <v>61855.83</v>
          </cell>
          <cell r="AY577">
            <v>386423</v>
          </cell>
          <cell r="AZ577">
            <v>5799160</v>
          </cell>
          <cell r="BA577">
            <v>74299.745215749994</v>
          </cell>
          <cell r="BB577">
            <v>312123</v>
          </cell>
          <cell r="BC577">
            <v>5873460</v>
          </cell>
        </row>
        <row r="578">
          <cell r="F578" t="str">
            <v>260421-002</v>
          </cell>
          <cell r="G578" t="str">
            <v>Pembaharuan</v>
          </cell>
          <cell r="H578" t="str">
            <v>Specialist</v>
          </cell>
          <cell r="I578" t="str">
            <v>Tool Manufacture</v>
          </cell>
          <cell r="J578" t="e">
            <v>#N/A</v>
          </cell>
          <cell r="K578" t="e">
            <v>#N/A</v>
          </cell>
          <cell r="L578">
            <v>44312</v>
          </cell>
          <cell r="M578">
            <v>0</v>
          </cell>
          <cell r="N578">
            <v>0</v>
          </cell>
          <cell r="O578">
            <v>28</v>
          </cell>
          <cell r="Q578">
            <v>5343082</v>
          </cell>
          <cell r="R578">
            <v>4924046</v>
          </cell>
          <cell r="S578">
            <v>5343083</v>
          </cell>
          <cell r="T578">
            <v>0</v>
          </cell>
          <cell r="U578">
            <v>300000</v>
          </cell>
          <cell r="V578">
            <v>0</v>
          </cell>
          <cell r="W578">
            <v>5643083</v>
          </cell>
          <cell r="X578">
            <v>5</v>
          </cell>
          <cell r="Z578">
            <v>16</v>
          </cell>
          <cell r="AB578">
            <v>21</v>
          </cell>
          <cell r="AC578">
            <v>1343591.1904761905</v>
          </cell>
          <cell r="AD578">
            <v>4299491.8095238097</v>
          </cell>
          <cell r="AE578">
            <v>5643083</v>
          </cell>
          <cell r="AF578">
            <v>0</v>
          </cell>
          <cell r="AG578">
            <v>5643083</v>
          </cell>
          <cell r="AH578" t="b">
            <v>1</v>
          </cell>
          <cell r="AK578">
            <v>5643083</v>
          </cell>
          <cell r="AL578" t="str">
            <v>K3</v>
          </cell>
          <cell r="AM578">
            <v>5643083</v>
          </cell>
          <cell r="AN578">
            <v>0</v>
          </cell>
          <cell r="AQ578">
            <v>0</v>
          </cell>
          <cell r="AS578">
            <v>31700</v>
          </cell>
          <cell r="AV578">
            <v>53430.83</v>
          </cell>
          <cell r="AW578">
            <v>112861.66</v>
          </cell>
          <cell r="AX578">
            <v>56430.83</v>
          </cell>
          <cell r="AY578">
            <v>254423</v>
          </cell>
          <cell r="AZ578">
            <v>5388660</v>
          </cell>
          <cell r="BA578">
            <v>0</v>
          </cell>
          <cell r="BB578">
            <v>254423</v>
          </cell>
          <cell r="BC578">
            <v>5388660</v>
          </cell>
        </row>
        <row r="579">
          <cell r="F579" t="str">
            <v>031116-001</v>
          </cell>
          <cell r="G579" t="str">
            <v>Tetap</v>
          </cell>
          <cell r="H579" t="str">
            <v>Pelaksana</v>
          </cell>
          <cell r="I579" t="str">
            <v>Tool Manufacture</v>
          </cell>
          <cell r="J579" t="str">
            <v>03 Nopember 2016</v>
          </cell>
          <cell r="K579" t="b">
            <v>0</v>
          </cell>
          <cell r="L579">
            <v>42677</v>
          </cell>
          <cell r="M579">
            <v>4</v>
          </cell>
          <cell r="N579">
            <v>6</v>
          </cell>
          <cell r="O579">
            <v>21</v>
          </cell>
          <cell r="Q579">
            <v>5343082</v>
          </cell>
          <cell r="R579">
            <v>4924046</v>
          </cell>
          <cell r="S579">
            <v>5343083</v>
          </cell>
          <cell r="T579">
            <v>0</v>
          </cell>
          <cell r="U579">
            <v>0</v>
          </cell>
          <cell r="V579">
            <v>0</v>
          </cell>
          <cell r="W579">
            <v>5343083</v>
          </cell>
          <cell r="X579">
            <v>5</v>
          </cell>
          <cell r="Z579">
            <v>16</v>
          </cell>
          <cell r="AB579">
            <v>21</v>
          </cell>
          <cell r="AC579">
            <v>1272162.6190476192</v>
          </cell>
          <cell r="AD579">
            <v>4070920.3809523811</v>
          </cell>
          <cell r="AE579">
            <v>5343083</v>
          </cell>
          <cell r="AF579">
            <v>0</v>
          </cell>
          <cell r="AG579">
            <v>5343083</v>
          </cell>
          <cell r="AH579" t="b">
            <v>1</v>
          </cell>
          <cell r="AK579">
            <v>5343083</v>
          </cell>
          <cell r="AL579" t="str">
            <v>TK</v>
          </cell>
          <cell r="AM579">
            <v>5343083</v>
          </cell>
          <cell r="AN579">
            <v>34354.584590750004</v>
          </cell>
          <cell r="AQ579">
            <v>0</v>
          </cell>
          <cell r="AR579">
            <v>38000</v>
          </cell>
          <cell r="AS579">
            <v>31700</v>
          </cell>
          <cell r="AV579">
            <v>53430.83</v>
          </cell>
          <cell r="AW579">
            <v>106861.66</v>
          </cell>
          <cell r="AX579">
            <v>53430.83</v>
          </cell>
          <cell r="AY579">
            <v>317778</v>
          </cell>
          <cell r="AZ579">
            <v>5025305</v>
          </cell>
          <cell r="BA579">
            <v>34354.584590750004</v>
          </cell>
          <cell r="BB579">
            <v>283423</v>
          </cell>
          <cell r="BC579">
            <v>5059660</v>
          </cell>
        </row>
        <row r="580">
          <cell r="F580" t="str">
            <v>150716-004</v>
          </cell>
          <cell r="G580" t="str">
            <v>Tetap</v>
          </cell>
          <cell r="H580" t="str">
            <v>Pelaksana</v>
          </cell>
          <cell r="I580" t="str">
            <v>Tool Manufacture</v>
          </cell>
          <cell r="J580">
            <v>42566</v>
          </cell>
          <cell r="K580" t="b">
            <v>1</v>
          </cell>
          <cell r="L580">
            <v>42566</v>
          </cell>
          <cell r="M580">
            <v>4</v>
          </cell>
          <cell r="N580">
            <v>10</v>
          </cell>
          <cell r="O580">
            <v>9</v>
          </cell>
          <cell r="Q580">
            <v>5343082</v>
          </cell>
          <cell r="R580">
            <v>4924046</v>
          </cell>
          <cell r="S580">
            <v>5343083</v>
          </cell>
          <cell r="T580">
            <v>0</v>
          </cell>
          <cell r="U580">
            <v>0</v>
          </cell>
          <cell r="V580">
            <v>0</v>
          </cell>
          <cell r="W580">
            <v>5343083</v>
          </cell>
          <cell r="X580">
            <v>5</v>
          </cell>
          <cell r="Z580">
            <v>16</v>
          </cell>
          <cell r="AB580">
            <v>21</v>
          </cell>
          <cell r="AC580">
            <v>1272162.6190476192</v>
          </cell>
          <cell r="AD580">
            <v>4070920.3809523811</v>
          </cell>
          <cell r="AE580">
            <v>5343083</v>
          </cell>
          <cell r="AF580">
            <v>0</v>
          </cell>
          <cell r="AG580">
            <v>5343083</v>
          </cell>
          <cell r="AH580" t="b">
            <v>1</v>
          </cell>
          <cell r="AK580">
            <v>5343083</v>
          </cell>
          <cell r="AL580" t="str">
            <v>K1</v>
          </cell>
          <cell r="AM580">
            <v>5343083</v>
          </cell>
          <cell r="AN580">
            <v>0</v>
          </cell>
          <cell r="AQ580">
            <v>0</v>
          </cell>
          <cell r="AS580">
            <v>31700</v>
          </cell>
          <cell r="AV580">
            <v>53430.83</v>
          </cell>
          <cell r="AW580">
            <v>106861.66</v>
          </cell>
          <cell r="AX580">
            <v>53430.83</v>
          </cell>
          <cell r="AY580">
            <v>245423</v>
          </cell>
          <cell r="AZ580">
            <v>5097660</v>
          </cell>
          <cell r="BA580">
            <v>0</v>
          </cell>
          <cell r="BB580">
            <v>245423</v>
          </cell>
          <cell r="BC580">
            <v>5097660</v>
          </cell>
        </row>
        <row r="581">
          <cell r="F581" t="str">
            <v>200819-001</v>
          </cell>
          <cell r="G581" t="str">
            <v>Pembaharuan</v>
          </cell>
          <cell r="H581" t="str">
            <v>Pelaksana</v>
          </cell>
          <cell r="I581" t="str">
            <v>Tool Manufacture</v>
          </cell>
          <cell r="J581" t="str">
            <v>20 Agustus 2019</v>
          </cell>
          <cell r="K581" t="b">
            <v>0</v>
          </cell>
          <cell r="L581">
            <v>43697</v>
          </cell>
          <cell r="M581">
            <v>1</v>
          </cell>
          <cell r="N581">
            <v>9</v>
          </cell>
          <cell r="O581">
            <v>4</v>
          </cell>
          <cell r="Q581">
            <v>5343082</v>
          </cell>
          <cell r="R581">
            <v>4924046</v>
          </cell>
          <cell r="S581">
            <v>5343083</v>
          </cell>
          <cell r="T581">
            <v>0</v>
          </cell>
          <cell r="U581">
            <v>0</v>
          </cell>
          <cell r="V581">
            <v>0</v>
          </cell>
          <cell r="W581">
            <v>5343083</v>
          </cell>
          <cell r="X581">
            <v>5</v>
          </cell>
          <cell r="Z581">
            <v>16</v>
          </cell>
          <cell r="AB581">
            <v>21</v>
          </cell>
          <cell r="AC581">
            <v>1272162.6190476192</v>
          </cell>
          <cell r="AD581">
            <v>4070920.3809523811</v>
          </cell>
          <cell r="AE581">
            <v>5343083</v>
          </cell>
          <cell r="AF581">
            <v>0</v>
          </cell>
          <cell r="AG581">
            <v>5343083</v>
          </cell>
          <cell r="AH581" t="b">
            <v>1</v>
          </cell>
          <cell r="AK581">
            <v>5343083</v>
          </cell>
          <cell r="AL581" t="str">
            <v>K1</v>
          </cell>
          <cell r="AM581">
            <v>5088650</v>
          </cell>
          <cell r="AN581">
            <v>0</v>
          </cell>
          <cell r="AP581">
            <v>1</v>
          </cell>
          <cell r="AQ581">
            <v>254433</v>
          </cell>
          <cell r="AS581">
            <v>31700</v>
          </cell>
          <cell r="AV581">
            <v>53430.83</v>
          </cell>
          <cell r="AW581">
            <v>106861.66</v>
          </cell>
          <cell r="AX581">
            <v>53430.83</v>
          </cell>
          <cell r="AY581">
            <v>499856</v>
          </cell>
          <cell r="AZ581">
            <v>4843227</v>
          </cell>
          <cell r="BA581">
            <v>0</v>
          </cell>
          <cell r="BB581">
            <v>499856</v>
          </cell>
          <cell r="BC581">
            <v>4843227</v>
          </cell>
        </row>
        <row r="582">
          <cell r="F582" t="str">
            <v>040814-491</v>
          </cell>
          <cell r="G582" t="str">
            <v>Tetap</v>
          </cell>
          <cell r="H582" t="str">
            <v>Pelaksana</v>
          </cell>
          <cell r="I582" t="str">
            <v>Tool Manufacture</v>
          </cell>
          <cell r="J582">
            <v>41855</v>
          </cell>
          <cell r="K582" t="b">
            <v>1</v>
          </cell>
          <cell r="L582">
            <v>41855</v>
          </cell>
          <cell r="M582">
            <v>6</v>
          </cell>
          <cell r="N582">
            <v>9</v>
          </cell>
          <cell r="O582">
            <v>20</v>
          </cell>
          <cell r="Q582">
            <v>5343082</v>
          </cell>
          <cell r="R582">
            <v>4924046</v>
          </cell>
          <cell r="S582">
            <v>5343083</v>
          </cell>
          <cell r="T582">
            <v>0</v>
          </cell>
          <cell r="U582">
            <v>0</v>
          </cell>
          <cell r="V582">
            <v>0</v>
          </cell>
          <cell r="W582">
            <v>5343083</v>
          </cell>
          <cell r="X582">
            <v>5</v>
          </cell>
          <cell r="Z582">
            <v>16</v>
          </cell>
          <cell r="AB582">
            <v>21</v>
          </cell>
          <cell r="AC582">
            <v>1272162.6190476192</v>
          </cell>
          <cell r="AD582">
            <v>4070920.3809523811</v>
          </cell>
          <cell r="AE582">
            <v>5343083</v>
          </cell>
          <cell r="AF582">
            <v>0</v>
          </cell>
          <cell r="AG582">
            <v>5343083</v>
          </cell>
          <cell r="AH582" t="b">
            <v>1</v>
          </cell>
          <cell r="AK582">
            <v>5343083</v>
          </cell>
          <cell r="AL582" t="str">
            <v>K0</v>
          </cell>
          <cell r="AM582">
            <v>5343083</v>
          </cell>
          <cell r="AN582">
            <v>15604.584590750002</v>
          </cell>
          <cell r="AQ582">
            <v>0</v>
          </cell>
          <cell r="AR582">
            <v>38000</v>
          </cell>
          <cell r="AS582">
            <v>31700</v>
          </cell>
          <cell r="AV582">
            <v>53430.83</v>
          </cell>
          <cell r="AW582">
            <v>106861.66</v>
          </cell>
          <cell r="AX582">
            <v>53430.83</v>
          </cell>
          <cell r="AY582">
            <v>299028</v>
          </cell>
          <cell r="AZ582">
            <v>5044055</v>
          </cell>
          <cell r="BA582">
            <v>15604.584590750002</v>
          </cell>
          <cell r="BB582">
            <v>283423</v>
          </cell>
          <cell r="BC582">
            <v>5059660</v>
          </cell>
        </row>
        <row r="583">
          <cell r="F583" t="str">
            <v>131016-005</v>
          </cell>
          <cell r="G583" t="str">
            <v>Tetap</v>
          </cell>
          <cell r="H583" t="str">
            <v>Specialist</v>
          </cell>
          <cell r="I583" t="str">
            <v>Tool Manufacture</v>
          </cell>
          <cell r="J583">
            <v>42656</v>
          </cell>
          <cell r="K583" t="b">
            <v>1</v>
          </cell>
          <cell r="L583">
            <v>42656</v>
          </cell>
          <cell r="M583">
            <v>4</v>
          </cell>
          <cell r="N583">
            <v>7</v>
          </cell>
          <cell r="O583">
            <v>11</v>
          </cell>
          <cell r="Q583">
            <v>5343082</v>
          </cell>
          <cell r="R583">
            <v>5343083</v>
          </cell>
          <cell r="S583">
            <v>5343083</v>
          </cell>
          <cell r="T583">
            <v>0</v>
          </cell>
          <cell r="U583">
            <v>300000</v>
          </cell>
          <cell r="V583">
            <v>267154</v>
          </cell>
          <cell r="W583">
            <v>5910237</v>
          </cell>
          <cell r="X583">
            <v>5</v>
          </cell>
          <cell r="Z583">
            <v>16</v>
          </cell>
          <cell r="AB583">
            <v>21</v>
          </cell>
          <cell r="AC583">
            <v>1407199.2857142859</v>
          </cell>
          <cell r="AD583">
            <v>4503037.7142857146</v>
          </cell>
          <cell r="AE583">
            <v>5910237</v>
          </cell>
          <cell r="AF583">
            <v>0</v>
          </cell>
          <cell r="AG583">
            <v>5910237</v>
          </cell>
          <cell r="AH583" t="b">
            <v>1</v>
          </cell>
          <cell r="AK583">
            <v>5910237</v>
          </cell>
          <cell r="AL583" t="str">
            <v>TK</v>
          </cell>
          <cell r="AM583">
            <v>5910237</v>
          </cell>
          <cell r="AN583">
            <v>61314.381539250047</v>
          </cell>
          <cell r="AQ583">
            <v>0</v>
          </cell>
          <cell r="AR583">
            <v>38000</v>
          </cell>
          <cell r="AS583">
            <v>31700</v>
          </cell>
          <cell r="AV583">
            <v>56102.37</v>
          </cell>
          <cell r="AW583">
            <v>118204.74</v>
          </cell>
          <cell r="AX583">
            <v>59102.37</v>
          </cell>
          <cell r="AY583">
            <v>364424</v>
          </cell>
          <cell r="AZ583">
            <v>5545813</v>
          </cell>
          <cell r="BA583">
            <v>61314.381539250047</v>
          </cell>
          <cell r="BB583">
            <v>303109</v>
          </cell>
          <cell r="BC583">
            <v>5607128</v>
          </cell>
        </row>
        <row r="584">
          <cell r="F584" t="str">
            <v>041119-001</v>
          </cell>
          <cell r="G584" t="str">
            <v>Kontrak 2</v>
          </cell>
          <cell r="H584" t="str">
            <v>Pelaksana</v>
          </cell>
          <cell r="I584" t="str">
            <v>Tool Manufacture</v>
          </cell>
          <cell r="J584">
            <v>43773</v>
          </cell>
          <cell r="K584" t="b">
            <v>1</v>
          </cell>
          <cell r="L584">
            <v>43773</v>
          </cell>
          <cell r="M584">
            <v>1</v>
          </cell>
          <cell r="N584">
            <v>6</v>
          </cell>
          <cell r="O584">
            <v>20</v>
          </cell>
          <cell r="Q584">
            <v>5343082</v>
          </cell>
          <cell r="R584">
            <v>4924046</v>
          </cell>
          <cell r="S584">
            <v>5343083</v>
          </cell>
          <cell r="T584">
            <v>0</v>
          </cell>
          <cell r="U584">
            <v>0</v>
          </cell>
          <cell r="V584">
            <v>0</v>
          </cell>
          <cell r="W584">
            <v>5343083</v>
          </cell>
          <cell r="X584">
            <v>5</v>
          </cell>
          <cell r="Z584">
            <v>16</v>
          </cell>
          <cell r="AB584">
            <v>21</v>
          </cell>
          <cell r="AC584">
            <v>1272162.6190476192</v>
          </cell>
          <cell r="AD584">
            <v>4070920.3809523811</v>
          </cell>
          <cell r="AE584">
            <v>5343083</v>
          </cell>
          <cell r="AF584">
            <v>0</v>
          </cell>
          <cell r="AG584">
            <v>5343083</v>
          </cell>
          <cell r="AH584" t="b">
            <v>1</v>
          </cell>
          <cell r="AK584">
            <v>5343083</v>
          </cell>
          <cell r="AL584" t="str">
            <v>K1</v>
          </cell>
          <cell r="AM584">
            <v>5343083</v>
          </cell>
          <cell r="AN584">
            <v>0</v>
          </cell>
          <cell r="AQ584">
            <v>0</v>
          </cell>
          <cell r="AR584">
            <v>38000</v>
          </cell>
          <cell r="AS584">
            <v>31700</v>
          </cell>
          <cell r="AV584">
            <v>53430.83</v>
          </cell>
          <cell r="AW584">
            <v>106861.66</v>
          </cell>
          <cell r="AX584">
            <v>53430.83</v>
          </cell>
          <cell r="AY584">
            <v>283423</v>
          </cell>
          <cell r="AZ584">
            <v>5059660</v>
          </cell>
          <cell r="BA584">
            <v>0</v>
          </cell>
          <cell r="BB584">
            <v>283423</v>
          </cell>
          <cell r="BC584">
            <v>5059660</v>
          </cell>
        </row>
        <row r="585">
          <cell r="F585" t="str">
            <v>111119-001</v>
          </cell>
          <cell r="G585" t="str">
            <v>Kontrak 2</v>
          </cell>
          <cell r="H585" t="str">
            <v>Pelaksana</v>
          </cell>
          <cell r="I585" t="str">
            <v>Tool Manufacture</v>
          </cell>
          <cell r="J585">
            <v>43780</v>
          </cell>
          <cell r="K585" t="b">
            <v>1</v>
          </cell>
          <cell r="L585">
            <v>43780</v>
          </cell>
          <cell r="M585">
            <v>1</v>
          </cell>
          <cell r="N585">
            <v>6</v>
          </cell>
          <cell r="O585">
            <v>13</v>
          </cell>
          <cell r="Q585">
            <v>5343082</v>
          </cell>
          <cell r="R585">
            <v>4924046</v>
          </cell>
          <cell r="S585">
            <v>5343083</v>
          </cell>
          <cell r="T585">
            <v>0</v>
          </cell>
          <cell r="U585">
            <v>0</v>
          </cell>
          <cell r="V585">
            <v>0</v>
          </cell>
          <cell r="W585">
            <v>5343083</v>
          </cell>
          <cell r="X585">
            <v>5</v>
          </cell>
          <cell r="Z585">
            <v>16</v>
          </cell>
          <cell r="AB585">
            <v>21</v>
          </cell>
          <cell r="AC585">
            <v>1272162.6190476192</v>
          </cell>
          <cell r="AD585">
            <v>4070920.3809523811</v>
          </cell>
          <cell r="AE585">
            <v>5343083</v>
          </cell>
          <cell r="AF585">
            <v>0</v>
          </cell>
          <cell r="AG585">
            <v>5343083</v>
          </cell>
          <cell r="AH585" t="b">
            <v>1</v>
          </cell>
          <cell r="AK585">
            <v>5343083</v>
          </cell>
          <cell r="AL585" t="str">
            <v>K1</v>
          </cell>
          <cell r="AM585">
            <v>5343083</v>
          </cell>
          <cell r="AN585">
            <v>0</v>
          </cell>
          <cell r="AQ585">
            <v>0</v>
          </cell>
          <cell r="AR585">
            <v>38000</v>
          </cell>
          <cell r="AS585">
            <v>31700</v>
          </cell>
          <cell r="AV585">
            <v>53430.83</v>
          </cell>
          <cell r="AW585">
            <v>106861.66</v>
          </cell>
          <cell r="AX585">
            <v>53430.83</v>
          </cell>
          <cell r="AY585">
            <v>283423</v>
          </cell>
          <cell r="AZ585">
            <v>5059660</v>
          </cell>
          <cell r="BA585">
            <v>0</v>
          </cell>
          <cell r="BB585">
            <v>283423</v>
          </cell>
          <cell r="BC585">
            <v>5059660</v>
          </cell>
        </row>
        <row r="586">
          <cell r="F586" t="str">
            <v>240220-003</v>
          </cell>
          <cell r="G586" t="str">
            <v>Kontrak 2</v>
          </cell>
          <cell r="H586" t="str">
            <v>Pelaksana</v>
          </cell>
          <cell r="I586" t="str">
            <v>Tool Manufacture</v>
          </cell>
          <cell r="J586">
            <v>43885</v>
          </cell>
          <cell r="K586" t="b">
            <v>1</v>
          </cell>
          <cell r="L586">
            <v>43885</v>
          </cell>
          <cell r="M586">
            <v>1</v>
          </cell>
          <cell r="N586">
            <v>3</v>
          </cell>
          <cell r="O586">
            <v>0</v>
          </cell>
          <cell r="Q586">
            <v>5343082</v>
          </cell>
          <cell r="R586">
            <v>4924046</v>
          </cell>
          <cell r="S586">
            <v>5343083</v>
          </cell>
          <cell r="T586">
            <v>0</v>
          </cell>
          <cell r="U586">
            <v>0</v>
          </cell>
          <cell r="V586">
            <v>0</v>
          </cell>
          <cell r="W586">
            <v>5343083</v>
          </cell>
          <cell r="X586">
            <v>5</v>
          </cell>
          <cell r="Z586">
            <v>16</v>
          </cell>
          <cell r="AB586">
            <v>21</v>
          </cell>
          <cell r="AC586">
            <v>1272162.6190476192</v>
          </cell>
          <cell r="AD586">
            <v>4070920.3809523811</v>
          </cell>
          <cell r="AE586">
            <v>5343083</v>
          </cell>
          <cell r="AF586">
            <v>0</v>
          </cell>
          <cell r="AG586">
            <v>5343083</v>
          </cell>
          <cell r="AH586" t="b">
            <v>1</v>
          </cell>
          <cell r="AK586">
            <v>5343083</v>
          </cell>
          <cell r="AL586" t="str">
            <v>TK</v>
          </cell>
          <cell r="AM586">
            <v>5343083</v>
          </cell>
          <cell r="AN586">
            <v>34354.584590750004</v>
          </cell>
          <cell r="AQ586">
            <v>0</v>
          </cell>
          <cell r="AS586">
            <v>31700</v>
          </cell>
          <cell r="AV586">
            <v>53430.83</v>
          </cell>
          <cell r="AW586">
            <v>106861.66</v>
          </cell>
          <cell r="AX586">
            <v>53430.83</v>
          </cell>
          <cell r="AY586">
            <v>279778</v>
          </cell>
          <cell r="AZ586">
            <v>5063305</v>
          </cell>
          <cell r="BA586">
            <v>34354.584590750004</v>
          </cell>
          <cell r="BB586">
            <v>245423</v>
          </cell>
          <cell r="BC586">
            <v>5097660</v>
          </cell>
        </row>
        <row r="587">
          <cell r="F587" t="str">
            <v>250920-001</v>
          </cell>
          <cell r="G587" t="str">
            <v>Kontrak 1</v>
          </cell>
          <cell r="H587" t="str">
            <v>Pelaksana</v>
          </cell>
          <cell r="I587" t="str">
            <v>Tool Manufacture</v>
          </cell>
          <cell r="J587">
            <v>44099</v>
          </cell>
          <cell r="K587" t="b">
            <v>1</v>
          </cell>
          <cell r="L587">
            <v>44099</v>
          </cell>
          <cell r="M587">
            <v>0</v>
          </cell>
          <cell r="N587">
            <v>7</v>
          </cell>
          <cell r="O587">
            <v>29</v>
          </cell>
          <cell r="Q587">
            <v>5343082</v>
          </cell>
          <cell r="R587">
            <v>4924046</v>
          </cell>
          <cell r="S587">
            <v>5343083</v>
          </cell>
          <cell r="T587">
            <v>0</v>
          </cell>
          <cell r="U587">
            <v>250000</v>
          </cell>
          <cell r="V587">
            <v>0</v>
          </cell>
          <cell r="W587">
            <v>5593083</v>
          </cell>
          <cell r="X587">
            <v>5</v>
          </cell>
          <cell r="Z587">
            <v>16</v>
          </cell>
          <cell r="AB587">
            <v>21</v>
          </cell>
          <cell r="AC587">
            <v>1331686.4285714286</v>
          </cell>
          <cell r="AD587">
            <v>4261396.5714285718</v>
          </cell>
          <cell r="AE587">
            <v>5593083</v>
          </cell>
          <cell r="AF587">
            <v>0</v>
          </cell>
          <cell r="AG587">
            <v>5593083</v>
          </cell>
          <cell r="AH587" t="b">
            <v>1</v>
          </cell>
          <cell r="AK587">
            <v>5593083</v>
          </cell>
          <cell r="AL587" t="str">
            <v>TK</v>
          </cell>
          <cell r="AM587">
            <v>5593083</v>
          </cell>
          <cell r="AN587">
            <v>46489.647090749968</v>
          </cell>
          <cell r="AQ587">
            <v>0</v>
          </cell>
          <cell r="AS587">
            <v>31700</v>
          </cell>
          <cell r="AV587">
            <v>55930.83</v>
          </cell>
          <cell r="AW587">
            <v>111861.66</v>
          </cell>
          <cell r="AX587">
            <v>55930.83</v>
          </cell>
          <cell r="AY587">
            <v>301913</v>
          </cell>
          <cell r="AZ587">
            <v>5291170</v>
          </cell>
          <cell r="BA587">
            <v>46489.647090749968</v>
          </cell>
          <cell r="BB587">
            <v>255423</v>
          </cell>
          <cell r="BC587">
            <v>5337660</v>
          </cell>
        </row>
        <row r="588">
          <cell r="F588" t="str">
            <v>250920-002</v>
          </cell>
          <cell r="G588" t="str">
            <v>Kontrak 1</v>
          </cell>
          <cell r="H588" t="str">
            <v>Pelaksana</v>
          </cell>
          <cell r="I588" t="str">
            <v>Tool Manufacture</v>
          </cell>
          <cell r="J588">
            <v>44099</v>
          </cell>
          <cell r="K588" t="b">
            <v>1</v>
          </cell>
          <cell r="L588">
            <v>44099</v>
          </cell>
          <cell r="M588">
            <v>0</v>
          </cell>
          <cell r="N588">
            <v>7</v>
          </cell>
          <cell r="O588">
            <v>29</v>
          </cell>
          <cell r="Q588">
            <v>5343082</v>
          </cell>
          <cell r="R588">
            <v>4924046</v>
          </cell>
          <cell r="S588">
            <v>5343083</v>
          </cell>
          <cell r="T588">
            <v>0</v>
          </cell>
          <cell r="U588">
            <v>0</v>
          </cell>
          <cell r="V588">
            <v>0</v>
          </cell>
          <cell r="W588">
            <v>5343083</v>
          </cell>
          <cell r="X588">
            <v>5</v>
          </cell>
          <cell r="Z588">
            <v>16</v>
          </cell>
          <cell r="AB588">
            <v>21</v>
          </cell>
          <cell r="AC588">
            <v>1272162.6190476192</v>
          </cell>
          <cell r="AD588">
            <v>4070920.3809523811</v>
          </cell>
          <cell r="AE588">
            <v>5343083</v>
          </cell>
          <cell r="AF588">
            <v>0</v>
          </cell>
          <cell r="AG588">
            <v>5343083</v>
          </cell>
          <cell r="AH588" t="b">
            <v>1</v>
          </cell>
          <cell r="AK588">
            <v>5343083</v>
          </cell>
          <cell r="AL588" t="str">
            <v>K1</v>
          </cell>
          <cell r="AM588">
            <v>5343083</v>
          </cell>
          <cell r="AN588">
            <v>0</v>
          </cell>
          <cell r="AQ588">
            <v>0</v>
          </cell>
          <cell r="AS588">
            <v>31700</v>
          </cell>
          <cell r="AV588">
            <v>53430.83</v>
          </cell>
          <cell r="AW588">
            <v>106861.66</v>
          </cell>
          <cell r="AX588">
            <v>53430.83</v>
          </cell>
          <cell r="AY588">
            <v>245423</v>
          </cell>
          <cell r="AZ588">
            <v>5097660</v>
          </cell>
          <cell r="BA588">
            <v>0</v>
          </cell>
          <cell r="BB588">
            <v>245423</v>
          </cell>
          <cell r="BC588">
            <v>5097660</v>
          </cell>
        </row>
        <row r="589">
          <cell r="F589" t="str">
            <v>021220-001</v>
          </cell>
          <cell r="G589" t="str">
            <v>Kontrak 1</v>
          </cell>
          <cell r="H589" t="str">
            <v>Pelaksana</v>
          </cell>
          <cell r="I589" t="str">
            <v>Tool Manufacture</v>
          </cell>
          <cell r="J589" t="str">
            <v>02 Desember 2020</v>
          </cell>
          <cell r="K589" t="b">
            <v>0</v>
          </cell>
          <cell r="L589">
            <v>44167</v>
          </cell>
          <cell r="M589">
            <v>0</v>
          </cell>
          <cell r="N589">
            <v>5</v>
          </cell>
          <cell r="O589">
            <v>22</v>
          </cell>
          <cell r="Q589">
            <v>5343083</v>
          </cell>
          <cell r="R589">
            <v>5343083</v>
          </cell>
          <cell r="S589">
            <v>5343083</v>
          </cell>
          <cell r="T589">
            <v>0</v>
          </cell>
          <cell r="U589">
            <v>0</v>
          </cell>
          <cell r="V589">
            <v>0</v>
          </cell>
          <cell r="W589">
            <v>5343083</v>
          </cell>
          <cell r="X589">
            <v>5</v>
          </cell>
          <cell r="Z589">
            <v>16</v>
          </cell>
          <cell r="AB589">
            <v>21</v>
          </cell>
          <cell r="AC589">
            <v>1272162.6190476192</v>
          </cell>
          <cell r="AD589">
            <v>4070920.3809523811</v>
          </cell>
          <cell r="AE589">
            <v>5343083</v>
          </cell>
          <cell r="AF589">
            <v>0</v>
          </cell>
          <cell r="AG589">
            <v>5343083</v>
          </cell>
          <cell r="AH589" t="b">
            <v>1</v>
          </cell>
          <cell r="AK589">
            <v>5343083</v>
          </cell>
          <cell r="AL589" t="str">
            <v>K2</v>
          </cell>
          <cell r="AM589">
            <v>5343083</v>
          </cell>
          <cell r="AN589">
            <v>0</v>
          </cell>
          <cell r="AQ589">
            <v>0</v>
          </cell>
          <cell r="AR589">
            <v>38000</v>
          </cell>
          <cell r="AS589">
            <v>31700</v>
          </cell>
          <cell r="AV589">
            <v>53430.83</v>
          </cell>
          <cell r="AW589">
            <v>106861.66</v>
          </cell>
          <cell r="AX589">
            <v>53430.83</v>
          </cell>
          <cell r="AY589">
            <v>283423</v>
          </cell>
          <cell r="AZ589">
            <v>5059660</v>
          </cell>
          <cell r="BA589">
            <v>0</v>
          </cell>
          <cell r="BB589">
            <v>283423</v>
          </cell>
          <cell r="BC589">
            <v>5059660</v>
          </cell>
        </row>
        <row r="590">
          <cell r="F590" t="str">
            <v>101220-001</v>
          </cell>
          <cell r="G590" t="str">
            <v>Kontrak 1</v>
          </cell>
          <cell r="H590" t="str">
            <v>Specialist</v>
          </cell>
          <cell r="I590" t="str">
            <v>Tool Manufacture</v>
          </cell>
          <cell r="J590" t="str">
            <v>10 Desember 2020</v>
          </cell>
          <cell r="K590" t="b">
            <v>0</v>
          </cell>
          <cell r="L590">
            <v>44175</v>
          </cell>
          <cell r="M590">
            <v>0</v>
          </cell>
          <cell r="N590">
            <v>5</v>
          </cell>
          <cell r="O590">
            <v>14</v>
          </cell>
          <cell r="Q590">
            <v>7000000</v>
          </cell>
          <cell r="R590">
            <v>7000000</v>
          </cell>
          <cell r="S590">
            <v>7000000</v>
          </cell>
          <cell r="T590">
            <v>0</v>
          </cell>
          <cell r="U590">
            <v>0</v>
          </cell>
          <cell r="V590">
            <v>0</v>
          </cell>
          <cell r="W590">
            <v>7000000</v>
          </cell>
          <cell r="X590">
            <v>5</v>
          </cell>
          <cell r="Z590">
            <v>16</v>
          </cell>
          <cell r="AB590">
            <v>21</v>
          </cell>
          <cell r="AC590">
            <v>1666666.6666666665</v>
          </cell>
          <cell r="AD590">
            <v>5333333.333333333</v>
          </cell>
          <cell r="AE590">
            <v>7000000</v>
          </cell>
          <cell r="AF590">
            <v>0</v>
          </cell>
          <cell r="AG590">
            <v>7000000</v>
          </cell>
          <cell r="AH590" t="b">
            <v>1</v>
          </cell>
          <cell r="AK590">
            <v>7000000</v>
          </cell>
          <cell r="AL590" t="str">
            <v>K2</v>
          </cell>
          <cell r="AM590">
            <v>7000000</v>
          </cell>
          <cell r="AN590">
            <v>58531.75</v>
          </cell>
          <cell r="AQ590">
            <v>0</v>
          </cell>
          <cell r="AR590">
            <v>38000</v>
          </cell>
          <cell r="AS590">
            <v>31700</v>
          </cell>
          <cell r="AV590">
            <v>70000</v>
          </cell>
          <cell r="AW590">
            <v>140000</v>
          </cell>
          <cell r="AX590">
            <v>70000</v>
          </cell>
          <cell r="AY590">
            <v>408232</v>
          </cell>
          <cell r="AZ590">
            <v>6591768</v>
          </cell>
          <cell r="BA590">
            <v>58531.75</v>
          </cell>
          <cell r="BB590">
            <v>349700</v>
          </cell>
          <cell r="BC590">
            <v>6650300</v>
          </cell>
        </row>
        <row r="591">
          <cell r="F591" t="str">
            <v>101220-002</v>
          </cell>
          <cell r="G591" t="str">
            <v>Kontrak 1</v>
          </cell>
          <cell r="H591" t="str">
            <v>Pelaksana</v>
          </cell>
          <cell r="I591" t="str">
            <v>Tool Manufacture</v>
          </cell>
          <cell r="J591" t="str">
            <v>10 Desember 2020</v>
          </cell>
          <cell r="K591" t="b">
            <v>0</v>
          </cell>
          <cell r="L591">
            <v>44175</v>
          </cell>
          <cell r="M591">
            <v>0</v>
          </cell>
          <cell r="N591">
            <v>5</v>
          </cell>
          <cell r="O591">
            <v>14</v>
          </cell>
          <cell r="Q591">
            <v>5343083</v>
          </cell>
          <cell r="R591">
            <v>5343083</v>
          </cell>
          <cell r="S591">
            <v>5343083</v>
          </cell>
          <cell r="T591">
            <v>0</v>
          </cell>
          <cell r="U591">
            <v>0</v>
          </cell>
          <cell r="V591">
            <v>0</v>
          </cell>
          <cell r="W591">
            <v>5343083</v>
          </cell>
          <cell r="X591">
            <v>5</v>
          </cell>
          <cell r="Z591">
            <v>16</v>
          </cell>
          <cell r="AB591">
            <v>21</v>
          </cell>
          <cell r="AC591">
            <v>1272162.6190476192</v>
          </cell>
          <cell r="AD591">
            <v>4070920.3809523811</v>
          </cell>
          <cell r="AE591">
            <v>5343083</v>
          </cell>
          <cell r="AF591">
            <v>0</v>
          </cell>
          <cell r="AG591">
            <v>5343083</v>
          </cell>
          <cell r="AH591" t="b">
            <v>1</v>
          </cell>
          <cell r="AK591">
            <v>5343083</v>
          </cell>
          <cell r="AL591" t="str">
            <v>TK</v>
          </cell>
          <cell r="AM591">
            <v>5343083</v>
          </cell>
          <cell r="AN591">
            <v>34354.584590750004</v>
          </cell>
          <cell r="AQ591">
            <v>0</v>
          </cell>
          <cell r="AR591">
            <v>38000</v>
          </cell>
          <cell r="AS591">
            <v>31700</v>
          </cell>
          <cell r="AV591">
            <v>53430.83</v>
          </cell>
          <cell r="AW591">
            <v>106861.66</v>
          </cell>
          <cell r="AX591">
            <v>53430.83</v>
          </cell>
          <cell r="AY591">
            <v>317778</v>
          </cell>
          <cell r="AZ591">
            <v>5025305</v>
          </cell>
          <cell r="BA591">
            <v>34354.584590750004</v>
          </cell>
          <cell r="BB591">
            <v>283423</v>
          </cell>
          <cell r="BC591">
            <v>5059660</v>
          </cell>
        </row>
        <row r="592">
          <cell r="F592" t="str">
            <v>281220-001</v>
          </cell>
          <cell r="G592" t="str">
            <v>Kontrak 1</v>
          </cell>
          <cell r="H592" t="str">
            <v>Pelaksana</v>
          </cell>
          <cell r="I592" t="str">
            <v>Tool Manufacture</v>
          </cell>
          <cell r="J592" t="e">
            <v>#N/A</v>
          </cell>
          <cell r="K592" t="e">
            <v>#N/A</v>
          </cell>
          <cell r="L592">
            <v>44193</v>
          </cell>
          <cell r="M592">
            <v>0</v>
          </cell>
          <cell r="N592">
            <v>4</v>
          </cell>
          <cell r="O592">
            <v>26</v>
          </cell>
          <cell r="Q592">
            <v>5343083</v>
          </cell>
          <cell r="R592">
            <v>5343083</v>
          </cell>
          <cell r="S592">
            <v>5343083</v>
          </cell>
          <cell r="T592">
            <v>0</v>
          </cell>
          <cell r="U592">
            <v>0</v>
          </cell>
          <cell r="V592">
            <v>0</v>
          </cell>
          <cell r="W592">
            <v>5343083</v>
          </cell>
          <cell r="X592">
            <v>5</v>
          </cell>
          <cell r="Z592">
            <v>16</v>
          </cell>
          <cell r="AB592">
            <v>21</v>
          </cell>
          <cell r="AC592">
            <v>1272162.6190476192</v>
          </cell>
          <cell r="AD592">
            <v>4070920.3809523811</v>
          </cell>
          <cell r="AE592">
            <v>5343083</v>
          </cell>
          <cell r="AF592">
            <v>0</v>
          </cell>
          <cell r="AG592">
            <v>5343083</v>
          </cell>
          <cell r="AH592" t="b">
            <v>1</v>
          </cell>
          <cell r="AK592">
            <v>5343083</v>
          </cell>
          <cell r="AL592" t="str">
            <v>K1</v>
          </cell>
          <cell r="AM592">
            <v>5343083</v>
          </cell>
          <cell r="AN592">
            <v>0</v>
          </cell>
          <cell r="AQ592">
            <v>0</v>
          </cell>
          <cell r="AR592">
            <v>38000</v>
          </cell>
          <cell r="AS592">
            <v>31700</v>
          </cell>
          <cell r="AV592">
            <v>53430.83</v>
          </cell>
          <cell r="AW592">
            <v>106861.66</v>
          </cell>
          <cell r="AX592">
            <v>53430.83</v>
          </cell>
          <cell r="AY592">
            <v>283423</v>
          </cell>
          <cell r="AZ592">
            <v>5059660</v>
          </cell>
          <cell r="BA592">
            <v>0</v>
          </cell>
          <cell r="BB592">
            <v>283423</v>
          </cell>
          <cell r="BC592">
            <v>5059660</v>
          </cell>
        </row>
        <row r="593">
          <cell r="F593" t="str">
            <v>190221-001</v>
          </cell>
          <cell r="G593" t="str">
            <v>Kontrak 1</v>
          </cell>
          <cell r="H593" t="str">
            <v>Staff</v>
          </cell>
          <cell r="I593" t="str">
            <v>Tool Manufacture</v>
          </cell>
          <cell r="J593">
            <v>44246</v>
          </cell>
          <cell r="K593" t="b">
            <v>1</v>
          </cell>
          <cell r="L593">
            <v>44246</v>
          </cell>
          <cell r="M593">
            <v>0</v>
          </cell>
          <cell r="N593">
            <v>3</v>
          </cell>
          <cell r="O593">
            <v>5</v>
          </cell>
          <cell r="Q593">
            <v>5343083</v>
          </cell>
          <cell r="R593">
            <v>5343083</v>
          </cell>
          <cell r="S593">
            <v>5343083</v>
          </cell>
          <cell r="T593">
            <v>0</v>
          </cell>
          <cell r="U593">
            <v>0</v>
          </cell>
          <cell r="V593">
            <v>0</v>
          </cell>
          <cell r="W593">
            <v>5343083</v>
          </cell>
          <cell r="X593">
            <v>5</v>
          </cell>
          <cell r="Z593">
            <v>16</v>
          </cell>
          <cell r="AB593">
            <v>21</v>
          </cell>
          <cell r="AC593">
            <v>1272162.6190476192</v>
          </cell>
          <cell r="AD593">
            <v>4070920.3809523811</v>
          </cell>
          <cell r="AE593">
            <v>5343083</v>
          </cell>
          <cell r="AF593">
            <v>0</v>
          </cell>
          <cell r="AG593">
            <v>5343083</v>
          </cell>
          <cell r="AH593" t="b">
            <v>1</v>
          </cell>
          <cell r="AK593">
            <v>5343083</v>
          </cell>
          <cell r="AL593" t="str">
            <v>TK</v>
          </cell>
          <cell r="AM593">
            <v>5343083</v>
          </cell>
          <cell r="AN593">
            <v>34354.584590750004</v>
          </cell>
          <cell r="AQ593">
            <v>0</v>
          </cell>
          <cell r="AR593">
            <v>38000</v>
          </cell>
          <cell r="AS593">
            <v>31700</v>
          </cell>
          <cell r="AV593">
            <v>53430.83</v>
          </cell>
          <cell r="AW593">
            <v>106861.66</v>
          </cell>
          <cell r="AX593">
            <v>53430.83</v>
          </cell>
          <cell r="AY593">
            <v>317778</v>
          </cell>
          <cell r="AZ593">
            <v>5025305</v>
          </cell>
          <cell r="BA593">
            <v>34354.584590750004</v>
          </cell>
          <cell r="BB593">
            <v>283423</v>
          </cell>
          <cell r="BC593">
            <v>5059660</v>
          </cell>
        </row>
        <row r="594">
          <cell r="F594" t="str">
            <v>190221-002</v>
          </cell>
          <cell r="G594" t="str">
            <v>Kontrak 1</v>
          </cell>
          <cell r="H594" t="str">
            <v>Staff</v>
          </cell>
          <cell r="I594" t="str">
            <v>Tool Manufacture</v>
          </cell>
          <cell r="J594">
            <v>44246</v>
          </cell>
          <cell r="K594" t="b">
            <v>1</v>
          </cell>
          <cell r="L594">
            <v>44246</v>
          </cell>
          <cell r="M594">
            <v>0</v>
          </cell>
          <cell r="N594">
            <v>3</v>
          </cell>
          <cell r="O594">
            <v>5</v>
          </cell>
          <cell r="Q594">
            <v>5700000</v>
          </cell>
          <cell r="R594">
            <v>5700000</v>
          </cell>
          <cell r="S594">
            <v>5343083</v>
          </cell>
          <cell r="T594">
            <v>0</v>
          </cell>
          <cell r="U594">
            <v>356917</v>
          </cell>
          <cell r="V594">
            <v>0</v>
          </cell>
          <cell r="W594">
            <v>5700000</v>
          </cell>
          <cell r="X594">
            <v>5</v>
          </cell>
          <cell r="Z594">
            <v>16</v>
          </cell>
          <cell r="AB594">
            <v>21</v>
          </cell>
          <cell r="AC594">
            <v>1357142.857142857</v>
          </cell>
          <cell r="AD594">
            <v>4342857.1428571427</v>
          </cell>
          <cell r="AE594">
            <v>5700000</v>
          </cell>
          <cell r="AF594">
            <v>0</v>
          </cell>
          <cell r="AG594">
            <v>5700000</v>
          </cell>
          <cell r="AH594" t="b">
            <v>1</v>
          </cell>
          <cell r="AK594">
            <v>5700000</v>
          </cell>
          <cell r="AL594" t="str">
            <v>K3</v>
          </cell>
          <cell r="AM594">
            <v>5700000</v>
          </cell>
          <cell r="AN594">
            <v>0</v>
          </cell>
          <cell r="AQ594">
            <v>0</v>
          </cell>
          <cell r="AR594">
            <v>38000</v>
          </cell>
          <cell r="AS594">
            <v>31700</v>
          </cell>
          <cell r="AV594">
            <v>57000</v>
          </cell>
          <cell r="AW594">
            <v>114000</v>
          </cell>
          <cell r="AX594">
            <v>57000</v>
          </cell>
          <cell r="AY594">
            <v>297700</v>
          </cell>
          <cell r="AZ594">
            <v>5402300</v>
          </cell>
          <cell r="BA594">
            <v>0</v>
          </cell>
          <cell r="BB594">
            <v>297700</v>
          </cell>
          <cell r="BC594">
            <v>5402300</v>
          </cell>
        </row>
        <row r="595">
          <cell r="F595" t="str">
            <v>190221-003</v>
          </cell>
          <cell r="G595" t="str">
            <v>Kontrak 1</v>
          </cell>
          <cell r="H595" t="str">
            <v>Pelaksana</v>
          </cell>
          <cell r="I595" t="str">
            <v>Tool Manufacture</v>
          </cell>
          <cell r="J595">
            <v>44246</v>
          </cell>
          <cell r="K595" t="b">
            <v>1</v>
          </cell>
          <cell r="L595">
            <v>44246</v>
          </cell>
          <cell r="M595">
            <v>0</v>
          </cell>
          <cell r="N595">
            <v>3</v>
          </cell>
          <cell r="O595">
            <v>5</v>
          </cell>
          <cell r="Q595">
            <v>5343083</v>
          </cell>
          <cell r="R595">
            <v>5343083</v>
          </cell>
          <cell r="S595">
            <v>5343083</v>
          </cell>
          <cell r="T595">
            <v>0</v>
          </cell>
          <cell r="U595">
            <v>0</v>
          </cell>
          <cell r="V595">
            <v>0</v>
          </cell>
          <cell r="W595">
            <v>5343083</v>
          </cell>
          <cell r="X595">
            <v>5</v>
          </cell>
          <cell r="Z595">
            <v>16</v>
          </cell>
          <cell r="AB595">
            <v>21</v>
          </cell>
          <cell r="AC595">
            <v>1272162.6190476192</v>
          </cell>
          <cell r="AD595">
            <v>4070920.3809523811</v>
          </cell>
          <cell r="AE595">
            <v>5343083</v>
          </cell>
          <cell r="AF595">
            <v>0</v>
          </cell>
          <cell r="AG595">
            <v>5343083</v>
          </cell>
          <cell r="AH595" t="b">
            <v>1</v>
          </cell>
          <cell r="AK595">
            <v>5343083</v>
          </cell>
          <cell r="AL595" t="str">
            <v>K0</v>
          </cell>
          <cell r="AM595">
            <v>5088650</v>
          </cell>
          <cell r="AN595">
            <v>3519.0170907499892</v>
          </cell>
          <cell r="AP595">
            <v>1</v>
          </cell>
          <cell r="AQ595">
            <v>254433</v>
          </cell>
          <cell r="AR595">
            <v>38000</v>
          </cell>
          <cell r="AS595">
            <v>31700</v>
          </cell>
          <cell r="AV595">
            <v>53430.83</v>
          </cell>
          <cell r="AW595">
            <v>106861.66</v>
          </cell>
          <cell r="AX595">
            <v>53430.83</v>
          </cell>
          <cell r="AY595">
            <v>541375</v>
          </cell>
          <cell r="AZ595">
            <v>4801708</v>
          </cell>
          <cell r="BA595">
            <v>3519.0170907499892</v>
          </cell>
          <cell r="BB595">
            <v>537856</v>
          </cell>
          <cell r="BC595">
            <v>4805227</v>
          </cell>
        </row>
        <row r="596">
          <cell r="F596" t="str">
            <v>250321-002</v>
          </cell>
          <cell r="G596" t="str">
            <v>Kontrak 1</v>
          </cell>
          <cell r="H596" t="str">
            <v>Pelaksana</v>
          </cell>
          <cell r="I596" t="str">
            <v>Tool Manufacture</v>
          </cell>
          <cell r="L596">
            <v>44280</v>
          </cell>
          <cell r="M596">
            <v>0</v>
          </cell>
          <cell r="N596">
            <v>1</v>
          </cell>
          <cell r="O596">
            <v>29</v>
          </cell>
          <cell r="S596">
            <v>5343083</v>
          </cell>
          <cell r="T596">
            <v>0</v>
          </cell>
          <cell r="U596">
            <v>0</v>
          </cell>
          <cell r="V596">
            <v>0</v>
          </cell>
          <cell r="W596">
            <v>5343083</v>
          </cell>
          <cell r="X596">
            <v>5</v>
          </cell>
          <cell r="Z596">
            <v>16</v>
          </cell>
          <cell r="AB596">
            <v>21</v>
          </cell>
          <cell r="AC596">
            <v>1272162.6190476192</v>
          </cell>
          <cell r="AD596">
            <v>4070920.3809523811</v>
          </cell>
          <cell r="AE596">
            <v>5343083</v>
          </cell>
          <cell r="AF596">
            <v>0</v>
          </cell>
          <cell r="AG596">
            <v>5343083</v>
          </cell>
          <cell r="AH596" t="b">
            <v>1</v>
          </cell>
          <cell r="AK596">
            <v>5343083</v>
          </cell>
          <cell r="AL596" t="str">
            <v>K1</v>
          </cell>
          <cell r="AM596">
            <v>5343083</v>
          </cell>
          <cell r="AN596">
            <v>0</v>
          </cell>
          <cell r="AQ596">
            <v>0</v>
          </cell>
          <cell r="AS596">
            <v>31700</v>
          </cell>
          <cell r="AV596">
            <v>53430.83</v>
          </cell>
          <cell r="AW596">
            <v>106861.66</v>
          </cell>
          <cell r="AX596">
            <v>53430.83</v>
          </cell>
          <cell r="AY596">
            <v>245423</v>
          </cell>
          <cell r="AZ596">
            <v>5097660</v>
          </cell>
          <cell r="BA596">
            <v>0</v>
          </cell>
          <cell r="BB596">
            <v>245423</v>
          </cell>
          <cell r="BC596">
            <v>5097660</v>
          </cell>
        </row>
        <row r="597">
          <cell r="F597" t="str">
            <v>210521-001</v>
          </cell>
          <cell r="G597" t="str">
            <v>Kontrak 1</v>
          </cell>
          <cell r="H597" t="str">
            <v>Staff</v>
          </cell>
          <cell r="I597" t="str">
            <v>Tool Manufacture</v>
          </cell>
          <cell r="L597">
            <v>44337</v>
          </cell>
          <cell r="M597">
            <v>0</v>
          </cell>
          <cell r="N597">
            <v>0</v>
          </cell>
          <cell r="O597">
            <v>3</v>
          </cell>
          <cell r="S597">
            <v>4798312</v>
          </cell>
          <cell r="T597">
            <v>0</v>
          </cell>
          <cell r="U597">
            <v>401688</v>
          </cell>
          <cell r="V597">
            <v>0</v>
          </cell>
          <cell r="W597">
            <v>5200000</v>
          </cell>
          <cell r="X597">
            <v>5</v>
          </cell>
          <cell r="Z597">
            <v>16</v>
          </cell>
          <cell r="AB597">
            <v>21</v>
          </cell>
          <cell r="AC597">
            <v>1238095.2380952381</v>
          </cell>
          <cell r="AD597">
            <v>3961904.7619047621</v>
          </cell>
          <cell r="AE597">
            <v>5200000</v>
          </cell>
          <cell r="AF597">
            <v>0</v>
          </cell>
          <cell r="AG597">
            <v>5200000</v>
          </cell>
          <cell r="AH597" t="b">
            <v>1</v>
          </cell>
          <cell r="AK597">
            <v>5200000</v>
          </cell>
          <cell r="AL597" t="str">
            <v>K0</v>
          </cell>
          <cell r="AM597">
            <v>495238</v>
          </cell>
          <cell r="AN597">
            <v>0</v>
          </cell>
          <cell r="AP597">
            <v>19</v>
          </cell>
          <cell r="AQ597">
            <v>4704762</v>
          </cell>
          <cell r="AR597">
            <v>38000</v>
          </cell>
          <cell r="AV597">
            <v>0</v>
          </cell>
          <cell r="AW597">
            <v>104000</v>
          </cell>
          <cell r="AX597">
            <v>52000</v>
          </cell>
          <cell r="AY597">
            <v>4898762</v>
          </cell>
          <cell r="AZ597">
            <v>301238</v>
          </cell>
          <cell r="BA597">
            <v>0</v>
          </cell>
          <cell r="BB597">
            <v>4898762</v>
          </cell>
          <cell r="BC597">
            <v>301238</v>
          </cell>
        </row>
        <row r="598">
          <cell r="Q598">
            <v>179772921</v>
          </cell>
          <cell r="R598">
            <v>171210463</v>
          </cell>
          <cell r="S598">
            <v>189375681</v>
          </cell>
          <cell r="T598">
            <v>5300000</v>
          </cell>
          <cell r="U598">
            <v>4321402</v>
          </cell>
          <cell r="V598">
            <v>1023737</v>
          </cell>
          <cell r="W598">
            <v>200020820</v>
          </cell>
          <cell r="X598">
            <v>175</v>
          </cell>
          <cell r="Y598">
            <v>0</v>
          </cell>
          <cell r="Z598">
            <v>560</v>
          </cell>
          <cell r="AA598">
            <v>0</v>
          </cell>
          <cell r="AB598">
            <v>735</v>
          </cell>
          <cell r="AC598">
            <v>47624004.761904769</v>
          </cell>
          <cell r="AD598">
            <v>152396815.23809534</v>
          </cell>
          <cell r="AE598">
            <v>200020820</v>
          </cell>
          <cell r="AF598">
            <v>0</v>
          </cell>
          <cell r="AG598">
            <v>200020820</v>
          </cell>
          <cell r="AH598">
            <v>0</v>
          </cell>
          <cell r="AJ598">
            <v>0</v>
          </cell>
          <cell r="AK598">
            <v>200020820</v>
          </cell>
          <cell r="AL598">
            <v>0</v>
          </cell>
          <cell r="AM598">
            <v>193432272</v>
          </cell>
          <cell r="AN598">
            <v>774203.86083978578</v>
          </cell>
          <cell r="AO598">
            <v>0</v>
          </cell>
          <cell r="AP598">
            <v>26</v>
          </cell>
          <cell r="AQ598">
            <v>6588548</v>
          </cell>
          <cell r="AR598">
            <v>874000</v>
          </cell>
          <cell r="AS598">
            <v>1014400</v>
          </cell>
          <cell r="AT598">
            <v>2613833</v>
          </cell>
          <cell r="AU598">
            <v>30000</v>
          </cell>
          <cell r="AV598">
            <v>1926993.914285715</v>
          </cell>
          <cell r="AW598">
            <v>4000416.4000000018</v>
          </cell>
          <cell r="AX598">
            <v>2000208.2000000009</v>
          </cell>
          <cell r="AY598">
            <v>19822600</v>
          </cell>
          <cell r="AZ598">
            <v>180198220</v>
          </cell>
          <cell r="BA598">
            <v>774203.86083978578</v>
          </cell>
          <cell r="BB598">
            <v>19048391</v>
          </cell>
          <cell r="BC598">
            <v>180972429</v>
          </cell>
        </row>
        <row r="602">
          <cell r="F602" t="str">
            <v>NIK</v>
          </cell>
          <cell r="G602" t="str">
            <v>STATUS</v>
          </cell>
          <cell r="H602" t="str">
            <v>LEVEL</v>
          </cell>
          <cell r="I602" t="str">
            <v>BAGIAN</v>
          </cell>
          <cell r="J602" t="str">
            <v>DB</v>
          </cell>
          <cell r="L602" t="str">
            <v>JOIN</v>
          </cell>
          <cell r="M602" t="str">
            <v>MK</v>
          </cell>
          <cell r="Q602" t="str">
            <v>FIXED SALARY (KESEPAKATAN 2020)</v>
          </cell>
          <cell r="R602" t="str">
            <v>FIXED SALARY (NOVEMBER 2020)</v>
          </cell>
          <cell r="S602" t="str">
            <v>FIXED SALARY (UMSK 2020)</v>
          </cell>
          <cell r="T602" t="str">
            <v>JOB STRUCTURE ALLOWANCE</v>
          </cell>
          <cell r="U602" t="str">
            <v>SKILL ALLOWANCE</v>
          </cell>
          <cell r="V602" t="str">
            <v>PERFORMANCE ALLOWANCE 2020</v>
          </cell>
          <cell r="W602" t="str">
            <v>TOTAL</v>
          </cell>
          <cell r="X602" t="str">
            <v>WORKDAYS</v>
          </cell>
          <cell r="AB602" t="str">
            <v>CEK</v>
          </cell>
          <cell r="AC602" t="str">
            <v xml:space="preserve">SALARY </v>
          </cell>
          <cell r="AD602" t="str">
            <v>SALARY</v>
          </cell>
          <cell r="AE602" t="str">
            <v>TOTAL SALARY (COVID-19)</v>
          </cell>
          <cell r="AF602" t="str">
            <v>POT OFF</v>
          </cell>
          <cell r="AG602" t="str">
            <v>CEK</v>
          </cell>
          <cell r="AH602" t="str">
            <v>CEK</v>
          </cell>
          <cell r="AJ602" t="str">
            <v>BACK PAY ( RAPEL) / INCENTIVE</v>
          </cell>
          <cell r="AK602" t="str">
            <v>TOTAL</v>
          </cell>
          <cell r="AL602" t="str">
            <v>PERHITUNGAN PPh</v>
          </cell>
          <cell r="AN602" t="str">
            <v>TAX</v>
          </cell>
          <cell r="AO602" t="str">
            <v>RETURND</v>
          </cell>
          <cell r="AP602" t="str">
            <v>ABSEN</v>
          </cell>
          <cell r="AR602" t="str">
            <v>DEDUCTION</v>
          </cell>
          <cell r="AV602" t="str">
            <v>BPJS</v>
          </cell>
          <cell r="AW602" t="str">
            <v>BPJS KETENAGAKERJAAN</v>
          </cell>
          <cell r="AY602" t="str">
            <v>TOTAL</v>
          </cell>
          <cell r="AZ602" t="str">
            <v>TOTAL</v>
          </cell>
          <cell r="BA602" t="str">
            <v>INSENTIF</v>
          </cell>
          <cell r="BB602" t="str">
            <v>WITH INSENTIF PPh21</v>
          </cell>
        </row>
        <row r="603">
          <cell r="F603" t="str">
            <v>SAI</v>
          </cell>
          <cell r="G603" t="str">
            <v>KONTRAK</v>
          </cell>
          <cell r="J603" t="str">
            <v>DATEJOIN</v>
          </cell>
          <cell r="K603" t="str">
            <v>CHECK</v>
          </cell>
          <cell r="L603" t="str">
            <v>DATE</v>
          </cell>
          <cell r="M603" t="str">
            <v>YEAR</v>
          </cell>
          <cell r="N603" t="str">
            <v>MONTH</v>
          </cell>
          <cell r="O603" t="str">
            <v>DAY</v>
          </cell>
          <cell r="W603" t="str">
            <v>SALARY</v>
          </cell>
          <cell r="X603" t="str">
            <v>ON</v>
          </cell>
          <cell r="Y603" t="str">
            <v>OFF</v>
          </cell>
          <cell r="Z603" t="str">
            <v>ON</v>
          </cell>
          <cell r="AA603" t="str">
            <v>OFF</v>
          </cell>
          <cell r="AB603" t="str">
            <v>WORKINGDAYS</v>
          </cell>
          <cell r="AC603" t="str">
            <v>PERIODE 25-31 FEB</v>
          </cell>
          <cell r="AD603" t="str">
            <v xml:space="preserve"> PERIODE 1-24 MAR</v>
          </cell>
          <cell r="AK603" t="str">
            <v xml:space="preserve">RECIEVED       </v>
          </cell>
          <cell r="AL603" t="str">
            <v>STATUS</v>
          </cell>
          <cell r="AM603" t="str">
            <v xml:space="preserve">TOTAL    GROSS </v>
          </cell>
          <cell r="AN603">
            <v>21</v>
          </cell>
          <cell r="AO603" t="str">
            <v>TAX JAN 2021</v>
          </cell>
          <cell r="AP603" t="str">
            <v>DAY</v>
          </cell>
          <cell r="AQ603" t="str">
            <v>( Rp )</v>
          </cell>
          <cell r="AR603" t="str">
            <v>UNION</v>
          </cell>
          <cell r="AS603" t="str">
            <v>RAPID TEST</v>
          </cell>
          <cell r="AT603" t="str">
            <v>OTHERS</v>
          </cell>
          <cell r="AU603" t="str">
            <v>KOPERASI</v>
          </cell>
          <cell r="AV603" t="str">
            <v>KESEHATAN</v>
          </cell>
          <cell r="AW603" t="str">
            <v>JHT</v>
          </cell>
          <cell r="AX603" t="str">
            <v>PENSIUN</v>
          </cell>
          <cell r="AY603" t="str">
            <v>DEDUCTION</v>
          </cell>
          <cell r="AZ603" t="str">
            <v>PAID</v>
          </cell>
          <cell r="BA603" t="str">
            <v>PPh21</v>
          </cell>
          <cell r="BB603" t="str">
            <v>TOTAL DEDUCTION</v>
          </cell>
          <cell r="BC603" t="str">
            <v>TOTAL PAID</v>
          </cell>
        </row>
        <row r="604">
          <cell r="F604" t="str">
            <v>030915-001</v>
          </cell>
          <cell r="G604" t="str">
            <v>Tetap</v>
          </cell>
          <cell r="H604" t="str">
            <v>Sect Head</v>
          </cell>
          <cell r="I604" t="str">
            <v>Prod Engineering</v>
          </cell>
          <cell r="J604">
            <v>42250</v>
          </cell>
          <cell r="K604" t="b">
            <v>1</v>
          </cell>
          <cell r="L604">
            <v>42250</v>
          </cell>
          <cell r="M604">
            <v>5</v>
          </cell>
          <cell r="N604">
            <v>8</v>
          </cell>
          <cell r="O604">
            <v>21</v>
          </cell>
          <cell r="Q604">
            <v>5456880</v>
          </cell>
          <cell r="R604">
            <v>5456880</v>
          </cell>
          <cell r="S604">
            <v>5956880</v>
          </cell>
          <cell r="T604">
            <v>2000000</v>
          </cell>
          <cell r="V604">
            <v>308880</v>
          </cell>
          <cell r="W604">
            <v>8265760</v>
          </cell>
          <cell r="X604">
            <v>5</v>
          </cell>
          <cell r="Z604">
            <v>16</v>
          </cell>
          <cell r="AB604">
            <v>21</v>
          </cell>
          <cell r="AC604">
            <v>1968038.0952380951</v>
          </cell>
          <cell r="AD604">
            <v>6297721.9047619049</v>
          </cell>
          <cell r="AE604">
            <v>8265760</v>
          </cell>
          <cell r="AF604">
            <v>0</v>
          </cell>
          <cell r="AG604">
            <v>8265760</v>
          </cell>
          <cell r="AH604" t="b">
            <v>1</v>
          </cell>
          <cell r="AK604">
            <v>8265760</v>
          </cell>
          <cell r="AL604" t="str">
            <v>K1</v>
          </cell>
          <cell r="AM604">
            <v>8265760</v>
          </cell>
          <cell r="AN604">
            <v>136822.05683999995</v>
          </cell>
          <cell r="AQ604">
            <v>0</v>
          </cell>
          <cell r="AR604">
            <v>38000</v>
          </cell>
          <cell r="AS604">
            <v>31700</v>
          </cell>
          <cell r="AU604">
            <v>10000</v>
          </cell>
          <cell r="AV604">
            <v>72657.600000000006</v>
          </cell>
          <cell r="AW604">
            <v>165315.20000000001</v>
          </cell>
          <cell r="AX604">
            <v>82657.600000000006</v>
          </cell>
          <cell r="AY604">
            <v>537152</v>
          </cell>
          <cell r="AZ604">
            <v>7728608</v>
          </cell>
          <cell r="BA604">
            <v>136822.05683999995</v>
          </cell>
          <cell r="BB604">
            <v>400330</v>
          </cell>
          <cell r="BC604">
            <v>7865430</v>
          </cell>
        </row>
        <row r="605">
          <cell r="F605" t="str">
            <v>040814-485</v>
          </cell>
          <cell r="G605" t="str">
            <v>Tetap</v>
          </cell>
          <cell r="H605" t="str">
            <v>Sect Head</v>
          </cell>
          <cell r="I605" t="str">
            <v>Prod Engineering</v>
          </cell>
          <cell r="J605">
            <v>41855</v>
          </cell>
          <cell r="K605" t="b">
            <v>1</v>
          </cell>
          <cell r="L605">
            <v>41855</v>
          </cell>
          <cell r="M605">
            <v>6</v>
          </cell>
          <cell r="N605">
            <v>9</v>
          </cell>
          <cell r="O605">
            <v>20</v>
          </cell>
          <cell r="Q605">
            <v>6877020</v>
          </cell>
          <cell r="R605">
            <v>6877020</v>
          </cell>
          <cell r="S605">
            <v>6877020</v>
          </cell>
          <cell r="T605">
            <v>1500000</v>
          </cell>
          <cell r="V605">
            <v>122980</v>
          </cell>
          <cell r="W605">
            <v>8500000</v>
          </cell>
          <cell r="X605">
            <v>5</v>
          </cell>
          <cell r="Z605">
            <v>16</v>
          </cell>
          <cell r="AB605">
            <v>21</v>
          </cell>
          <cell r="AC605">
            <v>2023809.5238095238</v>
          </cell>
          <cell r="AD605">
            <v>6476190.4761904757</v>
          </cell>
          <cell r="AE605">
            <v>8500000</v>
          </cell>
          <cell r="AF605">
            <v>0</v>
          </cell>
          <cell r="AG605">
            <v>8500000</v>
          </cell>
          <cell r="AH605" t="b">
            <v>1</v>
          </cell>
          <cell r="AK605">
            <v>8500000</v>
          </cell>
          <cell r="AL605" t="str">
            <v>K3</v>
          </cell>
          <cell r="AM605">
            <v>7285714</v>
          </cell>
          <cell r="AN605">
            <v>54913.539999999979</v>
          </cell>
          <cell r="AP605">
            <v>3</v>
          </cell>
          <cell r="AQ605">
            <v>1214286</v>
          </cell>
          <cell r="AS605">
            <v>31700</v>
          </cell>
          <cell r="AU605">
            <v>10000</v>
          </cell>
          <cell r="AV605">
            <v>85000</v>
          </cell>
          <cell r="AW605">
            <v>170000</v>
          </cell>
          <cell r="AX605">
            <v>85000</v>
          </cell>
          <cell r="AY605">
            <v>1650900</v>
          </cell>
          <cell r="AZ605">
            <v>6849100</v>
          </cell>
          <cell r="BA605">
            <v>54913.539999999979</v>
          </cell>
          <cell r="BB605">
            <v>1595986</v>
          </cell>
          <cell r="BC605">
            <v>6904014</v>
          </cell>
        </row>
        <row r="606">
          <cell r="F606" t="str">
            <v>240816-015</v>
          </cell>
          <cell r="G606" t="str">
            <v>Tetap</v>
          </cell>
          <cell r="H606" t="str">
            <v>Specialist</v>
          </cell>
          <cell r="I606" t="str">
            <v>Prod Engineering</v>
          </cell>
          <cell r="J606">
            <v>42606</v>
          </cell>
          <cell r="K606" t="b">
            <v>1</v>
          </cell>
          <cell r="L606">
            <v>42606</v>
          </cell>
          <cell r="M606">
            <v>4</v>
          </cell>
          <cell r="N606">
            <v>9</v>
          </cell>
          <cell r="O606">
            <v>0</v>
          </cell>
          <cell r="Q606">
            <v>5343082</v>
          </cell>
          <cell r="R606">
            <v>5343083</v>
          </cell>
          <cell r="S606">
            <v>5343083</v>
          </cell>
          <cell r="T606">
            <v>500000</v>
          </cell>
          <cell r="U606">
            <v>443194</v>
          </cell>
          <cell r="V606">
            <v>213723</v>
          </cell>
          <cell r="W606">
            <v>6500000</v>
          </cell>
          <cell r="X606">
            <v>5</v>
          </cell>
          <cell r="Z606">
            <v>16</v>
          </cell>
          <cell r="AB606">
            <v>21</v>
          </cell>
          <cell r="AC606">
            <v>1547619.0476190476</v>
          </cell>
          <cell r="AD606">
            <v>4952380.9523809524</v>
          </cell>
          <cell r="AE606">
            <v>6500000</v>
          </cell>
          <cell r="AF606">
            <v>0</v>
          </cell>
          <cell r="AG606">
            <v>6500000</v>
          </cell>
          <cell r="AH606" t="b">
            <v>1</v>
          </cell>
          <cell r="AK606">
            <v>6500000</v>
          </cell>
          <cell r="AL606" t="str">
            <v>K0</v>
          </cell>
          <cell r="AM606">
            <v>6500000</v>
          </cell>
          <cell r="AN606">
            <v>70919.556400000001</v>
          </cell>
          <cell r="AQ606">
            <v>0</v>
          </cell>
          <cell r="AR606">
            <v>38000</v>
          </cell>
          <cell r="AV606">
            <v>60568.06</v>
          </cell>
          <cell r="AW606">
            <v>130000</v>
          </cell>
          <cell r="AX606">
            <v>65000</v>
          </cell>
          <cell r="AY606">
            <v>364488</v>
          </cell>
          <cell r="AZ606">
            <v>6135512</v>
          </cell>
          <cell r="BA606">
            <v>70919.556400000001</v>
          </cell>
          <cell r="BB606">
            <v>293568</v>
          </cell>
          <cell r="BC606">
            <v>6206432</v>
          </cell>
        </row>
        <row r="607">
          <cell r="F607" t="str">
            <v>040814-395</v>
          </cell>
          <cell r="G607" t="str">
            <v>Tetap</v>
          </cell>
          <cell r="H607" t="str">
            <v>Leader</v>
          </cell>
          <cell r="I607" t="str">
            <v>Prod Engineering</v>
          </cell>
          <cell r="J607">
            <v>41855</v>
          </cell>
          <cell r="K607" t="b">
            <v>1</v>
          </cell>
          <cell r="L607">
            <v>41855</v>
          </cell>
          <cell r="M607">
            <v>6</v>
          </cell>
          <cell r="N607">
            <v>9</v>
          </cell>
          <cell r="O607">
            <v>20</v>
          </cell>
          <cell r="Q607">
            <v>5343082</v>
          </cell>
          <cell r="R607">
            <v>4924046</v>
          </cell>
          <cell r="S607">
            <v>5343083</v>
          </cell>
          <cell r="T607">
            <v>500000</v>
          </cell>
          <cell r="U607">
            <v>281177</v>
          </cell>
          <cell r="V607">
            <v>0</v>
          </cell>
          <cell r="W607">
            <v>6124260</v>
          </cell>
          <cell r="X607">
            <v>5</v>
          </cell>
          <cell r="Z607">
            <v>16</v>
          </cell>
          <cell r="AB607">
            <v>21</v>
          </cell>
          <cell r="AC607">
            <v>1458157.142857143</v>
          </cell>
          <cell r="AD607">
            <v>4666102.8571428573</v>
          </cell>
          <cell r="AE607">
            <v>6124260</v>
          </cell>
          <cell r="AF607">
            <v>0</v>
          </cell>
          <cell r="AG607">
            <v>6124260</v>
          </cell>
          <cell r="AH607" t="b">
            <v>1</v>
          </cell>
          <cell r="AK607">
            <v>6124260</v>
          </cell>
          <cell r="AL607" t="str">
            <v>K1</v>
          </cell>
          <cell r="AM607">
            <v>6124260</v>
          </cell>
          <cell r="AN607">
            <v>34637.397179285683</v>
          </cell>
          <cell r="AQ607">
            <v>0</v>
          </cell>
          <cell r="AR607">
            <v>38000</v>
          </cell>
          <cell r="AS607">
            <v>31700</v>
          </cell>
          <cell r="AV607">
            <v>60528.314285714281</v>
          </cell>
          <cell r="AW607">
            <v>122485.2</v>
          </cell>
          <cell r="AX607">
            <v>61242.6</v>
          </cell>
          <cell r="AY607">
            <v>348594</v>
          </cell>
          <cell r="AZ607">
            <v>5775666</v>
          </cell>
          <cell r="BA607">
            <v>34637.397179285683</v>
          </cell>
          <cell r="BB607">
            <v>313956</v>
          </cell>
          <cell r="BC607">
            <v>5810304</v>
          </cell>
        </row>
        <row r="608">
          <cell r="F608" t="str">
            <v>040814-206</v>
          </cell>
          <cell r="G608" t="str">
            <v>Tetap</v>
          </cell>
          <cell r="H608" t="str">
            <v>Pelaksana</v>
          </cell>
          <cell r="I608" t="str">
            <v>Prod Engineering</v>
          </cell>
          <cell r="J608">
            <v>41855</v>
          </cell>
          <cell r="K608" t="b">
            <v>1</v>
          </cell>
          <cell r="L608">
            <v>41855</v>
          </cell>
          <cell r="M608">
            <v>6</v>
          </cell>
          <cell r="N608">
            <v>9</v>
          </cell>
          <cell r="O608">
            <v>20</v>
          </cell>
          <cell r="Q608">
            <v>5343082</v>
          </cell>
          <cell r="R608">
            <v>4924046</v>
          </cell>
          <cell r="S608">
            <v>5343083</v>
          </cell>
          <cell r="T608">
            <v>0</v>
          </cell>
          <cell r="U608">
            <v>0</v>
          </cell>
          <cell r="V608">
            <v>145814</v>
          </cell>
          <cell r="W608">
            <v>5488897</v>
          </cell>
          <cell r="X608">
            <v>5</v>
          </cell>
          <cell r="Z608">
            <v>16</v>
          </cell>
          <cell r="AB608">
            <v>21</v>
          </cell>
          <cell r="AC608">
            <v>1306880.2380952381</v>
          </cell>
          <cell r="AD608">
            <v>4182016.7619047621</v>
          </cell>
          <cell r="AE608">
            <v>5488897</v>
          </cell>
          <cell r="AF608">
            <v>0</v>
          </cell>
          <cell r="AG608">
            <v>5488897</v>
          </cell>
          <cell r="AH608" t="b">
            <v>1</v>
          </cell>
          <cell r="AK608">
            <v>5488897</v>
          </cell>
          <cell r="AL608" t="str">
            <v>K2</v>
          </cell>
          <cell r="AM608">
            <v>5488897</v>
          </cell>
          <cell r="AN608">
            <v>0</v>
          </cell>
          <cell r="AQ608">
            <v>0</v>
          </cell>
          <cell r="AS608">
            <v>31700</v>
          </cell>
          <cell r="AV608">
            <v>54888.97</v>
          </cell>
          <cell r="AW608">
            <v>109777.94</v>
          </cell>
          <cell r="AX608">
            <v>54888.97</v>
          </cell>
          <cell r="AY608">
            <v>251256</v>
          </cell>
          <cell r="AZ608">
            <v>5237641</v>
          </cell>
          <cell r="BA608">
            <v>0</v>
          </cell>
          <cell r="BB608">
            <v>251256</v>
          </cell>
          <cell r="BC608">
            <v>5237641</v>
          </cell>
        </row>
        <row r="609">
          <cell r="F609" t="str">
            <v>270120-003</v>
          </cell>
          <cell r="G609" t="str">
            <v>Kontrak 2</v>
          </cell>
          <cell r="H609" t="str">
            <v>Pelaksana</v>
          </cell>
          <cell r="I609" t="str">
            <v>Prod Engineering</v>
          </cell>
          <cell r="J609">
            <v>43857</v>
          </cell>
          <cell r="K609" t="b">
            <v>1</v>
          </cell>
          <cell r="L609">
            <v>43857</v>
          </cell>
          <cell r="M609">
            <v>1</v>
          </cell>
          <cell r="N609">
            <v>3</v>
          </cell>
          <cell r="O609">
            <v>27</v>
          </cell>
          <cell r="Q609">
            <v>5343082</v>
          </cell>
          <cell r="R609">
            <v>4924046</v>
          </cell>
          <cell r="S609">
            <v>5343083</v>
          </cell>
          <cell r="T609">
            <v>0</v>
          </cell>
          <cell r="U609">
            <v>0</v>
          </cell>
          <cell r="V609">
            <v>0</v>
          </cell>
          <cell r="W609">
            <v>5343083</v>
          </cell>
          <cell r="X609">
            <v>5</v>
          </cell>
          <cell r="Z609">
            <v>16</v>
          </cell>
          <cell r="AB609">
            <v>21</v>
          </cell>
          <cell r="AC609">
            <v>1272162.6190476192</v>
          </cell>
          <cell r="AD609">
            <v>4070920.3809523811</v>
          </cell>
          <cell r="AE609">
            <v>5343083</v>
          </cell>
          <cell r="AF609">
            <v>0</v>
          </cell>
          <cell r="AG609">
            <v>5343083</v>
          </cell>
          <cell r="AH609" t="b">
            <v>1</v>
          </cell>
          <cell r="AK609">
            <v>5343083</v>
          </cell>
          <cell r="AL609" t="str">
            <v>TK</v>
          </cell>
          <cell r="AM609">
            <v>5343083</v>
          </cell>
          <cell r="AN609">
            <v>34354.584590750004</v>
          </cell>
          <cell r="AQ609">
            <v>0</v>
          </cell>
          <cell r="AR609">
            <v>38000</v>
          </cell>
          <cell r="AS609">
            <v>31700</v>
          </cell>
          <cell r="AV609">
            <v>53430.83</v>
          </cell>
          <cell r="AW609">
            <v>106861.66</v>
          </cell>
          <cell r="AX609">
            <v>53430.83</v>
          </cell>
          <cell r="AY609">
            <v>317778</v>
          </cell>
          <cell r="AZ609">
            <v>5025305</v>
          </cell>
          <cell r="BA609">
            <v>34354.584590750004</v>
          </cell>
          <cell r="BB609">
            <v>283423</v>
          </cell>
          <cell r="BC609">
            <v>5059660</v>
          </cell>
        </row>
        <row r="610">
          <cell r="F610" t="str">
            <v>240220-002</v>
          </cell>
          <cell r="G610" t="str">
            <v>Kontrak 1</v>
          </cell>
          <cell r="H610" t="str">
            <v>Pelaksana</v>
          </cell>
          <cell r="I610" t="str">
            <v>Prod Engineering</v>
          </cell>
          <cell r="J610">
            <v>43885</v>
          </cell>
          <cell r="K610" t="b">
            <v>1</v>
          </cell>
          <cell r="L610">
            <v>43885</v>
          </cell>
          <cell r="M610">
            <v>1</v>
          </cell>
          <cell r="N610">
            <v>3</v>
          </cell>
          <cell r="O610">
            <v>0</v>
          </cell>
          <cell r="Q610">
            <v>5343082</v>
          </cell>
          <cell r="R610">
            <v>4924046</v>
          </cell>
          <cell r="S610">
            <v>5343083</v>
          </cell>
          <cell r="T610">
            <v>0</v>
          </cell>
          <cell r="U610">
            <v>0</v>
          </cell>
          <cell r="V610">
            <v>0</v>
          </cell>
          <cell r="W610">
            <v>5343083</v>
          </cell>
          <cell r="X610">
            <v>5</v>
          </cell>
          <cell r="Z610">
            <v>16</v>
          </cell>
          <cell r="AB610">
            <v>21</v>
          </cell>
          <cell r="AC610">
            <v>1272162.6190476192</v>
          </cell>
          <cell r="AD610">
            <v>4070920.3809523811</v>
          </cell>
          <cell r="AE610">
            <v>5343083</v>
          </cell>
          <cell r="AF610">
            <v>0</v>
          </cell>
          <cell r="AG610">
            <v>5343083</v>
          </cell>
          <cell r="AH610" t="b">
            <v>1</v>
          </cell>
          <cell r="AK610">
            <v>5343083</v>
          </cell>
          <cell r="AL610" t="str">
            <v>TK</v>
          </cell>
          <cell r="AM610">
            <v>5343083</v>
          </cell>
          <cell r="AN610">
            <v>34354.584590750004</v>
          </cell>
          <cell r="AQ610">
            <v>0</v>
          </cell>
          <cell r="AS610">
            <v>31700</v>
          </cell>
          <cell r="AV610">
            <v>53430.83</v>
          </cell>
          <cell r="AW610">
            <v>106861.66</v>
          </cell>
          <cell r="AX610">
            <v>53430.83</v>
          </cell>
          <cell r="AY610">
            <v>279778</v>
          </cell>
          <cell r="AZ610">
            <v>5063305</v>
          </cell>
          <cell r="BA610">
            <v>34354.584590750004</v>
          </cell>
          <cell r="BB610">
            <v>245423</v>
          </cell>
          <cell r="BC610">
            <v>5097660</v>
          </cell>
        </row>
        <row r="611">
          <cell r="F611" t="str">
            <v>250915-001</v>
          </cell>
          <cell r="G611" t="str">
            <v>Tetap</v>
          </cell>
          <cell r="H611" t="str">
            <v>Staff</v>
          </cell>
          <cell r="I611" t="str">
            <v>Prod Engineering</v>
          </cell>
          <cell r="J611">
            <v>42272</v>
          </cell>
          <cell r="K611" t="b">
            <v>1</v>
          </cell>
          <cell r="L611">
            <v>42272</v>
          </cell>
          <cell r="M611">
            <v>5</v>
          </cell>
          <cell r="N611">
            <v>7</v>
          </cell>
          <cell r="O611">
            <v>29</v>
          </cell>
          <cell r="Q611">
            <v>5343082</v>
          </cell>
          <cell r="R611">
            <v>5343083</v>
          </cell>
          <cell r="S611">
            <v>5343083</v>
          </cell>
          <cell r="T611">
            <v>0</v>
          </cell>
          <cell r="U611">
            <v>310300</v>
          </cell>
          <cell r="V611">
            <v>160292</v>
          </cell>
          <cell r="W611">
            <v>5813675</v>
          </cell>
          <cell r="X611">
            <v>5</v>
          </cell>
          <cell r="Z611">
            <v>16</v>
          </cell>
          <cell r="AB611">
            <v>21</v>
          </cell>
          <cell r="AC611">
            <v>1384208.3333333335</v>
          </cell>
          <cell r="AD611">
            <v>4429466.666666667</v>
          </cell>
          <cell r="AE611">
            <v>5813675</v>
          </cell>
          <cell r="AF611">
            <v>0</v>
          </cell>
          <cell r="AG611">
            <v>5813675</v>
          </cell>
          <cell r="AH611" t="b">
            <v>1</v>
          </cell>
          <cell r="AK611">
            <v>5813675</v>
          </cell>
          <cell r="AL611" t="str">
            <v>TK</v>
          </cell>
          <cell r="AM611">
            <v>5813675</v>
          </cell>
          <cell r="AN611">
            <v>56607.667918749969</v>
          </cell>
          <cell r="AQ611">
            <v>0</v>
          </cell>
          <cell r="AR611">
            <v>38000</v>
          </cell>
          <cell r="AS611">
            <v>31700</v>
          </cell>
          <cell r="AV611">
            <v>55033.75</v>
          </cell>
          <cell r="AW611">
            <v>116273.5</v>
          </cell>
          <cell r="AX611">
            <v>58136.75</v>
          </cell>
          <cell r="AY611">
            <v>355752</v>
          </cell>
          <cell r="AZ611">
            <v>5457923</v>
          </cell>
          <cell r="BA611">
            <v>56607.667918749969</v>
          </cell>
          <cell r="BB611">
            <v>299144</v>
          </cell>
          <cell r="BC611">
            <v>5514531</v>
          </cell>
        </row>
        <row r="612">
          <cell r="F612" t="str">
            <v>040814-399</v>
          </cell>
          <cell r="G612" t="str">
            <v>Tetap</v>
          </cell>
          <cell r="H612" t="str">
            <v>Pelaksana</v>
          </cell>
          <cell r="I612" t="str">
            <v>Prod Engineering</v>
          </cell>
          <cell r="J612">
            <v>41855</v>
          </cell>
          <cell r="K612" t="b">
            <v>1</v>
          </cell>
          <cell r="L612">
            <v>41855</v>
          </cell>
          <cell r="M612">
            <v>6</v>
          </cell>
          <cell r="N612">
            <v>9</v>
          </cell>
          <cell r="O612">
            <v>20</v>
          </cell>
          <cell r="Q612">
            <v>5343082</v>
          </cell>
          <cell r="R612">
            <v>4924046</v>
          </cell>
          <cell r="S612">
            <v>5343083</v>
          </cell>
          <cell r="T612">
            <v>0</v>
          </cell>
          <cell r="U612">
            <v>0</v>
          </cell>
          <cell r="V612">
            <v>0</v>
          </cell>
          <cell r="W612">
            <v>5343083</v>
          </cell>
          <cell r="X612">
            <v>5</v>
          </cell>
          <cell r="Z612">
            <v>16</v>
          </cell>
          <cell r="AB612">
            <v>21</v>
          </cell>
          <cell r="AC612">
            <v>1272162.6190476192</v>
          </cell>
          <cell r="AD612">
            <v>4070920.3809523811</v>
          </cell>
          <cell r="AE612">
            <v>5343083</v>
          </cell>
          <cell r="AF612">
            <v>0</v>
          </cell>
          <cell r="AG612">
            <v>5343083</v>
          </cell>
          <cell r="AH612" t="b">
            <v>1</v>
          </cell>
          <cell r="AK612">
            <v>5343083</v>
          </cell>
          <cell r="AL612" t="str">
            <v>K3</v>
          </cell>
          <cell r="AM612">
            <v>5343083</v>
          </cell>
          <cell r="AN612">
            <v>0</v>
          </cell>
          <cell r="AQ612">
            <v>0</v>
          </cell>
          <cell r="AR612">
            <v>38000</v>
          </cell>
          <cell r="AS612">
            <v>31700</v>
          </cell>
          <cell r="AU612">
            <v>10000</v>
          </cell>
          <cell r="AV612">
            <v>53430.83</v>
          </cell>
          <cell r="AW612">
            <v>106861.66</v>
          </cell>
          <cell r="AX612">
            <v>53430.83</v>
          </cell>
          <cell r="AY612">
            <v>293423</v>
          </cell>
          <cell r="AZ612">
            <v>5049660</v>
          </cell>
          <cell r="BA612">
            <v>0</v>
          </cell>
          <cell r="BB612">
            <v>293423</v>
          </cell>
          <cell r="BC612">
            <v>5049660</v>
          </cell>
        </row>
        <row r="613">
          <cell r="F613" t="str">
            <v>110119-003</v>
          </cell>
          <cell r="G613" t="str">
            <v>Kontrak 2</v>
          </cell>
          <cell r="H613" t="str">
            <v>Staff</v>
          </cell>
          <cell r="I613" t="str">
            <v>Prod Engineering</v>
          </cell>
          <cell r="J613">
            <v>43476</v>
          </cell>
          <cell r="K613" t="b">
            <v>1</v>
          </cell>
          <cell r="L613">
            <v>43476</v>
          </cell>
          <cell r="M613">
            <v>2</v>
          </cell>
          <cell r="N613">
            <v>4</v>
          </cell>
          <cell r="O613">
            <v>13</v>
          </cell>
          <cell r="Q613">
            <v>5343082</v>
          </cell>
          <cell r="R613">
            <v>4924046</v>
          </cell>
          <cell r="S613">
            <v>5343083</v>
          </cell>
          <cell r="T613">
            <v>0</v>
          </cell>
          <cell r="U613">
            <v>310300</v>
          </cell>
          <cell r="V613">
            <v>0</v>
          </cell>
          <cell r="W613">
            <v>5653383</v>
          </cell>
          <cell r="X613">
            <v>5</v>
          </cell>
          <cell r="Z613">
            <v>16</v>
          </cell>
          <cell r="AB613">
            <v>21</v>
          </cell>
          <cell r="AC613">
            <v>1346043.5714285714</v>
          </cell>
          <cell r="AD613">
            <v>4307339.4285714282</v>
          </cell>
          <cell r="AE613">
            <v>5653383</v>
          </cell>
          <cell r="AF613">
            <v>0</v>
          </cell>
          <cell r="AG613">
            <v>5653383</v>
          </cell>
          <cell r="AH613" t="b">
            <v>1</v>
          </cell>
          <cell r="AK613">
            <v>5653383</v>
          </cell>
          <cell r="AL613" t="str">
            <v>TK</v>
          </cell>
          <cell r="AM613">
            <v>5653383</v>
          </cell>
          <cell r="AN613">
            <v>48989.124165749985</v>
          </cell>
          <cell r="AQ613">
            <v>0</v>
          </cell>
          <cell r="AR613">
            <v>38000</v>
          </cell>
          <cell r="AS613">
            <v>31700</v>
          </cell>
          <cell r="AV613">
            <v>54283.83</v>
          </cell>
          <cell r="AW613">
            <v>113067.66</v>
          </cell>
          <cell r="AX613">
            <v>56533.83</v>
          </cell>
          <cell r="AY613">
            <v>342574</v>
          </cell>
          <cell r="AZ613">
            <v>5310809</v>
          </cell>
          <cell r="BA613">
            <v>48989.124165749985</v>
          </cell>
          <cell r="BB613">
            <v>293585</v>
          </cell>
          <cell r="BC613">
            <v>5359798</v>
          </cell>
        </row>
        <row r="614">
          <cell r="F614" t="str">
            <v>150519-002</v>
          </cell>
          <cell r="G614" t="str">
            <v>Kontrak 2</v>
          </cell>
          <cell r="H614" t="str">
            <v>Staff</v>
          </cell>
          <cell r="I614" t="str">
            <v>Prod Engineering</v>
          </cell>
          <cell r="J614" t="str">
            <v>15 Mei 2019</v>
          </cell>
          <cell r="K614" t="b">
            <v>0</v>
          </cell>
          <cell r="L614">
            <v>43600</v>
          </cell>
          <cell r="M614">
            <v>2</v>
          </cell>
          <cell r="N614">
            <v>0</v>
          </cell>
          <cell r="O614">
            <v>9</v>
          </cell>
          <cell r="Q614">
            <v>5343082</v>
          </cell>
          <cell r="R614">
            <v>4924046</v>
          </cell>
          <cell r="S614">
            <v>5343083</v>
          </cell>
          <cell r="T614">
            <v>0</v>
          </cell>
          <cell r="U614">
            <v>225000</v>
          </cell>
          <cell r="V614">
            <v>0</v>
          </cell>
          <cell r="W614">
            <v>5568083</v>
          </cell>
          <cell r="X614">
            <v>5</v>
          </cell>
          <cell r="Z614">
            <v>16</v>
          </cell>
          <cell r="AB614">
            <v>21</v>
          </cell>
          <cell r="AC614">
            <v>1325734.0476190476</v>
          </cell>
          <cell r="AD614">
            <v>4242348.9523809524</v>
          </cell>
          <cell r="AE614">
            <v>5568083</v>
          </cell>
          <cell r="AF614">
            <v>0</v>
          </cell>
          <cell r="AG614">
            <v>5568083</v>
          </cell>
          <cell r="AH614" t="b">
            <v>1</v>
          </cell>
          <cell r="AK614">
            <v>5568083</v>
          </cell>
          <cell r="AL614" t="str">
            <v>TK</v>
          </cell>
          <cell r="AM614">
            <v>5568083</v>
          </cell>
          <cell r="AN614">
            <v>44848.640840749977</v>
          </cell>
          <cell r="AQ614">
            <v>0</v>
          </cell>
          <cell r="AS614">
            <v>31700</v>
          </cell>
          <cell r="AV614">
            <v>53430.83</v>
          </cell>
          <cell r="AW614">
            <v>111361.66</v>
          </cell>
          <cell r="AX614">
            <v>55680.83</v>
          </cell>
          <cell r="AY614">
            <v>297022</v>
          </cell>
          <cell r="AZ614">
            <v>5271061</v>
          </cell>
          <cell r="BA614">
            <v>44848.640840749977</v>
          </cell>
          <cell r="BB614">
            <v>252173</v>
          </cell>
          <cell r="BC614">
            <v>5315910</v>
          </cell>
        </row>
        <row r="615">
          <cell r="F615" t="str">
            <v>261120-004</v>
          </cell>
          <cell r="G615" t="str">
            <v>Kontrak 1</v>
          </cell>
          <cell r="H615" t="str">
            <v>Pelaksana</v>
          </cell>
          <cell r="I615" t="str">
            <v>Prod Engineering</v>
          </cell>
          <cell r="J615">
            <v>44161</v>
          </cell>
          <cell r="K615" t="b">
            <v>1</v>
          </cell>
          <cell r="L615">
            <v>44161</v>
          </cell>
          <cell r="M615">
            <v>0</v>
          </cell>
          <cell r="N615">
            <v>5</v>
          </cell>
          <cell r="O615">
            <v>28</v>
          </cell>
          <cell r="Q615">
            <v>5343082</v>
          </cell>
          <cell r="R615">
            <v>4924046</v>
          </cell>
          <cell r="S615">
            <v>5343083</v>
          </cell>
          <cell r="T615">
            <v>0</v>
          </cell>
          <cell r="U615">
            <v>0</v>
          </cell>
          <cell r="V615">
            <v>0</v>
          </cell>
          <cell r="W615">
            <v>5343083</v>
          </cell>
          <cell r="X615">
            <v>5</v>
          </cell>
          <cell r="Z615">
            <v>16</v>
          </cell>
          <cell r="AB615">
            <v>21</v>
          </cell>
          <cell r="AC615">
            <v>1272162.6190476192</v>
          </cell>
          <cell r="AD615">
            <v>4070920.3809523811</v>
          </cell>
          <cell r="AE615">
            <v>5343083</v>
          </cell>
          <cell r="AF615">
            <v>0</v>
          </cell>
          <cell r="AG615">
            <v>5343083</v>
          </cell>
          <cell r="AH615" t="b">
            <v>1</v>
          </cell>
          <cell r="AK615">
            <v>5343083</v>
          </cell>
          <cell r="AL615" t="str">
            <v>TK</v>
          </cell>
          <cell r="AM615">
            <v>5343083</v>
          </cell>
          <cell r="AN615">
            <v>34354.584590750004</v>
          </cell>
          <cell r="AQ615">
            <v>0</v>
          </cell>
          <cell r="AR615">
            <v>38000</v>
          </cell>
          <cell r="AS615">
            <v>31700</v>
          </cell>
          <cell r="AV615">
            <v>53430.83</v>
          </cell>
          <cell r="AW615">
            <v>106861.66</v>
          </cell>
          <cell r="AX615">
            <v>53430.83</v>
          </cell>
          <cell r="AY615">
            <v>317778</v>
          </cell>
          <cell r="AZ615">
            <v>5025305</v>
          </cell>
          <cell r="BA615">
            <v>34354.584590750004</v>
          </cell>
          <cell r="BB615">
            <v>283423</v>
          </cell>
          <cell r="BC615">
            <v>5059660</v>
          </cell>
        </row>
        <row r="616">
          <cell r="F616" t="str">
            <v>250321-001</v>
          </cell>
          <cell r="G616" t="str">
            <v>Kontrak 1</v>
          </cell>
          <cell r="H616" t="str">
            <v>Staff</v>
          </cell>
          <cell r="I616" t="str">
            <v>Prod Engineering</v>
          </cell>
          <cell r="L616">
            <v>44280</v>
          </cell>
          <cell r="M616">
            <v>0</v>
          </cell>
          <cell r="N616">
            <v>1</v>
          </cell>
          <cell r="O616">
            <v>29</v>
          </cell>
          <cell r="S616">
            <v>5343083</v>
          </cell>
          <cell r="T616">
            <v>0</v>
          </cell>
          <cell r="U616">
            <v>0</v>
          </cell>
          <cell r="V616">
            <v>0</v>
          </cell>
          <cell r="W616">
            <v>5343083</v>
          </cell>
          <cell r="X616">
            <v>5</v>
          </cell>
          <cell r="Z616">
            <v>16</v>
          </cell>
          <cell r="AB616">
            <v>21</v>
          </cell>
          <cell r="AC616">
            <v>1272162.6190476192</v>
          </cell>
          <cell r="AD616">
            <v>4070920.3809523811</v>
          </cell>
          <cell r="AE616">
            <v>5343083</v>
          </cell>
          <cell r="AF616">
            <v>0</v>
          </cell>
          <cell r="AG616">
            <v>5343083</v>
          </cell>
          <cell r="AH616" t="b">
            <v>1</v>
          </cell>
          <cell r="AK616">
            <v>5343083</v>
          </cell>
          <cell r="AL616" t="str">
            <v>TK</v>
          </cell>
          <cell r="AM616">
            <v>5343083</v>
          </cell>
          <cell r="AN616">
            <v>34354.584590750004</v>
          </cell>
          <cell r="AQ616">
            <v>0</v>
          </cell>
          <cell r="AS616">
            <v>31700</v>
          </cell>
          <cell r="AV616">
            <v>53430.83</v>
          </cell>
          <cell r="AW616">
            <v>106861.66</v>
          </cell>
          <cell r="AX616">
            <v>53430.83</v>
          </cell>
          <cell r="AY616">
            <v>279778</v>
          </cell>
          <cell r="AZ616">
            <v>5063305</v>
          </cell>
          <cell r="BA616">
            <v>34354.584590750004</v>
          </cell>
          <cell r="BB616">
            <v>245423</v>
          </cell>
          <cell r="BC616">
            <v>5097660</v>
          </cell>
        </row>
        <row r="617">
          <cell r="F617" t="str">
            <v>130421-001</v>
          </cell>
          <cell r="G617" t="str">
            <v>Kontrak 1</v>
          </cell>
          <cell r="H617" t="str">
            <v>Staff</v>
          </cell>
          <cell r="I617" t="str">
            <v>Prod Engineering</v>
          </cell>
          <cell r="L617">
            <v>44299</v>
          </cell>
          <cell r="M617">
            <v>0</v>
          </cell>
          <cell r="N617">
            <v>1</v>
          </cell>
          <cell r="O617">
            <v>11</v>
          </cell>
          <cell r="S617">
            <v>5343083</v>
          </cell>
          <cell r="T617">
            <v>0</v>
          </cell>
          <cell r="U617">
            <v>0</v>
          </cell>
          <cell r="V617">
            <v>0</v>
          </cell>
          <cell r="W617">
            <v>5343083</v>
          </cell>
          <cell r="X617">
            <v>5</v>
          </cell>
          <cell r="Z617">
            <v>16</v>
          </cell>
          <cell r="AB617">
            <v>21</v>
          </cell>
          <cell r="AC617">
            <v>1272162.6190476192</v>
          </cell>
          <cell r="AD617">
            <v>4070920.3809523811</v>
          </cell>
          <cell r="AE617">
            <v>5343083</v>
          </cell>
          <cell r="AF617">
            <v>0</v>
          </cell>
          <cell r="AG617">
            <v>5343083</v>
          </cell>
          <cell r="AH617" t="b">
            <v>1</v>
          </cell>
          <cell r="AK617">
            <v>5343083</v>
          </cell>
          <cell r="AL617" t="str">
            <v>TK</v>
          </cell>
          <cell r="AM617">
            <v>5343083</v>
          </cell>
          <cell r="AN617">
            <v>34354.584590750004</v>
          </cell>
          <cell r="AQ617">
            <v>0</v>
          </cell>
          <cell r="AV617">
            <v>53430.83</v>
          </cell>
          <cell r="AW617">
            <v>106861.66</v>
          </cell>
          <cell r="AX617">
            <v>53430.83</v>
          </cell>
          <cell r="AY617">
            <v>248078</v>
          </cell>
          <cell r="AZ617">
            <v>5095005</v>
          </cell>
          <cell r="BA617">
            <v>34354.584590750004</v>
          </cell>
          <cell r="BB617">
            <v>213723</v>
          </cell>
          <cell r="BC617">
            <v>5129360</v>
          </cell>
        </row>
        <row r="618">
          <cell r="Q618">
            <v>65764720</v>
          </cell>
          <cell r="R618">
            <v>62412434</v>
          </cell>
          <cell r="S618">
            <v>76950896</v>
          </cell>
          <cell r="T618">
            <v>4500000</v>
          </cell>
          <cell r="U618">
            <v>1569971</v>
          </cell>
          <cell r="V618">
            <v>951689</v>
          </cell>
          <cell r="W618">
            <v>83972556</v>
          </cell>
          <cell r="X618">
            <v>70</v>
          </cell>
          <cell r="Y618">
            <v>0</v>
          </cell>
          <cell r="Z618">
            <v>224</v>
          </cell>
          <cell r="AA618">
            <v>0</v>
          </cell>
          <cell r="AB618">
            <v>294</v>
          </cell>
          <cell r="AC618">
            <v>19993465.714285716</v>
          </cell>
          <cell r="AD618">
            <v>63979090.285714284</v>
          </cell>
          <cell r="AE618">
            <v>83972556</v>
          </cell>
          <cell r="AF618">
            <v>0</v>
          </cell>
          <cell r="AG618">
            <v>83972556</v>
          </cell>
          <cell r="AH618">
            <v>0</v>
          </cell>
          <cell r="AJ618">
            <v>0</v>
          </cell>
          <cell r="AK618">
            <v>83972556</v>
          </cell>
          <cell r="AL618">
            <v>0</v>
          </cell>
          <cell r="AM618">
            <v>82758270</v>
          </cell>
          <cell r="AN618">
            <v>619510.90629828558</v>
          </cell>
          <cell r="AO618">
            <v>0</v>
          </cell>
          <cell r="AP618">
            <v>3</v>
          </cell>
          <cell r="AQ618">
            <v>1214286</v>
          </cell>
          <cell r="AR618">
            <v>304000</v>
          </cell>
          <cell r="AS618">
            <v>380400</v>
          </cell>
          <cell r="AT618">
            <v>0</v>
          </cell>
          <cell r="AU618">
            <v>30000</v>
          </cell>
          <cell r="AV618">
            <v>816976.33428571408</v>
          </cell>
          <cell r="AW618">
            <v>1679451.1199999996</v>
          </cell>
          <cell r="AX618">
            <v>839725.55999999982</v>
          </cell>
          <cell r="AY618">
            <v>5884351</v>
          </cell>
          <cell r="AZ618">
            <v>78088205</v>
          </cell>
          <cell r="BA618">
            <v>619510.90629828558</v>
          </cell>
          <cell r="BB618">
            <v>5264836</v>
          </cell>
          <cell r="BC618">
            <v>78707720</v>
          </cell>
        </row>
        <row r="621">
          <cell r="F621" t="str">
            <v>NIK</v>
          </cell>
          <cell r="G621" t="str">
            <v>STATUS</v>
          </cell>
          <cell r="H621" t="str">
            <v>LEVEL</v>
          </cell>
          <cell r="I621" t="str">
            <v>BAGIAN</v>
          </cell>
          <cell r="J621" t="str">
            <v>DB</v>
          </cell>
          <cell r="L621" t="str">
            <v>JOIN</v>
          </cell>
          <cell r="M621" t="str">
            <v>MK</v>
          </cell>
          <cell r="Q621" t="str">
            <v>FIXED SALARY (KESEPAKATAN 2020)</v>
          </cell>
          <cell r="R621" t="str">
            <v>FIXED SALARY (NOVEMBER 2020)</v>
          </cell>
          <cell r="S621" t="str">
            <v>FIXED SALARY (UMSK 2020)</v>
          </cell>
          <cell r="T621" t="str">
            <v>JOB STRUCTURE ALLOWANCE</v>
          </cell>
          <cell r="U621" t="str">
            <v>SKILL ALLOWANCE</v>
          </cell>
          <cell r="V621" t="str">
            <v>PERFORMANCE ALLOWANCE 2020</v>
          </cell>
          <cell r="W621" t="str">
            <v>TOTAL</v>
          </cell>
          <cell r="X621" t="str">
            <v>WORKDAYS</v>
          </cell>
          <cell r="AB621" t="str">
            <v>CEK</v>
          </cell>
          <cell r="AC621" t="str">
            <v xml:space="preserve">SALARY </v>
          </cell>
          <cell r="AD621" t="str">
            <v>SALARY</v>
          </cell>
          <cell r="AE621" t="str">
            <v>TOTAL SALARY (COVID-19)</v>
          </cell>
          <cell r="AF621" t="str">
            <v>POT OFF</v>
          </cell>
          <cell r="AG621" t="str">
            <v>CEK</v>
          </cell>
          <cell r="AH621" t="str">
            <v>CEK</v>
          </cell>
          <cell r="AJ621" t="str">
            <v>BACK PAY ( RAPEL) / INCENTIVE</v>
          </cell>
          <cell r="AK621" t="str">
            <v>TOTAL</v>
          </cell>
          <cell r="AL621" t="str">
            <v>PERHITUNGAN PPh</v>
          </cell>
          <cell r="AN621" t="str">
            <v>TAX</v>
          </cell>
          <cell r="AO621" t="str">
            <v>RETURND</v>
          </cell>
          <cell r="AP621" t="str">
            <v>ABSEN</v>
          </cell>
          <cell r="AR621" t="str">
            <v>DEDUCTION</v>
          </cell>
          <cell r="AV621" t="str">
            <v>BPJS</v>
          </cell>
          <cell r="AW621" t="str">
            <v>BPJS KETENAGAKERJAAN</v>
          </cell>
          <cell r="AY621" t="str">
            <v>TOTAL</v>
          </cell>
          <cell r="AZ621" t="str">
            <v>TOTAL</v>
          </cell>
          <cell r="BA621" t="str">
            <v>INSENTIF</v>
          </cell>
          <cell r="BB621" t="str">
            <v>WITH INSENTIF PPh21</v>
          </cell>
        </row>
        <row r="622">
          <cell r="F622" t="str">
            <v>SAI</v>
          </cell>
          <cell r="G622" t="str">
            <v>KONTRAK</v>
          </cell>
          <cell r="J622" t="str">
            <v>DATEJOIN</v>
          </cell>
          <cell r="K622" t="str">
            <v>CHECK</v>
          </cell>
          <cell r="L622" t="str">
            <v>DATE</v>
          </cell>
          <cell r="M622" t="str">
            <v>YEAR</v>
          </cell>
          <cell r="N622" t="str">
            <v>MONTH</v>
          </cell>
          <cell r="O622" t="str">
            <v>DAY</v>
          </cell>
          <cell r="W622" t="str">
            <v>SALARY</v>
          </cell>
          <cell r="X622" t="str">
            <v>ON</v>
          </cell>
          <cell r="Y622" t="str">
            <v>OFF</v>
          </cell>
          <cell r="Z622" t="str">
            <v>ON</v>
          </cell>
          <cell r="AA622" t="str">
            <v>OFF</v>
          </cell>
          <cell r="AB622" t="str">
            <v>WORKINGDAYS</v>
          </cell>
          <cell r="AC622" t="str">
            <v>PERIODE 25-31 FEB</v>
          </cell>
          <cell r="AD622" t="str">
            <v xml:space="preserve"> PERIODE 1-24 MAR</v>
          </cell>
          <cell r="AK622" t="str">
            <v xml:space="preserve">RECIEVED       </v>
          </cell>
          <cell r="AL622" t="str">
            <v>STATUS</v>
          </cell>
          <cell r="AM622" t="str">
            <v xml:space="preserve">TOTAL    GROSS </v>
          </cell>
          <cell r="AN622">
            <v>21</v>
          </cell>
          <cell r="AO622" t="str">
            <v>TAX JAN 2021</v>
          </cell>
          <cell r="AP622" t="str">
            <v>DAY</v>
          </cell>
          <cell r="AQ622" t="str">
            <v>( Rp )</v>
          </cell>
          <cell r="AR622" t="str">
            <v>UNION</v>
          </cell>
          <cell r="AS622" t="str">
            <v>RAPID TEST</v>
          </cell>
          <cell r="AT622" t="str">
            <v>OTHERS</v>
          </cell>
          <cell r="AU622" t="str">
            <v>KOPERASI</v>
          </cell>
          <cell r="AV622" t="str">
            <v>KESEHATAN</v>
          </cell>
          <cell r="AW622" t="str">
            <v>JHT</v>
          </cell>
          <cell r="AX622" t="str">
            <v>PENSIUN</v>
          </cell>
          <cell r="AY622" t="str">
            <v>DEDUCTION</v>
          </cell>
          <cell r="AZ622" t="str">
            <v>PAID</v>
          </cell>
          <cell r="BA622" t="str">
            <v>PPh21</v>
          </cell>
          <cell r="BB622" t="str">
            <v>TOTAL DEDUCTION</v>
          </cell>
          <cell r="BC622" t="str">
            <v>TOTAL PAID</v>
          </cell>
        </row>
        <row r="623">
          <cell r="F623" t="str">
            <v>040814-400</v>
          </cell>
          <cell r="G623" t="str">
            <v>Tetap</v>
          </cell>
          <cell r="H623" t="str">
            <v>Sect Head</v>
          </cell>
          <cell r="I623" t="str">
            <v>Tool Maintenance</v>
          </cell>
          <cell r="J623">
            <v>41855</v>
          </cell>
          <cell r="K623" t="b">
            <v>1</v>
          </cell>
          <cell r="L623">
            <v>41855</v>
          </cell>
          <cell r="M623">
            <v>6</v>
          </cell>
          <cell r="N623">
            <v>9</v>
          </cell>
          <cell r="O623">
            <v>20</v>
          </cell>
          <cell r="Q623">
            <v>7405137</v>
          </cell>
          <cell r="R623">
            <v>7405137</v>
          </cell>
          <cell r="S623">
            <v>7405137</v>
          </cell>
          <cell r="T623">
            <v>1500000</v>
          </cell>
          <cell r="U623">
            <v>0</v>
          </cell>
          <cell r="V623">
            <v>284944</v>
          </cell>
          <cell r="W623">
            <v>9190081</v>
          </cell>
          <cell r="X623">
            <v>5</v>
          </cell>
          <cell r="Z623">
            <v>16</v>
          </cell>
          <cell r="AB623">
            <v>21</v>
          </cell>
          <cell r="AC623">
            <v>2188114.5238095238</v>
          </cell>
          <cell r="AD623">
            <v>7001966.4761904757</v>
          </cell>
          <cell r="AE623">
            <v>9190081</v>
          </cell>
          <cell r="AF623">
            <v>0</v>
          </cell>
          <cell r="AG623">
            <v>9190081</v>
          </cell>
          <cell r="AH623" t="b">
            <v>1</v>
          </cell>
          <cell r="AK623">
            <v>9190081</v>
          </cell>
          <cell r="AL623" t="str">
            <v>K2</v>
          </cell>
          <cell r="AM623">
            <v>9190081</v>
          </cell>
          <cell r="AN623">
            <v>165045.68273525001</v>
          </cell>
          <cell r="AQ623">
            <v>0</v>
          </cell>
          <cell r="AR623">
            <v>38000</v>
          </cell>
          <cell r="AS623">
            <v>31700</v>
          </cell>
          <cell r="AU623">
            <v>10000</v>
          </cell>
          <cell r="AV623">
            <v>91900.81</v>
          </cell>
          <cell r="AW623">
            <v>183801.62</v>
          </cell>
          <cell r="AX623">
            <v>87546</v>
          </cell>
          <cell r="AY623">
            <v>607994</v>
          </cell>
          <cell r="AZ623">
            <v>8582087</v>
          </cell>
          <cell r="BA623">
            <v>165045.68273525001</v>
          </cell>
          <cell r="BB623">
            <v>442948</v>
          </cell>
          <cell r="BC623">
            <v>8747133</v>
          </cell>
        </row>
        <row r="624">
          <cell r="F624" t="str">
            <v>040814-403</v>
          </cell>
          <cell r="G624" t="str">
            <v>Tetap</v>
          </cell>
          <cell r="H624" t="str">
            <v>Leader</v>
          </cell>
          <cell r="I624" t="str">
            <v>Tool Maintenance</v>
          </cell>
          <cell r="J624">
            <v>41855</v>
          </cell>
          <cell r="K624" t="b">
            <v>1</v>
          </cell>
          <cell r="L624">
            <v>41855</v>
          </cell>
          <cell r="M624">
            <v>6</v>
          </cell>
          <cell r="N624">
            <v>9</v>
          </cell>
          <cell r="O624">
            <v>20</v>
          </cell>
          <cell r="Q624">
            <v>5493082</v>
          </cell>
          <cell r="R624">
            <v>5493082</v>
          </cell>
          <cell r="S624">
            <v>5493082</v>
          </cell>
          <cell r="T624">
            <v>600000</v>
          </cell>
          <cell r="U624">
            <v>0</v>
          </cell>
          <cell r="V624">
            <v>147721</v>
          </cell>
          <cell r="W624">
            <v>6240803</v>
          </cell>
          <cell r="X624">
            <v>5</v>
          </cell>
          <cell r="Z624">
            <v>16</v>
          </cell>
          <cell r="AB624">
            <v>21</v>
          </cell>
          <cell r="AC624">
            <v>1485905.4761904762</v>
          </cell>
          <cell r="AD624">
            <v>4754897.5238095243</v>
          </cell>
          <cell r="AE624">
            <v>6240803</v>
          </cell>
          <cell r="AF624">
            <v>0</v>
          </cell>
          <cell r="AG624">
            <v>6240803</v>
          </cell>
          <cell r="AH624" t="b">
            <v>1</v>
          </cell>
          <cell r="AK624">
            <v>6240803</v>
          </cell>
          <cell r="AL624" t="str">
            <v>K2</v>
          </cell>
          <cell r="AM624">
            <v>6240803</v>
          </cell>
          <cell r="AN624">
            <v>21680.137820750042</v>
          </cell>
          <cell r="AQ624">
            <v>0</v>
          </cell>
          <cell r="AR624">
            <v>38000</v>
          </cell>
          <cell r="AS624">
            <v>31700</v>
          </cell>
          <cell r="AU624">
            <v>10000</v>
          </cell>
          <cell r="AV624">
            <v>62408.03</v>
          </cell>
          <cell r="AW624">
            <v>124816.06</v>
          </cell>
          <cell r="AX624">
            <v>62408.03</v>
          </cell>
          <cell r="AY624">
            <v>351012</v>
          </cell>
          <cell r="AZ624">
            <v>5889791</v>
          </cell>
          <cell r="BA624">
            <v>21680.137820750042</v>
          </cell>
          <cell r="BB624">
            <v>329332</v>
          </cell>
          <cell r="BC624">
            <v>5911471</v>
          </cell>
        </row>
        <row r="625">
          <cell r="F625" t="str">
            <v>040814-409</v>
          </cell>
          <cell r="G625" t="str">
            <v>Tetap</v>
          </cell>
          <cell r="H625" t="str">
            <v>Leader</v>
          </cell>
          <cell r="I625" t="str">
            <v>Tool Maintenance</v>
          </cell>
          <cell r="J625">
            <v>41855</v>
          </cell>
          <cell r="K625" t="b">
            <v>1</v>
          </cell>
          <cell r="L625">
            <v>41855</v>
          </cell>
          <cell r="M625">
            <v>6</v>
          </cell>
          <cell r="N625">
            <v>9</v>
          </cell>
          <cell r="O625">
            <v>20</v>
          </cell>
          <cell r="Q625">
            <v>5343082</v>
          </cell>
          <cell r="R625">
            <v>4924046</v>
          </cell>
          <cell r="S625">
            <v>5343083</v>
          </cell>
          <cell r="T625">
            <v>500000</v>
          </cell>
          <cell r="U625">
            <v>250000</v>
          </cell>
          <cell r="V625">
            <v>0</v>
          </cell>
          <cell r="W625">
            <v>6093083</v>
          </cell>
          <cell r="X625">
            <v>5</v>
          </cell>
          <cell r="Z625">
            <v>16</v>
          </cell>
          <cell r="AB625">
            <v>21</v>
          </cell>
          <cell r="AC625">
            <v>1450734.0476190476</v>
          </cell>
          <cell r="AD625">
            <v>4642348.9523809524</v>
          </cell>
          <cell r="AE625">
            <v>6093083</v>
          </cell>
          <cell r="AF625">
            <v>0</v>
          </cell>
          <cell r="AG625">
            <v>6093083</v>
          </cell>
          <cell r="AH625" t="b">
            <v>1</v>
          </cell>
          <cell r="AK625">
            <v>6093083</v>
          </cell>
          <cell r="AL625" t="str">
            <v>K1</v>
          </cell>
          <cell r="AM625">
            <v>6093083</v>
          </cell>
          <cell r="AN625">
            <v>32594.772090749942</v>
          </cell>
          <cell r="AQ625">
            <v>0</v>
          </cell>
          <cell r="AR625">
            <v>38000</v>
          </cell>
          <cell r="AS625">
            <v>31700</v>
          </cell>
          <cell r="AV625">
            <v>57430.83</v>
          </cell>
          <cell r="AW625">
            <v>121861.66</v>
          </cell>
          <cell r="AX625">
            <v>60930.83</v>
          </cell>
          <cell r="AY625">
            <v>342518</v>
          </cell>
          <cell r="AZ625">
            <v>5750565</v>
          </cell>
          <cell r="BA625">
            <v>32594.772090749942</v>
          </cell>
          <cell r="BB625">
            <v>309923</v>
          </cell>
          <cell r="BC625">
            <v>5783160</v>
          </cell>
        </row>
        <row r="626">
          <cell r="F626" t="str">
            <v>070817-040</v>
          </cell>
          <cell r="G626" t="str">
            <v>Tetap</v>
          </cell>
          <cell r="H626" t="str">
            <v>Leader</v>
          </cell>
          <cell r="I626" t="str">
            <v>Tool Maintenance</v>
          </cell>
          <cell r="J626">
            <v>42954</v>
          </cell>
          <cell r="K626" t="b">
            <v>1</v>
          </cell>
          <cell r="L626">
            <v>42954</v>
          </cell>
          <cell r="M626">
            <v>3</v>
          </cell>
          <cell r="N626">
            <v>9</v>
          </cell>
          <cell r="O626">
            <v>17</v>
          </cell>
          <cell r="Q626">
            <v>5343082</v>
          </cell>
          <cell r="R626">
            <v>4924046</v>
          </cell>
          <cell r="S626">
            <v>5343083</v>
          </cell>
          <cell r="T626">
            <v>500000</v>
          </cell>
          <cell r="U626">
            <v>150000</v>
          </cell>
          <cell r="V626">
            <v>0</v>
          </cell>
          <cell r="W626">
            <v>5993083</v>
          </cell>
          <cell r="X626">
            <v>5</v>
          </cell>
          <cell r="Z626">
            <v>16</v>
          </cell>
          <cell r="AB626">
            <v>21</v>
          </cell>
          <cell r="AC626">
            <v>1426924.5238095238</v>
          </cell>
          <cell r="AD626">
            <v>4566158.4761904757</v>
          </cell>
          <cell r="AE626">
            <v>5993083</v>
          </cell>
          <cell r="AF626">
            <v>0</v>
          </cell>
          <cell r="AG626">
            <v>5993083</v>
          </cell>
          <cell r="AH626" t="b">
            <v>1</v>
          </cell>
          <cell r="AK626">
            <v>5993083</v>
          </cell>
          <cell r="AL626" t="str">
            <v>K1</v>
          </cell>
          <cell r="AM626">
            <v>5993083</v>
          </cell>
          <cell r="AN626">
            <v>27740.747090749941</v>
          </cell>
          <cell r="AQ626">
            <v>0</v>
          </cell>
          <cell r="AR626">
            <v>38000</v>
          </cell>
          <cell r="AS626">
            <v>31700</v>
          </cell>
          <cell r="AV626">
            <v>56430.83</v>
          </cell>
          <cell r="AW626">
            <v>119861.66</v>
          </cell>
          <cell r="AX626">
            <v>59930.83</v>
          </cell>
          <cell r="AY626">
            <v>333664</v>
          </cell>
          <cell r="AZ626">
            <v>5659419</v>
          </cell>
          <cell r="BA626">
            <v>27740.747090749941</v>
          </cell>
          <cell r="BB626">
            <v>305923</v>
          </cell>
          <cell r="BC626">
            <v>5687160</v>
          </cell>
        </row>
        <row r="627">
          <cell r="F627" t="str">
            <v>080814-003</v>
          </cell>
          <cell r="G627" t="str">
            <v>Tetap</v>
          </cell>
          <cell r="H627" t="str">
            <v>Leader</v>
          </cell>
          <cell r="I627" t="str">
            <v>Tool Maintenance</v>
          </cell>
          <cell r="J627">
            <v>41859</v>
          </cell>
          <cell r="K627" t="b">
            <v>1</v>
          </cell>
          <cell r="L627">
            <v>41859</v>
          </cell>
          <cell r="M627">
            <v>6</v>
          </cell>
          <cell r="N627">
            <v>9</v>
          </cell>
          <cell r="O627">
            <v>16</v>
          </cell>
          <cell r="Q627">
            <v>5343082</v>
          </cell>
          <cell r="R627">
            <v>4924046</v>
          </cell>
          <cell r="S627">
            <v>5343083</v>
          </cell>
          <cell r="T627">
            <v>500000</v>
          </cell>
          <cell r="U627">
            <v>0</v>
          </cell>
          <cell r="V627">
            <v>0</v>
          </cell>
          <cell r="W627">
            <v>5843083</v>
          </cell>
          <cell r="X627">
            <v>5</v>
          </cell>
          <cell r="Z627">
            <v>16</v>
          </cell>
          <cell r="AB627">
            <v>21</v>
          </cell>
          <cell r="AC627">
            <v>1391210.2380952381</v>
          </cell>
          <cell r="AD627">
            <v>4451872.7619047621</v>
          </cell>
          <cell r="AE627">
            <v>5843083</v>
          </cell>
          <cell r="AF627">
            <v>0</v>
          </cell>
          <cell r="AG627">
            <v>5843083</v>
          </cell>
          <cell r="AH627" t="b">
            <v>1</v>
          </cell>
          <cell r="AK627">
            <v>5843083</v>
          </cell>
          <cell r="AL627" t="str">
            <v>K1</v>
          </cell>
          <cell r="AM627">
            <v>5843083</v>
          </cell>
          <cell r="AN627">
            <v>21124.709590749942</v>
          </cell>
          <cell r="AQ627">
            <v>0</v>
          </cell>
          <cell r="AR627">
            <v>38000</v>
          </cell>
          <cell r="AS627">
            <v>31700</v>
          </cell>
          <cell r="AV627">
            <v>58430.83</v>
          </cell>
          <cell r="AW627">
            <v>116861.66</v>
          </cell>
          <cell r="AX627">
            <v>58430.83</v>
          </cell>
          <cell r="AY627">
            <v>324548</v>
          </cell>
          <cell r="AZ627">
            <v>5518535</v>
          </cell>
          <cell r="BA627">
            <v>21124.709590749942</v>
          </cell>
          <cell r="BB627">
            <v>303423</v>
          </cell>
          <cell r="BC627">
            <v>5539660</v>
          </cell>
        </row>
        <row r="628">
          <cell r="F628" t="str">
            <v>040814-405</v>
          </cell>
          <cell r="G628" t="str">
            <v>Tetap</v>
          </cell>
          <cell r="H628" t="str">
            <v>Leader</v>
          </cell>
          <cell r="I628" t="str">
            <v>Tool Maintenance</v>
          </cell>
          <cell r="J628">
            <v>41855</v>
          </cell>
          <cell r="K628" t="b">
            <v>1</v>
          </cell>
          <cell r="L628">
            <v>41855</v>
          </cell>
          <cell r="M628">
            <v>6</v>
          </cell>
          <cell r="N628">
            <v>9</v>
          </cell>
          <cell r="O628">
            <v>20</v>
          </cell>
          <cell r="Q628">
            <v>5343082</v>
          </cell>
          <cell r="R628">
            <v>4924046</v>
          </cell>
          <cell r="S628">
            <v>5343083</v>
          </cell>
          <cell r="T628">
            <v>500000</v>
          </cell>
          <cell r="U628">
            <v>150000</v>
          </cell>
          <cell r="V628">
            <v>0</v>
          </cell>
          <cell r="W628">
            <v>5993083</v>
          </cell>
          <cell r="X628">
            <v>5</v>
          </cell>
          <cell r="Z628">
            <v>16</v>
          </cell>
          <cell r="AB628">
            <v>21</v>
          </cell>
          <cell r="AC628">
            <v>1426924.5238095238</v>
          </cell>
          <cell r="AD628">
            <v>4566158.4761904757</v>
          </cell>
          <cell r="AE628">
            <v>5993083</v>
          </cell>
          <cell r="AF628">
            <v>0</v>
          </cell>
          <cell r="AG628">
            <v>5993083</v>
          </cell>
          <cell r="AH628" t="b">
            <v>1</v>
          </cell>
          <cell r="AK628">
            <v>5993083</v>
          </cell>
          <cell r="AL628" t="str">
            <v>K2</v>
          </cell>
          <cell r="AM628">
            <v>5993083</v>
          </cell>
          <cell r="AN628">
            <v>8990.7470907499392</v>
          </cell>
          <cell r="AQ628">
            <v>0</v>
          </cell>
          <cell r="AR628">
            <v>38000</v>
          </cell>
          <cell r="AS628">
            <v>31700</v>
          </cell>
          <cell r="AV628">
            <v>56430.83</v>
          </cell>
          <cell r="AW628">
            <v>119861.66</v>
          </cell>
          <cell r="AX628">
            <v>59930.83</v>
          </cell>
          <cell r="AY628">
            <v>314914</v>
          </cell>
          <cell r="AZ628">
            <v>5678169</v>
          </cell>
          <cell r="BA628">
            <v>8990.7470907499392</v>
          </cell>
          <cell r="BB628">
            <v>305923</v>
          </cell>
          <cell r="BC628">
            <v>5687160</v>
          </cell>
        </row>
        <row r="629">
          <cell r="F629" t="str">
            <v>160320-001</v>
          </cell>
          <cell r="G629" t="str">
            <v>Pembaharuan</v>
          </cell>
          <cell r="H629" t="str">
            <v>Leader</v>
          </cell>
          <cell r="I629" t="str">
            <v>Tool Maintenance</v>
          </cell>
          <cell r="J629">
            <v>43906</v>
          </cell>
          <cell r="K629" t="b">
            <v>1</v>
          </cell>
          <cell r="L629">
            <v>43906</v>
          </cell>
          <cell r="M629">
            <v>1</v>
          </cell>
          <cell r="N629">
            <v>2</v>
          </cell>
          <cell r="O629">
            <v>8</v>
          </cell>
          <cell r="Q629">
            <v>5343082</v>
          </cell>
          <cell r="R629">
            <v>4924046</v>
          </cell>
          <cell r="S629">
            <v>5343083</v>
          </cell>
          <cell r="T629">
            <v>500000</v>
          </cell>
          <cell r="U629">
            <v>0</v>
          </cell>
          <cell r="V629">
            <v>0</v>
          </cell>
          <cell r="W629">
            <v>5843083</v>
          </cell>
          <cell r="X629">
            <v>5</v>
          </cell>
          <cell r="Z629">
            <v>16</v>
          </cell>
          <cell r="AB629">
            <v>21</v>
          </cell>
          <cell r="AC629">
            <v>1391210.2380952381</v>
          </cell>
          <cell r="AD629">
            <v>4451872.7619047621</v>
          </cell>
          <cell r="AE629">
            <v>5843083</v>
          </cell>
          <cell r="AF629">
            <v>0</v>
          </cell>
          <cell r="AG629">
            <v>5843083</v>
          </cell>
          <cell r="AH629" t="b">
            <v>1</v>
          </cell>
          <cell r="AK629">
            <v>5843083</v>
          </cell>
          <cell r="AL629" t="str">
            <v>K1</v>
          </cell>
          <cell r="AM629">
            <v>5843083</v>
          </cell>
          <cell r="AN629">
            <v>20988.9953050357</v>
          </cell>
          <cell r="AQ629">
            <v>0</v>
          </cell>
          <cell r="AR629">
            <v>38000</v>
          </cell>
          <cell r="AS629">
            <v>31700</v>
          </cell>
          <cell r="AV629">
            <v>57716.544285714284</v>
          </cell>
          <cell r="AW629">
            <v>116861.66</v>
          </cell>
          <cell r="AX629">
            <v>58430.83</v>
          </cell>
          <cell r="AY629">
            <v>323698</v>
          </cell>
          <cell r="AZ629">
            <v>5519385</v>
          </cell>
          <cell r="BA629">
            <v>20988.9953050357</v>
          </cell>
          <cell r="BB629">
            <v>302709</v>
          </cell>
          <cell r="BC629">
            <v>5540374</v>
          </cell>
        </row>
        <row r="630">
          <cell r="F630" t="str">
            <v>070616-001</v>
          </cell>
          <cell r="G630" t="str">
            <v>Tetap</v>
          </cell>
          <cell r="H630" t="str">
            <v>Leader</v>
          </cell>
          <cell r="I630" t="str">
            <v>Tool Maintenance</v>
          </cell>
          <cell r="J630">
            <v>42528</v>
          </cell>
          <cell r="K630" t="b">
            <v>1</v>
          </cell>
          <cell r="L630">
            <v>42528</v>
          </cell>
          <cell r="M630">
            <v>4</v>
          </cell>
          <cell r="N630">
            <v>11</v>
          </cell>
          <cell r="O630">
            <v>17</v>
          </cell>
          <cell r="Q630">
            <v>5343082</v>
          </cell>
          <cell r="R630">
            <v>4924046</v>
          </cell>
          <cell r="S630">
            <v>5343083</v>
          </cell>
          <cell r="T630">
            <v>300000</v>
          </cell>
          <cell r="U630">
            <v>0</v>
          </cell>
          <cell r="V630">
            <v>0</v>
          </cell>
          <cell r="W630">
            <v>5643083</v>
          </cell>
          <cell r="X630">
            <v>5</v>
          </cell>
          <cell r="Z630">
            <v>16</v>
          </cell>
          <cell r="AB630">
            <v>21</v>
          </cell>
          <cell r="AC630">
            <v>1343591.1904761905</v>
          </cell>
          <cell r="AD630">
            <v>4299491.8095238097</v>
          </cell>
          <cell r="AE630">
            <v>5643083</v>
          </cell>
          <cell r="AF630">
            <v>0</v>
          </cell>
          <cell r="AG630">
            <v>5643083</v>
          </cell>
          <cell r="AH630" t="b">
            <v>1</v>
          </cell>
          <cell r="AK630">
            <v>5643083</v>
          </cell>
          <cell r="AL630" t="str">
            <v>K0</v>
          </cell>
          <cell r="AM630">
            <v>5643083</v>
          </cell>
          <cell r="AN630">
            <v>30166.659590749972</v>
          </cell>
          <cell r="AQ630">
            <v>0</v>
          </cell>
          <cell r="AR630">
            <v>38000</v>
          </cell>
          <cell r="AS630">
            <v>31700</v>
          </cell>
          <cell r="AV630">
            <v>56430.83</v>
          </cell>
          <cell r="AW630">
            <v>112861.66</v>
          </cell>
          <cell r="AX630">
            <v>56430.83</v>
          </cell>
          <cell r="AY630">
            <v>325590</v>
          </cell>
          <cell r="AZ630">
            <v>5317493</v>
          </cell>
          <cell r="BA630">
            <v>30166.659590749972</v>
          </cell>
          <cell r="BB630">
            <v>295423</v>
          </cell>
          <cell r="BC630">
            <v>5347660</v>
          </cell>
        </row>
        <row r="631">
          <cell r="F631" t="str">
            <v>040814-410</v>
          </cell>
          <cell r="G631" t="str">
            <v>Tetap</v>
          </cell>
          <cell r="H631" t="str">
            <v>Pelaksana</v>
          </cell>
          <cell r="I631" t="str">
            <v>Tool Maintenance</v>
          </cell>
          <cell r="J631">
            <v>41855</v>
          </cell>
          <cell r="K631" t="b">
            <v>1</v>
          </cell>
          <cell r="L631">
            <v>41855</v>
          </cell>
          <cell r="M631">
            <v>6</v>
          </cell>
          <cell r="N631">
            <v>9</v>
          </cell>
          <cell r="O631">
            <v>20</v>
          </cell>
          <cell r="Q631">
            <v>5343082</v>
          </cell>
          <cell r="R631">
            <v>4924046</v>
          </cell>
          <cell r="S631">
            <v>5343083</v>
          </cell>
          <cell r="T631">
            <v>0</v>
          </cell>
          <cell r="U631">
            <v>0</v>
          </cell>
          <cell r="V631">
            <v>0</v>
          </cell>
          <cell r="W631">
            <v>5343083</v>
          </cell>
          <cell r="X631">
            <v>5</v>
          </cell>
          <cell r="Z631">
            <v>16</v>
          </cell>
          <cell r="AB631">
            <v>21</v>
          </cell>
          <cell r="AC631">
            <v>1272162.6190476192</v>
          </cell>
          <cell r="AD631">
            <v>4070920.3809523811</v>
          </cell>
          <cell r="AE631">
            <v>5343083</v>
          </cell>
          <cell r="AF631">
            <v>0</v>
          </cell>
          <cell r="AG631">
            <v>5343083</v>
          </cell>
          <cell r="AH631" t="b">
            <v>1</v>
          </cell>
          <cell r="AK631">
            <v>5343083</v>
          </cell>
          <cell r="AL631" t="str">
            <v>K2</v>
          </cell>
          <cell r="AM631">
            <v>5343083</v>
          </cell>
          <cell r="AN631">
            <v>0</v>
          </cell>
          <cell r="AQ631">
            <v>0</v>
          </cell>
          <cell r="AR631">
            <v>38000</v>
          </cell>
          <cell r="AS631">
            <v>31700</v>
          </cell>
          <cell r="AU631">
            <v>10000</v>
          </cell>
          <cell r="AV631">
            <v>53430.83</v>
          </cell>
          <cell r="AW631">
            <v>106861.66</v>
          </cell>
          <cell r="AX631">
            <v>53430.83</v>
          </cell>
          <cell r="AY631">
            <v>293423</v>
          </cell>
          <cell r="AZ631">
            <v>5049660</v>
          </cell>
          <cell r="BA631">
            <v>0</v>
          </cell>
          <cell r="BB631">
            <v>293423</v>
          </cell>
          <cell r="BC631">
            <v>5049660</v>
          </cell>
        </row>
        <row r="632">
          <cell r="F632" t="str">
            <v>040814-412</v>
          </cell>
          <cell r="G632" t="str">
            <v>Tetap</v>
          </cell>
          <cell r="H632" t="str">
            <v>Pelaksana</v>
          </cell>
          <cell r="I632" t="str">
            <v>Tool Maintenance</v>
          </cell>
          <cell r="J632">
            <v>41855</v>
          </cell>
          <cell r="K632" t="b">
            <v>1</v>
          </cell>
          <cell r="L632">
            <v>41855</v>
          </cell>
          <cell r="M632">
            <v>6</v>
          </cell>
          <cell r="N632">
            <v>9</v>
          </cell>
          <cell r="O632">
            <v>20</v>
          </cell>
          <cell r="Q632">
            <v>5343082</v>
          </cell>
          <cell r="R632">
            <v>4924046</v>
          </cell>
          <cell r="S632">
            <v>5343083</v>
          </cell>
          <cell r="T632">
            <v>0</v>
          </cell>
          <cell r="U632">
            <v>0</v>
          </cell>
          <cell r="V632">
            <v>0</v>
          </cell>
          <cell r="W632">
            <v>5343083</v>
          </cell>
          <cell r="X632">
            <v>5</v>
          </cell>
          <cell r="Z632">
            <v>16</v>
          </cell>
          <cell r="AB632">
            <v>21</v>
          </cell>
          <cell r="AC632">
            <v>1272162.6190476192</v>
          </cell>
          <cell r="AD632">
            <v>4070920.3809523811</v>
          </cell>
          <cell r="AE632">
            <v>5343083</v>
          </cell>
          <cell r="AF632">
            <v>0</v>
          </cell>
          <cell r="AG632">
            <v>5343083</v>
          </cell>
          <cell r="AH632" t="b">
            <v>1</v>
          </cell>
          <cell r="AK632">
            <v>5343083</v>
          </cell>
          <cell r="AL632" t="str">
            <v>K2</v>
          </cell>
          <cell r="AM632">
            <v>5343083</v>
          </cell>
          <cell r="AN632">
            <v>0</v>
          </cell>
          <cell r="AQ632">
            <v>0</v>
          </cell>
          <cell r="AR632">
            <v>38000</v>
          </cell>
          <cell r="AS632">
            <v>31700</v>
          </cell>
          <cell r="AV632">
            <v>53430.83</v>
          </cell>
          <cell r="AW632">
            <v>106861.66</v>
          </cell>
          <cell r="AX632">
            <v>53430.83</v>
          </cell>
          <cell r="AY632">
            <v>283423</v>
          </cell>
          <cell r="AZ632">
            <v>5059660</v>
          </cell>
          <cell r="BA632">
            <v>0</v>
          </cell>
          <cell r="BB632">
            <v>283423</v>
          </cell>
          <cell r="BC632">
            <v>5059660</v>
          </cell>
        </row>
        <row r="633">
          <cell r="F633" t="str">
            <v>010321-003</v>
          </cell>
          <cell r="G633" t="str">
            <v>Pembaharuan</v>
          </cell>
          <cell r="H633" t="str">
            <v>Pelaksana</v>
          </cell>
          <cell r="I633" t="str">
            <v>Tool Maintenance</v>
          </cell>
          <cell r="J633">
            <v>44256</v>
          </cell>
          <cell r="K633" t="b">
            <v>1</v>
          </cell>
          <cell r="L633">
            <v>44256</v>
          </cell>
          <cell r="M633">
            <v>0</v>
          </cell>
          <cell r="N633">
            <v>2</v>
          </cell>
          <cell r="O633">
            <v>23</v>
          </cell>
          <cell r="Q633">
            <v>5343082</v>
          </cell>
          <cell r="R633">
            <v>4924046</v>
          </cell>
          <cell r="S633">
            <v>5343083</v>
          </cell>
          <cell r="T633">
            <v>0</v>
          </cell>
          <cell r="U633">
            <v>0</v>
          </cell>
          <cell r="V633">
            <v>0</v>
          </cell>
          <cell r="W633">
            <v>5343083</v>
          </cell>
          <cell r="X633">
            <v>5</v>
          </cell>
          <cell r="Z633">
            <v>16</v>
          </cell>
          <cell r="AB633">
            <v>21</v>
          </cell>
          <cell r="AC633">
            <v>1272162.6190476192</v>
          </cell>
          <cell r="AD633">
            <v>4070920.3809523811</v>
          </cell>
          <cell r="AE633">
            <v>5343083</v>
          </cell>
          <cell r="AF633">
            <v>0</v>
          </cell>
          <cell r="AG633">
            <v>5343083</v>
          </cell>
          <cell r="AH633" t="b">
            <v>1</v>
          </cell>
          <cell r="AK633">
            <v>5343083</v>
          </cell>
          <cell r="AL633" t="str">
            <v>K1</v>
          </cell>
          <cell r="AM633">
            <v>5343083</v>
          </cell>
          <cell r="AN633">
            <v>0</v>
          </cell>
          <cell r="AQ633">
            <v>0</v>
          </cell>
          <cell r="AR633">
            <v>38000</v>
          </cell>
          <cell r="AS633">
            <v>31700</v>
          </cell>
          <cell r="AV633">
            <v>53430.83</v>
          </cell>
          <cell r="AW633">
            <v>106861.66</v>
          </cell>
          <cell r="AX633">
            <v>53430.83</v>
          </cell>
          <cell r="AY633">
            <v>283423</v>
          </cell>
          <cell r="AZ633">
            <v>5059660</v>
          </cell>
          <cell r="BA633">
            <v>0</v>
          </cell>
          <cell r="BB633">
            <v>283423</v>
          </cell>
          <cell r="BC633">
            <v>5059660</v>
          </cell>
        </row>
        <row r="634">
          <cell r="F634" t="str">
            <v>290216-002</v>
          </cell>
          <cell r="G634" t="str">
            <v>Tetap</v>
          </cell>
          <cell r="H634" t="str">
            <v>Pelaksana</v>
          </cell>
          <cell r="I634" t="str">
            <v>Tool Maintenance</v>
          </cell>
          <cell r="J634">
            <v>42429</v>
          </cell>
          <cell r="K634" t="b">
            <v>1</v>
          </cell>
          <cell r="L634">
            <v>42429</v>
          </cell>
          <cell r="M634">
            <v>5</v>
          </cell>
          <cell r="N634">
            <v>2</v>
          </cell>
          <cell r="O634">
            <v>25</v>
          </cell>
          <cell r="Q634">
            <v>5343082</v>
          </cell>
          <cell r="R634">
            <v>4924046</v>
          </cell>
          <cell r="S634">
            <v>5343083</v>
          </cell>
          <cell r="T634">
            <v>0</v>
          </cell>
          <cell r="U634">
            <v>0</v>
          </cell>
          <cell r="V634">
            <v>0</v>
          </cell>
          <cell r="W634">
            <v>5343083</v>
          </cell>
          <cell r="X634">
            <v>5</v>
          </cell>
          <cell r="Z634">
            <v>16</v>
          </cell>
          <cell r="AB634">
            <v>21</v>
          </cell>
          <cell r="AC634">
            <v>1272162.6190476192</v>
          </cell>
          <cell r="AD634">
            <v>4070920.3809523811</v>
          </cell>
          <cell r="AE634">
            <v>5343083</v>
          </cell>
          <cell r="AF634">
            <v>0</v>
          </cell>
          <cell r="AG634">
            <v>5343083</v>
          </cell>
          <cell r="AH634" t="b">
            <v>1</v>
          </cell>
          <cell r="AK634">
            <v>5343083</v>
          </cell>
          <cell r="AL634" t="str">
            <v>TK</v>
          </cell>
          <cell r="AM634">
            <v>5343083</v>
          </cell>
          <cell r="AN634">
            <v>34354.584590750004</v>
          </cell>
          <cell r="AQ634">
            <v>0</v>
          </cell>
          <cell r="AR634">
            <v>38000</v>
          </cell>
          <cell r="AS634">
            <v>31700</v>
          </cell>
          <cell r="AV634">
            <v>53430.83</v>
          </cell>
          <cell r="AW634">
            <v>106861.66</v>
          </cell>
          <cell r="AX634">
            <v>53430.83</v>
          </cell>
          <cell r="AY634">
            <v>317778</v>
          </cell>
          <cell r="AZ634">
            <v>5025305</v>
          </cell>
          <cell r="BA634">
            <v>34354.584590750004</v>
          </cell>
          <cell r="BB634">
            <v>283423</v>
          </cell>
          <cell r="BC634">
            <v>5059660</v>
          </cell>
        </row>
        <row r="635">
          <cell r="F635" t="str">
            <v>300919-001</v>
          </cell>
          <cell r="G635" t="str">
            <v>Pembaharuan</v>
          </cell>
          <cell r="H635" t="str">
            <v>Pelaksana</v>
          </cell>
          <cell r="I635" t="str">
            <v>Tool Maintenance</v>
          </cell>
          <cell r="J635">
            <v>43738</v>
          </cell>
          <cell r="K635" t="b">
            <v>1</v>
          </cell>
          <cell r="L635">
            <v>43738</v>
          </cell>
          <cell r="M635">
            <v>1</v>
          </cell>
          <cell r="N635">
            <v>7</v>
          </cell>
          <cell r="O635">
            <v>24</v>
          </cell>
          <cell r="Q635">
            <v>5343082</v>
          </cell>
          <cell r="R635">
            <v>4924046</v>
          </cell>
          <cell r="S635">
            <v>5343083</v>
          </cell>
          <cell r="T635">
            <v>0</v>
          </cell>
          <cell r="U635">
            <v>0</v>
          </cell>
          <cell r="V635">
            <v>0</v>
          </cell>
          <cell r="W635">
            <v>5343083</v>
          </cell>
          <cell r="X635">
            <v>5</v>
          </cell>
          <cell r="Z635">
            <v>16</v>
          </cell>
          <cell r="AB635">
            <v>21</v>
          </cell>
          <cell r="AC635">
            <v>1272162.6190476192</v>
          </cell>
          <cell r="AD635">
            <v>4070920.3809523811</v>
          </cell>
          <cell r="AE635">
            <v>5343083</v>
          </cell>
          <cell r="AF635">
            <v>0</v>
          </cell>
          <cell r="AG635">
            <v>5343083</v>
          </cell>
          <cell r="AH635" t="b">
            <v>1</v>
          </cell>
          <cell r="AK635">
            <v>5343083</v>
          </cell>
          <cell r="AL635" t="str">
            <v>K1</v>
          </cell>
          <cell r="AM635">
            <v>5343083</v>
          </cell>
          <cell r="AN635">
            <v>0</v>
          </cell>
          <cell r="AQ635">
            <v>0</v>
          </cell>
          <cell r="AR635">
            <v>38000</v>
          </cell>
          <cell r="AS635">
            <v>31700</v>
          </cell>
          <cell r="AV635">
            <v>53430.83</v>
          </cell>
          <cell r="AW635">
            <v>106861.66</v>
          </cell>
          <cell r="AX635">
            <v>53430.83</v>
          </cell>
          <cell r="AY635">
            <v>283423</v>
          </cell>
          <cell r="AZ635">
            <v>5059660</v>
          </cell>
          <cell r="BA635">
            <v>0</v>
          </cell>
          <cell r="BB635">
            <v>283423</v>
          </cell>
          <cell r="BC635">
            <v>5059660</v>
          </cell>
        </row>
        <row r="636">
          <cell r="F636" t="str">
            <v>200220-001</v>
          </cell>
          <cell r="G636" t="str">
            <v>Pembaharuan</v>
          </cell>
          <cell r="H636" t="str">
            <v>Pelaksana</v>
          </cell>
          <cell r="I636" t="str">
            <v>Tool Maintenance</v>
          </cell>
          <cell r="J636">
            <v>43881</v>
          </cell>
          <cell r="K636" t="b">
            <v>1</v>
          </cell>
          <cell r="L636">
            <v>43881</v>
          </cell>
          <cell r="M636">
            <v>1</v>
          </cell>
          <cell r="N636">
            <v>3</v>
          </cell>
          <cell r="O636">
            <v>4</v>
          </cell>
          <cell r="Q636">
            <v>5343082</v>
          </cell>
          <cell r="R636">
            <v>4924046</v>
          </cell>
          <cell r="S636">
            <v>5343083</v>
          </cell>
          <cell r="T636">
            <v>0</v>
          </cell>
          <cell r="U636">
            <v>0</v>
          </cell>
          <cell r="V636">
            <v>0</v>
          </cell>
          <cell r="W636">
            <v>5343083</v>
          </cell>
          <cell r="X636">
            <v>5</v>
          </cell>
          <cell r="Z636">
            <v>16</v>
          </cell>
          <cell r="AB636">
            <v>21</v>
          </cell>
          <cell r="AC636">
            <v>1272162.6190476192</v>
          </cell>
          <cell r="AD636">
            <v>4070920.3809523811</v>
          </cell>
          <cell r="AE636">
            <v>5343083</v>
          </cell>
          <cell r="AF636">
            <v>0</v>
          </cell>
          <cell r="AG636">
            <v>5343083</v>
          </cell>
          <cell r="AH636" t="b">
            <v>1</v>
          </cell>
          <cell r="AK636">
            <v>5343083</v>
          </cell>
          <cell r="AL636" t="str">
            <v>TK</v>
          </cell>
          <cell r="AM636">
            <v>5343083</v>
          </cell>
          <cell r="AN636">
            <v>34354.584590750004</v>
          </cell>
          <cell r="AQ636">
            <v>0</v>
          </cell>
          <cell r="AR636">
            <v>38000</v>
          </cell>
          <cell r="AS636">
            <v>31700</v>
          </cell>
          <cell r="AV636">
            <v>53430.83</v>
          </cell>
          <cell r="AW636">
            <v>106861.66</v>
          </cell>
          <cell r="AX636">
            <v>53430.83</v>
          </cell>
          <cell r="AY636">
            <v>317778</v>
          </cell>
          <cell r="AZ636">
            <v>5025305</v>
          </cell>
          <cell r="BA636">
            <v>34354.584590750004</v>
          </cell>
          <cell r="BB636">
            <v>283423</v>
          </cell>
          <cell r="BC636">
            <v>5059660</v>
          </cell>
        </row>
        <row r="637">
          <cell r="F637" t="str">
            <v>230221-002</v>
          </cell>
          <cell r="G637" t="str">
            <v>Pembaharuan</v>
          </cell>
          <cell r="H637" t="str">
            <v>Pelaksana</v>
          </cell>
          <cell r="I637" t="str">
            <v>Tool Maintenance</v>
          </cell>
          <cell r="J637">
            <v>44250</v>
          </cell>
          <cell r="K637" t="b">
            <v>1</v>
          </cell>
          <cell r="L637">
            <v>44250</v>
          </cell>
          <cell r="M637">
            <v>0</v>
          </cell>
          <cell r="N637">
            <v>3</v>
          </cell>
          <cell r="O637">
            <v>1</v>
          </cell>
          <cell r="Q637">
            <v>5343082</v>
          </cell>
          <cell r="R637">
            <v>4924046</v>
          </cell>
          <cell r="S637">
            <v>5343083</v>
          </cell>
          <cell r="T637">
            <v>0</v>
          </cell>
          <cell r="U637">
            <v>0</v>
          </cell>
          <cell r="V637">
            <v>0</v>
          </cell>
          <cell r="W637">
            <v>5343083</v>
          </cell>
          <cell r="X637">
            <v>5</v>
          </cell>
          <cell r="Z637">
            <v>16</v>
          </cell>
          <cell r="AB637">
            <v>21</v>
          </cell>
          <cell r="AC637">
            <v>1272162.6190476192</v>
          </cell>
          <cell r="AD637">
            <v>4070920.3809523811</v>
          </cell>
          <cell r="AE637">
            <v>5343083</v>
          </cell>
          <cell r="AF637">
            <v>0</v>
          </cell>
          <cell r="AG637">
            <v>5343083</v>
          </cell>
          <cell r="AH637" t="b">
            <v>1</v>
          </cell>
          <cell r="AK637">
            <v>5343083</v>
          </cell>
          <cell r="AL637" t="str">
            <v>TK</v>
          </cell>
          <cell r="AM637">
            <v>5343083</v>
          </cell>
          <cell r="AN637">
            <v>34354.584590750004</v>
          </cell>
          <cell r="AQ637">
            <v>0</v>
          </cell>
          <cell r="AV637">
            <v>53430.83</v>
          </cell>
          <cell r="AW637">
            <v>106861.66</v>
          </cell>
          <cell r="AX637">
            <v>53430.83</v>
          </cell>
          <cell r="AY637">
            <v>248078</v>
          </cell>
          <cell r="AZ637">
            <v>5095005</v>
          </cell>
          <cell r="BA637">
            <v>34354.584590750004</v>
          </cell>
          <cell r="BB637">
            <v>213723</v>
          </cell>
          <cell r="BC637">
            <v>5129360</v>
          </cell>
        </row>
        <row r="638">
          <cell r="F638" t="str">
            <v>180221-001</v>
          </cell>
          <cell r="G638" t="str">
            <v>Pembaharuan</v>
          </cell>
          <cell r="H638" t="str">
            <v>Pelaksana</v>
          </cell>
          <cell r="I638" t="str">
            <v>Tool Maintenance</v>
          </cell>
          <cell r="J638" t="str">
            <v>18 Februari 2021</v>
          </cell>
          <cell r="K638" t="b">
            <v>0</v>
          </cell>
          <cell r="L638">
            <v>44245</v>
          </cell>
          <cell r="M638">
            <v>0</v>
          </cell>
          <cell r="N638">
            <v>3</v>
          </cell>
          <cell r="O638">
            <v>6</v>
          </cell>
          <cell r="Q638">
            <v>5343082</v>
          </cell>
          <cell r="R638">
            <v>4924046</v>
          </cell>
          <cell r="S638">
            <v>5343083</v>
          </cell>
          <cell r="T638">
            <v>0</v>
          </cell>
          <cell r="U638">
            <v>0</v>
          </cell>
          <cell r="V638">
            <v>0</v>
          </cell>
          <cell r="W638">
            <v>5343083</v>
          </cell>
          <cell r="X638">
            <v>5</v>
          </cell>
          <cell r="Z638">
            <v>16</v>
          </cell>
          <cell r="AB638">
            <v>21</v>
          </cell>
          <cell r="AC638">
            <v>1272162.6190476192</v>
          </cell>
          <cell r="AD638">
            <v>4070920.3809523811</v>
          </cell>
          <cell r="AE638">
            <v>5343083</v>
          </cell>
          <cell r="AF638">
            <v>0</v>
          </cell>
          <cell r="AG638">
            <v>5343083</v>
          </cell>
          <cell r="AH638" t="b">
            <v>1</v>
          </cell>
          <cell r="AK638">
            <v>5343083</v>
          </cell>
          <cell r="AL638" t="str">
            <v>K2</v>
          </cell>
          <cell r="AM638">
            <v>5343083</v>
          </cell>
          <cell r="AN638">
            <v>0</v>
          </cell>
          <cell r="AQ638">
            <v>0</v>
          </cell>
          <cell r="AR638">
            <v>38000</v>
          </cell>
          <cell r="AS638">
            <v>31700</v>
          </cell>
          <cell r="AV638">
            <v>53430.83</v>
          </cell>
          <cell r="AW638">
            <v>106861.66</v>
          </cell>
          <cell r="AX638">
            <v>53430.83</v>
          </cell>
          <cell r="AY638">
            <v>283423</v>
          </cell>
          <cell r="AZ638">
            <v>5059660</v>
          </cell>
          <cell r="BA638">
            <v>0</v>
          </cell>
          <cell r="BB638">
            <v>283423</v>
          </cell>
          <cell r="BC638">
            <v>5059660</v>
          </cell>
        </row>
        <row r="639">
          <cell r="F639" t="str">
            <v>020718-032</v>
          </cell>
          <cell r="G639" t="str">
            <v>Kontrak 2</v>
          </cell>
          <cell r="H639" t="str">
            <v>Pelaksana</v>
          </cell>
          <cell r="I639" t="str">
            <v>Tool Maintenance</v>
          </cell>
          <cell r="J639">
            <v>43283</v>
          </cell>
          <cell r="K639" t="b">
            <v>1</v>
          </cell>
          <cell r="L639">
            <v>43283</v>
          </cell>
          <cell r="M639">
            <v>2</v>
          </cell>
          <cell r="N639">
            <v>10</v>
          </cell>
          <cell r="O639">
            <v>22</v>
          </cell>
          <cell r="Q639">
            <v>5343082</v>
          </cell>
          <cell r="R639">
            <v>4924046</v>
          </cell>
          <cell r="S639">
            <v>5343083</v>
          </cell>
          <cell r="T639">
            <v>0</v>
          </cell>
          <cell r="U639">
            <v>0</v>
          </cell>
          <cell r="V639">
            <v>0</v>
          </cell>
          <cell r="W639">
            <v>5343083</v>
          </cell>
          <cell r="X639">
            <v>5</v>
          </cell>
          <cell r="Z639">
            <v>16</v>
          </cell>
          <cell r="AB639">
            <v>21</v>
          </cell>
          <cell r="AC639">
            <v>1272162.6190476192</v>
          </cell>
          <cell r="AD639">
            <v>4070920.3809523811</v>
          </cell>
          <cell r="AE639">
            <v>5343083</v>
          </cell>
          <cell r="AF639">
            <v>0</v>
          </cell>
          <cell r="AG639">
            <v>5343083</v>
          </cell>
          <cell r="AH639" t="b">
            <v>1</v>
          </cell>
          <cell r="AK639">
            <v>5343083</v>
          </cell>
          <cell r="AL639" t="str">
            <v>K2</v>
          </cell>
          <cell r="AM639">
            <v>5343083</v>
          </cell>
          <cell r="AN639">
            <v>0</v>
          </cell>
          <cell r="AQ639">
            <v>0</v>
          </cell>
          <cell r="AS639">
            <v>31700</v>
          </cell>
          <cell r="AU639">
            <v>10000</v>
          </cell>
          <cell r="AV639">
            <v>53430.83</v>
          </cell>
          <cell r="AW639">
            <v>106861.66</v>
          </cell>
          <cell r="AX639">
            <v>53430.83</v>
          </cell>
          <cell r="AY639">
            <v>255423</v>
          </cell>
          <cell r="AZ639">
            <v>5087660</v>
          </cell>
          <cell r="BA639">
            <v>0</v>
          </cell>
          <cell r="BB639">
            <v>255423</v>
          </cell>
          <cell r="BC639">
            <v>5087660</v>
          </cell>
        </row>
        <row r="640">
          <cell r="F640" t="str">
            <v>300718-003</v>
          </cell>
          <cell r="G640" t="str">
            <v>Kontrak 2</v>
          </cell>
          <cell r="H640" t="str">
            <v>Pelaksana</v>
          </cell>
          <cell r="I640" t="str">
            <v>Tool Maintenance</v>
          </cell>
          <cell r="J640">
            <v>43311</v>
          </cell>
          <cell r="K640" t="b">
            <v>1</v>
          </cell>
          <cell r="L640">
            <v>43311</v>
          </cell>
          <cell r="M640">
            <v>2</v>
          </cell>
          <cell r="N640">
            <v>9</v>
          </cell>
          <cell r="O640">
            <v>24</v>
          </cell>
          <cell r="Q640">
            <v>5343082</v>
          </cell>
          <cell r="R640">
            <v>4924046</v>
          </cell>
          <cell r="S640">
            <v>5343083</v>
          </cell>
          <cell r="T640">
            <v>0</v>
          </cell>
          <cell r="U640">
            <v>0</v>
          </cell>
          <cell r="V640">
            <v>0</v>
          </cell>
          <cell r="W640">
            <v>5343083</v>
          </cell>
          <cell r="X640">
            <v>5</v>
          </cell>
          <cell r="Z640">
            <v>16</v>
          </cell>
          <cell r="AB640">
            <v>21</v>
          </cell>
          <cell r="AC640">
            <v>1272162.6190476192</v>
          </cell>
          <cell r="AD640">
            <v>4070920.3809523811</v>
          </cell>
          <cell r="AE640">
            <v>5343083</v>
          </cell>
          <cell r="AF640">
            <v>0</v>
          </cell>
          <cell r="AG640">
            <v>5343083</v>
          </cell>
          <cell r="AH640" t="b">
            <v>1</v>
          </cell>
          <cell r="AK640">
            <v>5343083</v>
          </cell>
          <cell r="AL640" t="str">
            <v>K2</v>
          </cell>
          <cell r="AM640">
            <v>5343083</v>
          </cell>
          <cell r="AN640">
            <v>0</v>
          </cell>
          <cell r="AQ640">
            <v>0</v>
          </cell>
          <cell r="AR640">
            <v>38000</v>
          </cell>
          <cell r="AS640">
            <v>31700</v>
          </cell>
          <cell r="AU640">
            <v>10000</v>
          </cell>
          <cell r="AV640">
            <v>53430.83</v>
          </cell>
          <cell r="AW640">
            <v>106861.66</v>
          </cell>
          <cell r="AX640">
            <v>53430.83</v>
          </cell>
          <cell r="AY640">
            <v>293423</v>
          </cell>
          <cell r="AZ640">
            <v>5049660</v>
          </cell>
          <cell r="BA640">
            <v>0</v>
          </cell>
          <cell r="BB640">
            <v>293423</v>
          </cell>
          <cell r="BC640">
            <v>5049660</v>
          </cell>
        </row>
        <row r="641">
          <cell r="F641" t="str">
            <v>110221-001</v>
          </cell>
          <cell r="G641" t="str">
            <v>Kontrak 1</v>
          </cell>
          <cell r="H641" t="str">
            <v>Pelaksana</v>
          </cell>
          <cell r="I641" t="str">
            <v>Tool Maintenance</v>
          </cell>
          <cell r="J641">
            <v>44266</v>
          </cell>
          <cell r="K641" t="b">
            <v>0</v>
          </cell>
          <cell r="L641">
            <v>44238</v>
          </cell>
          <cell r="M641">
            <v>0</v>
          </cell>
          <cell r="N641">
            <v>3</v>
          </cell>
          <cell r="O641">
            <v>13</v>
          </cell>
          <cell r="Q641">
            <v>5343082</v>
          </cell>
          <cell r="R641">
            <v>4924046</v>
          </cell>
          <cell r="S641">
            <v>5343083</v>
          </cell>
          <cell r="T641">
            <v>0</v>
          </cell>
          <cell r="U641">
            <v>0</v>
          </cell>
          <cell r="V641">
            <v>0</v>
          </cell>
          <cell r="W641">
            <v>5343083</v>
          </cell>
          <cell r="X641">
            <v>5</v>
          </cell>
          <cell r="Z641">
            <v>16</v>
          </cell>
          <cell r="AB641">
            <v>21</v>
          </cell>
          <cell r="AC641">
            <v>1272162.6190476192</v>
          </cell>
          <cell r="AD641">
            <v>4070920.3809523811</v>
          </cell>
          <cell r="AE641">
            <v>5343083</v>
          </cell>
          <cell r="AF641">
            <v>0</v>
          </cell>
          <cell r="AG641">
            <v>5343083</v>
          </cell>
          <cell r="AH641" t="b">
            <v>1</v>
          </cell>
          <cell r="AK641">
            <v>5343083</v>
          </cell>
          <cell r="AL641" t="str">
            <v>TK</v>
          </cell>
          <cell r="AM641">
            <v>5343083</v>
          </cell>
          <cell r="AN641">
            <v>34354.584590750004</v>
          </cell>
          <cell r="AQ641">
            <v>0</v>
          </cell>
          <cell r="AS641">
            <v>31700</v>
          </cell>
          <cell r="AV641">
            <v>53430.83</v>
          </cell>
          <cell r="AW641">
            <v>106861.66</v>
          </cell>
          <cell r="AX641">
            <v>53430.83</v>
          </cell>
          <cell r="AY641">
            <v>279778</v>
          </cell>
          <cell r="AZ641">
            <v>5063305</v>
          </cell>
          <cell r="BA641">
            <v>34354.584590750004</v>
          </cell>
          <cell r="BB641">
            <v>245423</v>
          </cell>
          <cell r="BC641">
            <v>5097660</v>
          </cell>
        </row>
        <row r="642">
          <cell r="F642" t="str">
            <v>120321-001</v>
          </cell>
          <cell r="G642" t="str">
            <v>Kontrak 1</v>
          </cell>
          <cell r="H642" t="str">
            <v>Pelaksana</v>
          </cell>
          <cell r="I642" t="str">
            <v>Tool Maintenance</v>
          </cell>
          <cell r="L642">
            <v>44267</v>
          </cell>
          <cell r="M642">
            <v>0</v>
          </cell>
          <cell r="N642">
            <v>2</v>
          </cell>
          <cell r="O642">
            <v>12</v>
          </cell>
          <cell r="S642">
            <v>5343083</v>
          </cell>
          <cell r="T642">
            <v>0</v>
          </cell>
          <cell r="U642">
            <v>0</v>
          </cell>
          <cell r="V642">
            <v>0</v>
          </cell>
          <cell r="W642">
            <v>5343083</v>
          </cell>
          <cell r="X642">
            <v>5</v>
          </cell>
          <cell r="Z642">
            <v>16</v>
          </cell>
          <cell r="AB642">
            <v>21</v>
          </cell>
          <cell r="AC642">
            <v>1272162.6190476192</v>
          </cell>
          <cell r="AD642">
            <v>4070920.3809523811</v>
          </cell>
          <cell r="AE642">
            <v>5343083</v>
          </cell>
          <cell r="AF642">
            <v>0</v>
          </cell>
          <cell r="AG642">
            <v>5343083</v>
          </cell>
          <cell r="AH642" t="b">
            <v>1</v>
          </cell>
          <cell r="AK642">
            <v>5343083</v>
          </cell>
          <cell r="AL642" t="str">
            <v>K2</v>
          </cell>
          <cell r="AM642">
            <v>5343083</v>
          </cell>
          <cell r="AN642">
            <v>0</v>
          </cell>
          <cell r="AQ642">
            <v>0</v>
          </cell>
          <cell r="AS642">
            <v>31700</v>
          </cell>
          <cell r="AV642">
            <v>53430.83</v>
          </cell>
          <cell r="AW642">
            <v>106861.66</v>
          </cell>
          <cell r="AX642">
            <v>53430.83</v>
          </cell>
          <cell r="AY642">
            <v>245423</v>
          </cell>
          <cell r="AZ642">
            <v>5097660</v>
          </cell>
          <cell r="BA642">
            <v>0</v>
          </cell>
          <cell r="BB642">
            <v>245423</v>
          </cell>
          <cell r="BC642">
            <v>5097660</v>
          </cell>
        </row>
        <row r="643">
          <cell r="F643" t="str">
            <v>120321-003</v>
          </cell>
          <cell r="G643" t="str">
            <v>Kontrak 1</v>
          </cell>
          <cell r="H643" t="str">
            <v>Pelaksana</v>
          </cell>
          <cell r="I643" t="str">
            <v>Tool Maintenance</v>
          </cell>
          <cell r="L643">
            <v>44267</v>
          </cell>
          <cell r="M643">
            <v>0</v>
          </cell>
          <cell r="N643">
            <v>2</v>
          </cell>
          <cell r="O643">
            <v>12</v>
          </cell>
          <cell r="S643">
            <v>5343083</v>
          </cell>
          <cell r="T643">
            <v>0</v>
          </cell>
          <cell r="U643">
            <v>0</v>
          </cell>
          <cell r="V643">
            <v>0</v>
          </cell>
          <cell r="W643">
            <v>5343083</v>
          </cell>
          <cell r="X643">
            <v>5</v>
          </cell>
          <cell r="Z643">
            <v>16</v>
          </cell>
          <cell r="AB643">
            <v>21</v>
          </cell>
          <cell r="AC643">
            <v>1272162.6190476192</v>
          </cell>
          <cell r="AD643">
            <v>4070920.3809523811</v>
          </cell>
          <cell r="AE643">
            <v>5343083</v>
          </cell>
          <cell r="AF643">
            <v>0</v>
          </cell>
          <cell r="AG643">
            <v>5343083</v>
          </cell>
          <cell r="AH643" t="b">
            <v>1</v>
          </cell>
          <cell r="AK643">
            <v>5343083</v>
          </cell>
          <cell r="AL643" t="str">
            <v>TK</v>
          </cell>
          <cell r="AM643">
            <v>5343083</v>
          </cell>
          <cell r="AN643">
            <v>34354.584590750004</v>
          </cell>
          <cell r="AQ643">
            <v>0</v>
          </cell>
          <cell r="AS643">
            <v>31700</v>
          </cell>
          <cell r="AV643">
            <v>53430.83</v>
          </cell>
          <cell r="AW643">
            <v>106861.66</v>
          </cell>
          <cell r="AX643">
            <v>53430.83</v>
          </cell>
          <cell r="AY643">
            <v>279778</v>
          </cell>
          <cell r="AZ643">
            <v>5063305</v>
          </cell>
          <cell r="BA643">
            <v>34354.584590750004</v>
          </cell>
          <cell r="BB643">
            <v>245423</v>
          </cell>
          <cell r="BC643">
            <v>5097660</v>
          </cell>
        </row>
        <row r="644">
          <cell r="F644" t="str">
            <v>120321-004</v>
          </cell>
          <cell r="G644" t="str">
            <v>Kontrak 1</v>
          </cell>
          <cell r="H644" t="str">
            <v>Sect Head</v>
          </cell>
          <cell r="I644" t="str">
            <v>Tool Maintenance</v>
          </cell>
          <cell r="L644">
            <v>44267</v>
          </cell>
          <cell r="M644">
            <v>0</v>
          </cell>
          <cell r="N644">
            <v>2</v>
          </cell>
          <cell r="O644">
            <v>12</v>
          </cell>
          <cell r="S644">
            <v>7500000</v>
          </cell>
          <cell r="T644">
            <v>1500000</v>
          </cell>
          <cell r="U644">
            <v>0</v>
          </cell>
          <cell r="V644">
            <v>0</v>
          </cell>
          <cell r="W644">
            <v>9000000</v>
          </cell>
          <cell r="X644">
            <v>5</v>
          </cell>
          <cell r="Z644">
            <v>16</v>
          </cell>
          <cell r="AB644">
            <v>21</v>
          </cell>
          <cell r="AC644">
            <v>2142857.1428571427</v>
          </cell>
          <cell r="AD644">
            <v>6857142.8571428573</v>
          </cell>
          <cell r="AE644">
            <v>9000000</v>
          </cell>
          <cell r="AF644">
            <v>0</v>
          </cell>
          <cell r="AG644">
            <v>9000000</v>
          </cell>
          <cell r="AH644" t="b">
            <v>1</v>
          </cell>
          <cell r="AK644">
            <v>9000000</v>
          </cell>
          <cell r="AL644" t="str">
            <v>K1</v>
          </cell>
          <cell r="AM644">
            <v>9000000</v>
          </cell>
          <cell r="AN644">
            <v>174478.81499999997</v>
          </cell>
          <cell r="AQ644">
            <v>0</v>
          </cell>
          <cell r="AV644">
            <v>90000</v>
          </cell>
          <cell r="AW644">
            <v>180000</v>
          </cell>
          <cell r="AX644">
            <v>87546</v>
          </cell>
          <cell r="AY644">
            <v>532025</v>
          </cell>
          <cell r="AZ644">
            <v>8467975</v>
          </cell>
          <cell r="BA644">
            <v>174478.81499999997</v>
          </cell>
          <cell r="BB644">
            <v>357546</v>
          </cell>
          <cell r="BC644">
            <v>8642454</v>
          </cell>
        </row>
        <row r="645">
          <cell r="F645" t="str">
            <v>150421-001</v>
          </cell>
          <cell r="G645" t="str">
            <v>Kontrak 1</v>
          </cell>
          <cell r="H645" t="str">
            <v>Pelaksana</v>
          </cell>
          <cell r="I645" t="str">
            <v>Tool Maintenance</v>
          </cell>
          <cell r="L645">
            <v>44301</v>
          </cell>
          <cell r="M645">
            <v>0</v>
          </cell>
          <cell r="N645">
            <v>1</v>
          </cell>
          <cell r="O645">
            <v>9</v>
          </cell>
          <cell r="S645">
            <v>4924046</v>
          </cell>
          <cell r="T645">
            <v>0</v>
          </cell>
          <cell r="U645">
            <v>0</v>
          </cell>
          <cell r="V645">
            <v>0</v>
          </cell>
          <cell r="W645">
            <v>4924046</v>
          </cell>
          <cell r="X645">
            <v>5</v>
          </cell>
          <cell r="Z645">
            <v>16</v>
          </cell>
          <cell r="AB645">
            <v>21</v>
          </cell>
          <cell r="AC645">
            <v>1172391.9047619049</v>
          </cell>
          <cell r="AD645">
            <v>3751654.0952380951</v>
          </cell>
          <cell r="AE645">
            <v>4924046</v>
          </cell>
          <cell r="AF645">
            <v>0</v>
          </cell>
          <cell r="AG645">
            <v>4924046</v>
          </cell>
          <cell r="AH645" t="b">
            <v>1</v>
          </cell>
          <cell r="AK645">
            <v>4924046</v>
          </cell>
          <cell r="AL645" t="str">
            <v>K3</v>
          </cell>
          <cell r="AM645">
            <v>2344784</v>
          </cell>
          <cell r="AN645">
            <v>0</v>
          </cell>
          <cell r="AP645">
            <v>11</v>
          </cell>
          <cell r="AQ645">
            <v>2579262</v>
          </cell>
          <cell r="AR645">
            <v>38000</v>
          </cell>
          <cell r="AV645">
            <v>49240.49</v>
          </cell>
          <cell r="AW645">
            <v>98480.92</v>
          </cell>
          <cell r="AX645">
            <v>49240.46</v>
          </cell>
          <cell r="AY645">
            <v>2814224</v>
          </cell>
          <cell r="AZ645">
            <v>2109822</v>
          </cell>
          <cell r="BA645">
            <v>0</v>
          </cell>
          <cell r="BB645">
            <v>2814224</v>
          </cell>
          <cell r="BC645">
            <v>2109822</v>
          </cell>
        </row>
        <row r="646">
          <cell r="Q646">
            <v>103730613</v>
          </cell>
          <cell r="R646">
            <v>96607001</v>
          </cell>
          <cell r="S646">
            <v>126840842</v>
          </cell>
          <cell r="T646">
            <v>6400000</v>
          </cell>
          <cell r="U646">
            <v>550000</v>
          </cell>
          <cell r="V646">
            <v>432665</v>
          </cell>
          <cell r="W646">
            <v>134223507</v>
          </cell>
          <cell r="X646">
            <v>115</v>
          </cell>
          <cell r="Y646">
            <v>0</v>
          </cell>
          <cell r="Z646">
            <v>368</v>
          </cell>
          <cell r="AA646">
            <v>0</v>
          </cell>
          <cell r="AB646">
            <v>483</v>
          </cell>
          <cell r="AC646">
            <v>31957977.857142858</v>
          </cell>
          <cell r="AD646">
            <v>102265529.14285718</v>
          </cell>
          <cell r="AE646">
            <v>134223507</v>
          </cell>
          <cell r="AF646">
            <v>0</v>
          </cell>
          <cell r="AG646">
            <v>134223507</v>
          </cell>
          <cell r="AH646">
            <v>0</v>
          </cell>
          <cell r="AJ646">
            <v>0</v>
          </cell>
          <cell r="AK646">
            <v>134223507</v>
          </cell>
          <cell r="AL646">
            <v>0</v>
          </cell>
          <cell r="AM646">
            <v>131644245</v>
          </cell>
          <cell r="AN646">
            <v>674584.18926853547</v>
          </cell>
          <cell r="AO646">
            <v>0</v>
          </cell>
          <cell r="AP646">
            <v>11</v>
          </cell>
          <cell r="AQ646">
            <v>2579262</v>
          </cell>
          <cell r="AR646">
            <v>646000</v>
          </cell>
          <cell r="AS646">
            <v>634000</v>
          </cell>
          <cell r="AT646">
            <v>0</v>
          </cell>
          <cell r="AU646">
            <v>50000</v>
          </cell>
          <cell r="AV646">
            <v>1331020.8142857142</v>
          </cell>
          <cell r="AW646">
            <v>2684470.1399999997</v>
          </cell>
          <cell r="AX646">
            <v>1335426.2599999998</v>
          </cell>
          <cell r="AY646">
            <v>9934761</v>
          </cell>
          <cell r="AZ646">
            <v>124288746</v>
          </cell>
          <cell r="BA646">
            <v>674584.18926853547</v>
          </cell>
          <cell r="BB646">
            <v>9260173</v>
          </cell>
          <cell r="BC646">
            <v>124963334</v>
          </cell>
        </row>
        <row r="649">
          <cell r="F649" t="str">
            <v>NIK</v>
          </cell>
          <cell r="G649" t="str">
            <v>STATUS</v>
          </cell>
          <cell r="H649" t="str">
            <v>LEVEL</v>
          </cell>
          <cell r="I649" t="str">
            <v>BAGIAN</v>
          </cell>
          <cell r="J649" t="str">
            <v>DB</v>
          </cell>
          <cell r="L649" t="str">
            <v>JOIN</v>
          </cell>
          <cell r="M649" t="str">
            <v>MK</v>
          </cell>
          <cell r="Q649" t="str">
            <v>FIXED SALARY (KESEPAKATAN 2020)</v>
          </cell>
          <cell r="R649" t="str">
            <v>FIXED SALARY (NOVEMBER 2020)</v>
          </cell>
          <cell r="S649" t="str">
            <v>FIXED SALARY (UMSK 2020)</v>
          </cell>
          <cell r="T649" t="str">
            <v>JOB STRUCTURE ALLOWANCE</v>
          </cell>
          <cell r="U649" t="str">
            <v>SKILL ALLOWANCE</v>
          </cell>
          <cell r="V649" t="str">
            <v>PERFORMANCE ALLOWANCE 2020</v>
          </cell>
          <cell r="W649" t="str">
            <v>TOTAL</v>
          </cell>
          <cell r="X649" t="str">
            <v>WORKDAYS</v>
          </cell>
          <cell r="AB649" t="str">
            <v>CEK</v>
          </cell>
          <cell r="AC649" t="str">
            <v xml:space="preserve">SALARY </v>
          </cell>
          <cell r="AD649" t="str">
            <v>SALARY</v>
          </cell>
          <cell r="AE649" t="str">
            <v>TOTAL SALARY (COVID-19)</v>
          </cell>
          <cell r="AF649" t="str">
            <v>POT OFF</v>
          </cell>
          <cell r="AG649" t="str">
            <v>CEK</v>
          </cell>
          <cell r="AH649" t="str">
            <v>CEK</v>
          </cell>
          <cell r="AJ649" t="str">
            <v>BACK PAY ( RAPEL) / INCENTIVE</v>
          </cell>
          <cell r="AK649" t="str">
            <v>TOTAL</v>
          </cell>
          <cell r="AL649" t="str">
            <v>PERHITUNGAN PPh</v>
          </cell>
          <cell r="AN649" t="str">
            <v>TAX</v>
          </cell>
          <cell r="AO649" t="str">
            <v>RETURND</v>
          </cell>
          <cell r="AP649" t="str">
            <v>ABSEN</v>
          </cell>
          <cell r="AR649" t="str">
            <v>DEDUCTION</v>
          </cell>
          <cell r="AV649" t="str">
            <v>BPJS</v>
          </cell>
          <cell r="AW649" t="str">
            <v>BPJS KETENAGAKERJAAN</v>
          </cell>
          <cell r="AY649" t="str">
            <v>TOTAL</v>
          </cell>
          <cell r="AZ649" t="str">
            <v>TOTAL</v>
          </cell>
          <cell r="BA649" t="str">
            <v>INSENTIF</v>
          </cell>
          <cell r="BB649" t="str">
            <v>WITH INSENTIF PPh21</v>
          </cell>
        </row>
        <row r="650">
          <cell r="F650" t="str">
            <v>SAI</v>
          </cell>
          <cell r="G650" t="str">
            <v>KONTRAK</v>
          </cell>
          <cell r="J650" t="str">
            <v>DATEJOIN</v>
          </cell>
          <cell r="K650" t="str">
            <v>CHECK</v>
          </cell>
          <cell r="L650" t="str">
            <v>DATE</v>
          </cell>
          <cell r="M650" t="str">
            <v>YEAR</v>
          </cell>
          <cell r="N650" t="str">
            <v>MONTH</v>
          </cell>
          <cell r="O650" t="str">
            <v>DAY</v>
          </cell>
          <cell r="W650" t="str">
            <v>SALARY</v>
          </cell>
          <cell r="X650" t="str">
            <v>ON</v>
          </cell>
          <cell r="Y650" t="str">
            <v>OFF</v>
          </cell>
          <cell r="Z650" t="str">
            <v>ON</v>
          </cell>
          <cell r="AA650" t="str">
            <v>OFF</v>
          </cell>
          <cell r="AB650" t="str">
            <v>WORKINGDAYS</v>
          </cell>
          <cell r="AC650" t="str">
            <v>PERIODE 25-31 FEB</v>
          </cell>
          <cell r="AD650" t="str">
            <v xml:space="preserve"> PERIODE 1-24 MAR</v>
          </cell>
          <cell r="AK650" t="str">
            <v xml:space="preserve">RECIEVED       </v>
          </cell>
          <cell r="AL650" t="str">
            <v>STATUS</v>
          </cell>
          <cell r="AM650" t="str">
            <v xml:space="preserve">TOTAL    GROSS </v>
          </cell>
          <cell r="AN650">
            <v>21</v>
          </cell>
          <cell r="AO650" t="str">
            <v>TAX JAN 2021</v>
          </cell>
          <cell r="AP650" t="str">
            <v>DAY</v>
          </cell>
          <cell r="AQ650" t="str">
            <v>( Rp )</v>
          </cell>
          <cell r="AR650" t="str">
            <v>UNION</v>
          </cell>
          <cell r="AS650" t="str">
            <v>RAPID TEST</v>
          </cell>
          <cell r="AT650" t="str">
            <v>OTHERS</v>
          </cell>
          <cell r="AU650" t="str">
            <v>KOPERASI</v>
          </cell>
          <cell r="AV650" t="str">
            <v>KESEHATAN</v>
          </cell>
          <cell r="AW650" t="str">
            <v>JHT</v>
          </cell>
          <cell r="AX650" t="str">
            <v>PENSIUN</v>
          </cell>
          <cell r="AY650" t="str">
            <v>DEDUCTION</v>
          </cell>
          <cell r="AZ650" t="str">
            <v>PAID</v>
          </cell>
          <cell r="BA650" t="str">
            <v>PPh21</v>
          </cell>
          <cell r="BB650" t="str">
            <v>TOTAL DEDUCTION</v>
          </cell>
          <cell r="BC650" t="str">
            <v>TOTAL PAID</v>
          </cell>
        </row>
        <row r="651">
          <cell r="F651" t="str">
            <v>060814-002</v>
          </cell>
          <cell r="G651" t="str">
            <v>Tetap</v>
          </cell>
          <cell r="H651" t="str">
            <v>Specialist</v>
          </cell>
          <cell r="I651" t="str">
            <v>Sales</v>
          </cell>
          <cell r="J651">
            <v>41855</v>
          </cell>
          <cell r="K651" t="b">
            <v>1</v>
          </cell>
          <cell r="L651">
            <v>41855</v>
          </cell>
          <cell r="M651">
            <v>6</v>
          </cell>
          <cell r="N651">
            <v>9</v>
          </cell>
          <cell r="O651">
            <v>20</v>
          </cell>
          <cell r="Q651">
            <v>7991832</v>
          </cell>
          <cell r="R651">
            <v>7991832</v>
          </cell>
          <cell r="S651">
            <v>11110323</v>
          </cell>
          <cell r="T651">
            <v>0</v>
          </cell>
          <cell r="U651">
            <v>0</v>
          </cell>
          <cell r="V651">
            <v>213723</v>
          </cell>
          <cell r="W651">
            <v>11324046</v>
          </cell>
          <cell r="X651">
            <v>5</v>
          </cell>
          <cell r="Z651">
            <v>16</v>
          </cell>
          <cell r="AB651">
            <v>21</v>
          </cell>
          <cell r="AC651">
            <v>2696201.4285714282</v>
          </cell>
          <cell r="AD651">
            <v>8627844.5714285709</v>
          </cell>
          <cell r="AE651">
            <v>11324046</v>
          </cell>
          <cell r="AF651">
            <v>0</v>
          </cell>
          <cell r="AG651">
            <v>11324046</v>
          </cell>
          <cell r="AH651" t="b">
            <v>1</v>
          </cell>
          <cell r="AJ651">
            <v>539240</v>
          </cell>
          <cell r="AK651">
            <v>11863286</v>
          </cell>
          <cell r="AL651" t="str">
            <v>TK</v>
          </cell>
          <cell r="AM651">
            <v>11863286</v>
          </cell>
          <cell r="AN651">
            <v>641168.94744333334</v>
          </cell>
          <cell r="AQ651">
            <v>0</v>
          </cell>
          <cell r="AR651">
            <v>38000</v>
          </cell>
          <cell r="AS651">
            <v>31700</v>
          </cell>
          <cell r="AV651">
            <v>92055.55</v>
          </cell>
          <cell r="AW651">
            <v>226480.92</v>
          </cell>
          <cell r="AX651">
            <v>87546</v>
          </cell>
          <cell r="AY651">
            <v>1116951</v>
          </cell>
          <cell r="AZ651">
            <v>10746335</v>
          </cell>
          <cell r="BA651">
            <v>641168.94744333334</v>
          </cell>
          <cell r="BB651">
            <v>475782</v>
          </cell>
          <cell r="BC651">
            <v>11387504</v>
          </cell>
        </row>
        <row r="652">
          <cell r="F652" t="str">
            <v>040814-501</v>
          </cell>
          <cell r="G652" t="str">
            <v>Tetap</v>
          </cell>
          <cell r="H652" t="str">
            <v>Staff</v>
          </cell>
          <cell r="I652" t="str">
            <v>Sales</v>
          </cell>
          <cell r="J652">
            <v>41855</v>
          </cell>
          <cell r="K652" t="b">
            <v>1</v>
          </cell>
          <cell r="L652">
            <v>41855</v>
          </cell>
          <cell r="M652">
            <v>6</v>
          </cell>
          <cell r="N652">
            <v>9</v>
          </cell>
          <cell r="O652">
            <v>20</v>
          </cell>
          <cell r="Q652">
            <v>5000000</v>
          </cell>
          <cell r="R652">
            <v>5000000</v>
          </cell>
          <cell r="S652">
            <v>5000000</v>
          </cell>
          <cell r="T652">
            <v>0</v>
          </cell>
          <cell r="U652">
            <v>1088300</v>
          </cell>
          <cell r="V652">
            <v>181581</v>
          </cell>
          <cell r="W652">
            <v>6269881</v>
          </cell>
          <cell r="X652">
            <v>5</v>
          </cell>
          <cell r="Z652">
            <v>16</v>
          </cell>
          <cell r="AB652">
            <v>21</v>
          </cell>
          <cell r="AC652">
            <v>1492828.8095238095</v>
          </cell>
          <cell r="AD652">
            <v>4777052.1904761903</v>
          </cell>
          <cell r="AE652">
            <v>6269881</v>
          </cell>
          <cell r="AF652">
            <v>0</v>
          </cell>
          <cell r="AG652">
            <v>6269881</v>
          </cell>
          <cell r="AH652" t="b">
            <v>1</v>
          </cell>
          <cell r="AK652">
            <v>6269881</v>
          </cell>
          <cell r="AL652" t="str">
            <v>K2</v>
          </cell>
          <cell r="AM652">
            <v>6269881</v>
          </cell>
          <cell r="AN652">
            <v>23091.591210250059</v>
          </cell>
          <cell r="AQ652">
            <v>0</v>
          </cell>
          <cell r="AS652">
            <v>31700</v>
          </cell>
          <cell r="AU652">
            <v>10000</v>
          </cell>
          <cell r="AV652">
            <v>62698.81</v>
          </cell>
          <cell r="AW652">
            <v>125397.62</v>
          </cell>
          <cell r="AX652">
            <v>62698.81</v>
          </cell>
          <cell r="AY652">
            <v>315587</v>
          </cell>
          <cell r="AZ652">
            <v>5954294</v>
          </cell>
          <cell r="BA652">
            <v>23091.591210250059</v>
          </cell>
          <cell r="BB652">
            <v>292495</v>
          </cell>
          <cell r="BC652">
            <v>5977386</v>
          </cell>
        </row>
        <row r="653">
          <cell r="F653" t="str">
            <v>201014-001</v>
          </cell>
          <cell r="G653" t="str">
            <v>Tetap</v>
          </cell>
          <cell r="H653" t="str">
            <v>Staff</v>
          </cell>
          <cell r="I653" t="str">
            <v>Sales</v>
          </cell>
          <cell r="J653">
            <v>41932</v>
          </cell>
          <cell r="K653" t="b">
            <v>1</v>
          </cell>
          <cell r="L653">
            <v>41932</v>
          </cell>
          <cell r="M653">
            <v>6</v>
          </cell>
          <cell r="N653">
            <v>7</v>
          </cell>
          <cell r="O653">
            <v>4</v>
          </cell>
          <cell r="Q653">
            <v>5343082</v>
          </cell>
          <cell r="R653">
            <v>4924046</v>
          </cell>
          <cell r="S653">
            <v>5343083</v>
          </cell>
          <cell r="T653">
            <v>0</v>
          </cell>
          <cell r="U653">
            <v>0</v>
          </cell>
          <cell r="V653">
            <v>0</v>
          </cell>
          <cell r="W653">
            <v>5343083</v>
          </cell>
          <cell r="X653">
            <v>5</v>
          </cell>
          <cell r="Z653">
            <v>16</v>
          </cell>
          <cell r="AB653">
            <v>21</v>
          </cell>
          <cell r="AC653">
            <v>1272162.6190476192</v>
          </cell>
          <cell r="AD653">
            <v>4070920.3809523811</v>
          </cell>
          <cell r="AE653">
            <v>5343083</v>
          </cell>
          <cell r="AF653">
            <v>0</v>
          </cell>
          <cell r="AG653">
            <v>5343083</v>
          </cell>
          <cell r="AH653" t="b">
            <v>1</v>
          </cell>
          <cell r="AK653">
            <v>5343083</v>
          </cell>
          <cell r="AL653" t="str">
            <v>TK</v>
          </cell>
          <cell r="AM653">
            <v>5343083</v>
          </cell>
          <cell r="AN653">
            <v>34829.584590750004</v>
          </cell>
          <cell r="AQ653">
            <v>0</v>
          </cell>
          <cell r="AR653">
            <v>38000</v>
          </cell>
          <cell r="AV653">
            <v>55930.83</v>
          </cell>
          <cell r="AW653">
            <v>106861.66</v>
          </cell>
          <cell r="AX653">
            <v>53430.83</v>
          </cell>
          <cell r="AY653">
            <v>289053</v>
          </cell>
          <cell r="AZ653">
            <v>5054030</v>
          </cell>
          <cell r="BA653">
            <v>34829.584590750004</v>
          </cell>
          <cell r="BB653">
            <v>254223</v>
          </cell>
          <cell r="BC653">
            <v>5088860</v>
          </cell>
        </row>
        <row r="654">
          <cell r="F654" t="str">
            <v>230320-001</v>
          </cell>
          <cell r="G654" t="str">
            <v>Pembaharuan</v>
          </cell>
          <cell r="H654" t="str">
            <v>Staff</v>
          </cell>
          <cell r="I654" t="str">
            <v>Sales</v>
          </cell>
          <cell r="J654">
            <v>43913</v>
          </cell>
          <cell r="K654" t="b">
            <v>1</v>
          </cell>
          <cell r="L654">
            <v>43913</v>
          </cell>
          <cell r="M654">
            <v>1</v>
          </cell>
          <cell r="N654">
            <v>2</v>
          </cell>
          <cell r="O654">
            <v>1</v>
          </cell>
          <cell r="Q654">
            <v>5343082</v>
          </cell>
          <cell r="R654">
            <v>4924046</v>
          </cell>
          <cell r="S654">
            <v>5343083</v>
          </cell>
          <cell r="T654">
            <v>0</v>
          </cell>
          <cell r="U654">
            <v>0</v>
          </cell>
          <cell r="V654">
            <v>0</v>
          </cell>
          <cell r="W654">
            <v>5343083</v>
          </cell>
          <cell r="X654">
            <v>5</v>
          </cell>
          <cell r="Z654">
            <v>16</v>
          </cell>
          <cell r="AB654">
            <v>21</v>
          </cell>
          <cell r="AC654">
            <v>1272162.6190476192</v>
          </cell>
          <cell r="AD654">
            <v>4070920.3809523811</v>
          </cell>
          <cell r="AE654">
            <v>5343083</v>
          </cell>
          <cell r="AF654">
            <v>0</v>
          </cell>
          <cell r="AG654">
            <v>5343083</v>
          </cell>
          <cell r="AH654" t="b">
            <v>1</v>
          </cell>
          <cell r="AK654">
            <v>5343083</v>
          </cell>
          <cell r="AL654" t="str">
            <v>TK</v>
          </cell>
          <cell r="AM654">
            <v>5343083</v>
          </cell>
          <cell r="AN654">
            <v>34354.584590750004</v>
          </cell>
          <cell r="AQ654">
            <v>0</v>
          </cell>
          <cell r="AS654">
            <v>31700</v>
          </cell>
          <cell r="AV654">
            <v>53430.83</v>
          </cell>
          <cell r="AW654">
            <v>106861.66</v>
          </cell>
          <cell r="AX654">
            <v>53430.83</v>
          </cell>
          <cell r="AY654">
            <v>279778</v>
          </cell>
          <cell r="AZ654">
            <v>5063305</v>
          </cell>
          <cell r="BA654">
            <v>34354.584590750004</v>
          </cell>
          <cell r="BB654">
            <v>245423</v>
          </cell>
          <cell r="BC654">
            <v>5097660</v>
          </cell>
        </row>
        <row r="655">
          <cell r="F655" t="str">
            <v>070220-002</v>
          </cell>
          <cell r="G655" t="str">
            <v>Kontrak 2</v>
          </cell>
          <cell r="H655" t="str">
            <v>Staff</v>
          </cell>
          <cell r="I655" t="str">
            <v>Sales</v>
          </cell>
          <cell r="J655">
            <v>43868</v>
          </cell>
          <cell r="K655" t="b">
            <v>1</v>
          </cell>
          <cell r="L655">
            <v>43868</v>
          </cell>
          <cell r="M655">
            <v>1</v>
          </cell>
          <cell r="N655">
            <v>3</v>
          </cell>
          <cell r="O655">
            <v>17</v>
          </cell>
          <cell r="Q655">
            <v>5343082</v>
          </cell>
          <cell r="R655">
            <v>4924046</v>
          </cell>
          <cell r="S655">
            <v>5343083</v>
          </cell>
          <cell r="T655">
            <v>0</v>
          </cell>
          <cell r="U655">
            <v>475954</v>
          </cell>
          <cell r="V655">
            <v>0</v>
          </cell>
          <cell r="W655">
            <v>5819037</v>
          </cell>
          <cell r="X655">
            <v>5</v>
          </cell>
          <cell r="Z655">
            <v>16</v>
          </cell>
          <cell r="AB655">
            <v>21</v>
          </cell>
          <cell r="AC655">
            <v>1385485</v>
          </cell>
          <cell r="AD655">
            <v>4433552</v>
          </cell>
          <cell r="AE655">
            <v>5819037</v>
          </cell>
          <cell r="AF655">
            <v>0</v>
          </cell>
          <cell r="AG655">
            <v>5819037</v>
          </cell>
          <cell r="AH655" t="b">
            <v>1</v>
          </cell>
          <cell r="AK655">
            <v>5819037</v>
          </cell>
          <cell r="AL655" t="str">
            <v>TK</v>
          </cell>
          <cell r="AM655">
            <v>5819037</v>
          </cell>
          <cell r="AN655">
            <v>57457.510739249992</v>
          </cell>
          <cell r="AQ655">
            <v>0</v>
          </cell>
          <cell r="AR655">
            <v>38000</v>
          </cell>
          <cell r="AS655">
            <v>31700</v>
          </cell>
          <cell r="AV655">
            <v>58190.37</v>
          </cell>
          <cell r="AW655">
            <v>116380.74</v>
          </cell>
          <cell r="AX655">
            <v>58190.37</v>
          </cell>
          <cell r="AY655">
            <v>359919</v>
          </cell>
          <cell r="AZ655">
            <v>5459118</v>
          </cell>
          <cell r="BA655">
            <v>57457.510739249992</v>
          </cell>
          <cell r="BB655">
            <v>302461</v>
          </cell>
          <cell r="BC655">
            <v>5516576</v>
          </cell>
        </row>
        <row r="656">
          <cell r="F656" t="str">
            <v>060121-001</v>
          </cell>
          <cell r="G656" t="str">
            <v>Kontrak 1</v>
          </cell>
          <cell r="H656" t="str">
            <v>Staff</v>
          </cell>
          <cell r="I656" t="str">
            <v>Sales</v>
          </cell>
          <cell r="J656" t="str">
            <v>06 Januari 2021</v>
          </cell>
          <cell r="K656" t="b">
            <v>0</v>
          </cell>
          <cell r="L656">
            <v>44202</v>
          </cell>
          <cell r="M656">
            <v>0</v>
          </cell>
          <cell r="N656">
            <v>4</v>
          </cell>
          <cell r="O656">
            <v>18</v>
          </cell>
          <cell r="Q656">
            <v>5343082</v>
          </cell>
          <cell r="R656">
            <v>4924046</v>
          </cell>
          <cell r="S656">
            <v>5343083</v>
          </cell>
          <cell r="T656">
            <v>0</v>
          </cell>
          <cell r="U656">
            <v>0</v>
          </cell>
          <cell r="V656">
            <v>0</v>
          </cell>
          <cell r="W656">
            <v>5343083</v>
          </cell>
          <cell r="X656">
            <v>5</v>
          </cell>
          <cell r="Z656">
            <v>16</v>
          </cell>
          <cell r="AB656">
            <v>21</v>
          </cell>
          <cell r="AC656">
            <v>1272162.6190476192</v>
          </cell>
          <cell r="AD656">
            <v>4070920.3809523811</v>
          </cell>
          <cell r="AE656">
            <v>5343083</v>
          </cell>
          <cell r="AF656">
            <v>0</v>
          </cell>
          <cell r="AG656">
            <v>5343083</v>
          </cell>
          <cell r="AH656" t="b">
            <v>1</v>
          </cell>
          <cell r="AK656">
            <v>5343083</v>
          </cell>
          <cell r="AL656" t="str">
            <v>TK</v>
          </cell>
          <cell r="AM656">
            <v>5343083</v>
          </cell>
          <cell r="AN656">
            <v>34354.584590750004</v>
          </cell>
          <cell r="AQ656">
            <v>0</v>
          </cell>
          <cell r="AR656">
            <v>0</v>
          </cell>
          <cell r="AS656">
            <v>31700</v>
          </cell>
          <cell r="AV656">
            <v>53430.83</v>
          </cell>
          <cell r="AW656">
            <v>106861.66</v>
          </cell>
          <cell r="AX656">
            <v>53430.83</v>
          </cell>
          <cell r="AY656">
            <v>279778</v>
          </cell>
          <cell r="AZ656">
            <v>5063305</v>
          </cell>
          <cell r="BA656">
            <v>34354.584590750004</v>
          </cell>
          <cell r="BB656">
            <v>245423</v>
          </cell>
          <cell r="BC656">
            <v>5097660</v>
          </cell>
        </row>
        <row r="657">
          <cell r="F657" t="str">
            <v>280121-001</v>
          </cell>
          <cell r="G657" t="str">
            <v>Kontrak 1</v>
          </cell>
          <cell r="H657" t="str">
            <v>Leader</v>
          </cell>
          <cell r="I657" t="str">
            <v>Sales</v>
          </cell>
          <cell r="J657" t="e">
            <v>#N/A</v>
          </cell>
          <cell r="K657" t="e">
            <v>#N/A</v>
          </cell>
          <cell r="L657">
            <v>44224</v>
          </cell>
          <cell r="M657">
            <v>0</v>
          </cell>
          <cell r="N657">
            <v>3</v>
          </cell>
          <cell r="O657">
            <v>26</v>
          </cell>
          <cell r="Q657">
            <v>5343082</v>
          </cell>
          <cell r="R657">
            <v>5343082</v>
          </cell>
          <cell r="S657">
            <v>5343083</v>
          </cell>
          <cell r="T657">
            <v>500000</v>
          </cell>
          <cell r="U657">
            <v>0</v>
          </cell>
          <cell r="V657">
            <v>0</v>
          </cell>
          <cell r="W657">
            <v>5843083</v>
          </cell>
          <cell r="X657">
            <v>5</v>
          </cell>
          <cell r="Z657">
            <v>16</v>
          </cell>
          <cell r="AB657">
            <v>21</v>
          </cell>
          <cell r="AC657">
            <v>1391210.2380952381</v>
          </cell>
          <cell r="AD657">
            <v>4451872.7619047621</v>
          </cell>
          <cell r="AE657">
            <v>5843083</v>
          </cell>
          <cell r="AF657">
            <v>0</v>
          </cell>
          <cell r="AG657">
            <v>5843083</v>
          </cell>
          <cell r="AH657" t="b">
            <v>1</v>
          </cell>
          <cell r="AK657">
            <v>5843083</v>
          </cell>
          <cell r="AL657" t="str">
            <v>K0</v>
          </cell>
          <cell r="AM657">
            <v>5843083</v>
          </cell>
          <cell r="AN657">
            <v>47522.851890749946</v>
          </cell>
          <cell r="AQ657">
            <v>0</v>
          </cell>
          <cell r="AS657">
            <v>31700</v>
          </cell>
          <cell r="AV657">
            <v>0</v>
          </cell>
          <cell r="AW657">
            <v>116861.66</v>
          </cell>
          <cell r="AX657">
            <v>58430.83</v>
          </cell>
          <cell r="AY657">
            <v>254515</v>
          </cell>
          <cell r="AZ657">
            <v>5588568</v>
          </cell>
          <cell r="BA657">
            <v>47522.851890749946</v>
          </cell>
          <cell r="BB657">
            <v>206992</v>
          </cell>
          <cell r="BC657">
            <v>5636091</v>
          </cell>
        </row>
        <row r="658">
          <cell r="F658" t="str">
            <v>130421-002</v>
          </cell>
          <cell r="G658" t="str">
            <v>Kontrak 1</v>
          </cell>
          <cell r="H658" t="str">
            <v>Staff</v>
          </cell>
          <cell r="I658" t="str">
            <v>Sales</v>
          </cell>
          <cell r="L658">
            <v>44299</v>
          </cell>
          <cell r="M658">
            <v>0</v>
          </cell>
          <cell r="N658">
            <v>1</v>
          </cell>
          <cell r="O658">
            <v>11</v>
          </cell>
          <cell r="S658">
            <v>4924046</v>
          </cell>
          <cell r="T658">
            <v>0</v>
          </cell>
          <cell r="U658">
            <v>0</v>
          </cell>
          <cell r="V658">
            <v>0</v>
          </cell>
          <cell r="W658">
            <v>4924046</v>
          </cell>
          <cell r="X658">
            <v>5</v>
          </cell>
          <cell r="Z658">
            <v>16</v>
          </cell>
          <cell r="AB658">
            <v>21</v>
          </cell>
          <cell r="AC658">
            <v>1172391.9047619049</v>
          </cell>
          <cell r="AD658">
            <v>3751654.0952380951</v>
          </cell>
          <cell r="AE658">
            <v>4924046</v>
          </cell>
          <cell r="AF658">
            <v>0</v>
          </cell>
          <cell r="AG658">
            <v>4924046</v>
          </cell>
          <cell r="AH658" t="b">
            <v>1</v>
          </cell>
          <cell r="AK658">
            <v>4924046</v>
          </cell>
          <cell r="AL658" t="str">
            <v>TK</v>
          </cell>
          <cell r="AM658">
            <v>4924046</v>
          </cell>
          <cell r="AN658">
            <v>14014.423851500018</v>
          </cell>
          <cell r="AQ658">
            <v>0</v>
          </cell>
          <cell r="AS658">
            <v>31700</v>
          </cell>
          <cell r="AV658">
            <v>49240.46</v>
          </cell>
          <cell r="AW658">
            <v>98480.92</v>
          </cell>
          <cell r="AX658">
            <v>49240.46</v>
          </cell>
          <cell r="AY658">
            <v>242676</v>
          </cell>
          <cell r="AZ658">
            <v>4681370</v>
          </cell>
          <cell r="BA658">
            <v>14014.423851500018</v>
          </cell>
          <cell r="BB658">
            <v>228662</v>
          </cell>
          <cell r="BC658">
            <v>4695384</v>
          </cell>
        </row>
        <row r="659">
          <cell r="Q659">
            <v>39707242</v>
          </cell>
          <cell r="R659">
            <v>38031098</v>
          </cell>
          <cell r="S659">
            <v>47749784</v>
          </cell>
          <cell r="T659">
            <v>500000</v>
          </cell>
          <cell r="U659">
            <v>1564254</v>
          </cell>
          <cell r="V659">
            <v>395304</v>
          </cell>
          <cell r="W659">
            <v>50209342</v>
          </cell>
          <cell r="X659">
            <v>40</v>
          </cell>
          <cell r="Y659">
            <v>0</v>
          </cell>
          <cell r="Z659">
            <v>128</v>
          </cell>
          <cell r="AA659">
            <v>0</v>
          </cell>
          <cell r="AB659">
            <v>168</v>
          </cell>
          <cell r="AC659">
            <v>11954605.238095239</v>
          </cell>
          <cell r="AD659">
            <v>38254736.761904761</v>
          </cell>
          <cell r="AE659">
            <v>50209342</v>
          </cell>
          <cell r="AF659">
            <v>0</v>
          </cell>
          <cell r="AG659">
            <v>50209342</v>
          </cell>
          <cell r="AH659">
            <v>0</v>
          </cell>
          <cell r="AJ659">
            <v>539240</v>
          </cell>
          <cell r="AK659">
            <v>50748582</v>
          </cell>
          <cell r="AL659">
            <v>0</v>
          </cell>
          <cell r="AM659">
            <v>50748582</v>
          </cell>
          <cell r="AN659">
            <v>886794.07890733355</v>
          </cell>
          <cell r="AO659">
            <v>0</v>
          </cell>
          <cell r="AP659">
            <v>0</v>
          </cell>
          <cell r="AQ659">
            <v>0</v>
          </cell>
          <cell r="AR659">
            <v>114000</v>
          </cell>
          <cell r="AS659">
            <v>221900</v>
          </cell>
          <cell r="AT659">
            <v>0</v>
          </cell>
          <cell r="AU659">
            <v>10000</v>
          </cell>
          <cell r="AV659">
            <v>424977.68000000005</v>
          </cell>
          <cell r="AW659">
            <v>1004186.8400000002</v>
          </cell>
          <cell r="AX659">
            <v>476398.96000000008</v>
          </cell>
          <cell r="AY659">
            <v>3138257</v>
          </cell>
          <cell r="AZ659">
            <v>47610325</v>
          </cell>
          <cell r="BA659">
            <v>886794.07890733355</v>
          </cell>
          <cell r="BB659">
            <v>2251461</v>
          </cell>
          <cell r="BC659">
            <v>48497121</v>
          </cell>
        </row>
        <row r="662">
          <cell r="F662" t="str">
            <v>NIK</v>
          </cell>
          <cell r="G662" t="str">
            <v>STATUS</v>
          </cell>
          <cell r="H662" t="str">
            <v>LEVEL</v>
          </cell>
          <cell r="I662" t="str">
            <v>BAGIAN</v>
          </cell>
          <cell r="J662" t="str">
            <v>DB</v>
          </cell>
          <cell r="L662" t="str">
            <v>JOIN</v>
          </cell>
          <cell r="M662" t="str">
            <v>MK</v>
          </cell>
          <cell r="Q662" t="str">
            <v>FIXED SALARY (KESEPAKATAN 2020)</v>
          </cell>
          <cell r="R662" t="str">
            <v>FIXED SALARY (NOVEMBER 2020)</v>
          </cell>
          <cell r="S662" t="str">
            <v>FIXED SALARY (UMSK 2020)</v>
          </cell>
          <cell r="T662" t="str">
            <v>JOB STRUCTURE ALLOWANCE</v>
          </cell>
          <cell r="U662" t="str">
            <v>SKILL ALLOWANCE</v>
          </cell>
          <cell r="V662" t="str">
            <v>PERFORMANCE ALLOWANCE 2020</v>
          </cell>
          <cell r="W662" t="str">
            <v>TOTAL</v>
          </cell>
          <cell r="X662" t="str">
            <v>WORKDAYS</v>
          </cell>
          <cell r="AB662" t="str">
            <v>CEK</v>
          </cell>
          <cell r="AC662" t="str">
            <v xml:space="preserve">SALARY </v>
          </cell>
          <cell r="AD662" t="str">
            <v>SALARY</v>
          </cell>
          <cell r="AE662" t="str">
            <v>TOTAL SALARY (COVID-19)</v>
          </cell>
          <cell r="AF662" t="str">
            <v>POT OFF</v>
          </cell>
          <cell r="AG662" t="str">
            <v>CEK</v>
          </cell>
          <cell r="AH662" t="str">
            <v>CEK</v>
          </cell>
          <cell r="AJ662" t="str">
            <v>BACK PAY ( RAPEL) / INCENTIVE</v>
          </cell>
          <cell r="AK662" t="str">
            <v>TOTAL</v>
          </cell>
          <cell r="AL662" t="str">
            <v>PERHITUNGAN PPh</v>
          </cell>
          <cell r="AN662" t="str">
            <v>TAX</v>
          </cell>
          <cell r="AO662" t="str">
            <v>RETURND</v>
          </cell>
          <cell r="AP662" t="str">
            <v>ABSEN</v>
          </cell>
          <cell r="AR662" t="str">
            <v>DEDUCTION</v>
          </cell>
          <cell r="AV662" t="str">
            <v>BPJS</v>
          </cell>
          <cell r="AW662" t="str">
            <v>BPJS KETENAGAKERJAAN</v>
          </cell>
          <cell r="AY662" t="str">
            <v>TOTAL</v>
          </cell>
          <cell r="AZ662" t="str">
            <v>TOTAL</v>
          </cell>
          <cell r="BA662" t="str">
            <v>INSENTIF</v>
          </cell>
          <cell r="BB662" t="str">
            <v>WITH INSENTIF PPh21</v>
          </cell>
        </row>
        <row r="663">
          <cell r="F663" t="str">
            <v>SAI</v>
          </cell>
          <cell r="G663" t="str">
            <v>KONTRAK</v>
          </cell>
          <cell r="J663" t="str">
            <v>DATEJOIN</v>
          </cell>
          <cell r="K663" t="str">
            <v>CHECK</v>
          </cell>
          <cell r="L663" t="str">
            <v>DATE</v>
          </cell>
          <cell r="M663" t="str">
            <v>YEAR</v>
          </cell>
          <cell r="N663" t="str">
            <v>MONTH</v>
          </cell>
          <cell r="O663" t="str">
            <v>DAY</v>
          </cell>
          <cell r="W663" t="str">
            <v>SALARY</v>
          </cell>
          <cell r="X663" t="str">
            <v>ON</v>
          </cell>
          <cell r="Y663" t="str">
            <v>OFF</v>
          </cell>
          <cell r="Z663" t="str">
            <v>ON</v>
          </cell>
          <cell r="AA663" t="str">
            <v>OFF</v>
          </cell>
          <cell r="AB663" t="str">
            <v>WORKINGDAYS</v>
          </cell>
          <cell r="AC663" t="str">
            <v>PERIODE 25-31 FEB</v>
          </cell>
          <cell r="AD663" t="str">
            <v xml:space="preserve"> PERIODE 1-24 MAR</v>
          </cell>
          <cell r="AK663" t="str">
            <v xml:space="preserve">RECIEVED       </v>
          </cell>
          <cell r="AL663" t="str">
            <v>STATUS</v>
          </cell>
          <cell r="AM663" t="str">
            <v xml:space="preserve">TOTAL    GROSS </v>
          </cell>
          <cell r="AN663">
            <v>21</v>
          </cell>
          <cell r="AO663" t="str">
            <v>TAX JAN 2021</v>
          </cell>
          <cell r="AP663" t="str">
            <v>DAY</v>
          </cell>
          <cell r="AQ663" t="str">
            <v>( Rp )</v>
          </cell>
          <cell r="AR663" t="str">
            <v>UNION</v>
          </cell>
          <cell r="AS663" t="str">
            <v>RAPID TEST</v>
          </cell>
          <cell r="AT663" t="str">
            <v>OTHERS</v>
          </cell>
          <cell r="AU663" t="str">
            <v>KOPERASI</v>
          </cell>
          <cell r="AV663" t="str">
            <v>KESEHATAN</v>
          </cell>
          <cell r="AW663" t="str">
            <v>JHT</v>
          </cell>
          <cell r="AX663" t="str">
            <v>PENSIUN</v>
          </cell>
          <cell r="AY663" t="str">
            <v>DEDUCTION</v>
          </cell>
          <cell r="AZ663" t="str">
            <v>PAID</v>
          </cell>
          <cell r="BA663" t="str">
            <v>PPh21</v>
          </cell>
          <cell r="BB663" t="str">
            <v>TOTAL DEDUCTION</v>
          </cell>
          <cell r="BC663" t="str">
            <v>TOTAL PAID</v>
          </cell>
        </row>
        <row r="664">
          <cell r="F664" t="str">
            <v>040814-505</v>
          </cell>
          <cell r="G664" t="str">
            <v>Tetap</v>
          </cell>
          <cell r="H664" t="str">
            <v>Specialist</v>
          </cell>
          <cell r="I664" t="str">
            <v>Finance &amp; Accounting</v>
          </cell>
          <cell r="J664">
            <v>41855</v>
          </cell>
          <cell r="K664" t="b">
            <v>1</v>
          </cell>
          <cell r="L664">
            <v>41855</v>
          </cell>
          <cell r="M664">
            <v>6</v>
          </cell>
          <cell r="N664">
            <v>9</v>
          </cell>
          <cell r="O664">
            <v>20</v>
          </cell>
          <cell r="Q664">
            <v>5843082</v>
          </cell>
          <cell r="R664">
            <v>5843082</v>
          </cell>
          <cell r="S664">
            <v>5843082</v>
          </cell>
          <cell r="T664">
            <v>1000000</v>
          </cell>
          <cell r="U664">
            <v>985300</v>
          </cell>
          <cell r="V664">
            <v>213723</v>
          </cell>
          <cell r="W664">
            <v>8042105</v>
          </cell>
          <cell r="X664">
            <v>5</v>
          </cell>
          <cell r="Z664">
            <v>16</v>
          </cell>
          <cell r="AB664">
            <v>21</v>
          </cell>
          <cell r="AC664">
            <v>1914786.9047619049</v>
          </cell>
          <cell r="AD664">
            <v>6127318.0952380951</v>
          </cell>
          <cell r="AE664">
            <v>8042105</v>
          </cell>
          <cell r="AF664">
            <v>0</v>
          </cell>
          <cell r="AG664">
            <v>8042105</v>
          </cell>
          <cell r="AH664" t="b">
            <v>1</v>
          </cell>
          <cell r="AK664">
            <v>8042105</v>
          </cell>
          <cell r="AL664" t="str">
            <v>TK</v>
          </cell>
          <cell r="AM664">
            <v>8042105</v>
          </cell>
          <cell r="AN664">
            <v>165365.78722625002</v>
          </cell>
          <cell r="AQ664">
            <v>0</v>
          </cell>
          <cell r="AR664">
            <v>38000</v>
          </cell>
          <cell r="AS664">
            <v>31700</v>
          </cell>
          <cell r="AU664">
            <v>10000</v>
          </cell>
          <cell r="AV664">
            <v>80421.05</v>
          </cell>
          <cell r="AW664">
            <v>160842.1</v>
          </cell>
          <cell r="AX664">
            <v>80421.05</v>
          </cell>
          <cell r="AY664">
            <v>566750</v>
          </cell>
          <cell r="AZ664">
            <v>7475355</v>
          </cell>
          <cell r="BA664">
            <v>165365.78722625002</v>
          </cell>
          <cell r="BB664">
            <v>401384</v>
          </cell>
          <cell r="BC664">
            <v>7640721</v>
          </cell>
        </row>
        <row r="665">
          <cell r="F665" t="str">
            <v>270415-001</v>
          </cell>
          <cell r="G665" t="str">
            <v>Tetap</v>
          </cell>
          <cell r="H665" t="str">
            <v>Leader</v>
          </cell>
          <cell r="I665" t="str">
            <v>Finance &amp; Accounting</v>
          </cell>
          <cell r="J665">
            <v>42121</v>
          </cell>
          <cell r="K665" t="b">
            <v>1</v>
          </cell>
          <cell r="L665">
            <v>42121</v>
          </cell>
          <cell r="M665">
            <v>6</v>
          </cell>
          <cell r="N665">
            <v>0</v>
          </cell>
          <cell r="O665">
            <v>27</v>
          </cell>
          <cell r="Q665">
            <v>5343082</v>
          </cell>
          <cell r="R665">
            <v>4924046</v>
          </cell>
          <cell r="S665">
            <v>5343083</v>
          </cell>
          <cell r="T665">
            <v>600000</v>
          </cell>
          <cell r="U665">
            <v>860477</v>
          </cell>
          <cell r="V665">
            <v>0</v>
          </cell>
          <cell r="W665">
            <v>6803560</v>
          </cell>
          <cell r="X665">
            <v>5</v>
          </cell>
          <cell r="Z665">
            <v>16</v>
          </cell>
          <cell r="AB665">
            <v>21</v>
          </cell>
          <cell r="AC665">
            <v>1619895.2380952381</v>
          </cell>
          <cell r="AD665">
            <v>5183664.7619047621</v>
          </cell>
          <cell r="AE665">
            <v>6803560</v>
          </cell>
          <cell r="AF665">
            <v>0</v>
          </cell>
          <cell r="AG665">
            <v>6803560</v>
          </cell>
          <cell r="AH665" t="b">
            <v>1</v>
          </cell>
          <cell r="AK665">
            <v>6803560</v>
          </cell>
          <cell r="AL665" t="str">
            <v>TK</v>
          </cell>
          <cell r="AM665">
            <v>6803560</v>
          </cell>
          <cell r="AN665">
            <v>105246.50329000001</v>
          </cell>
          <cell r="AQ665">
            <v>0</v>
          </cell>
          <cell r="AR665">
            <v>38000</v>
          </cell>
          <cell r="AS665">
            <v>31700</v>
          </cell>
          <cell r="AU665">
            <v>10000</v>
          </cell>
          <cell r="AV665">
            <v>68035.600000000006</v>
          </cell>
          <cell r="AW665">
            <v>136071.20000000001</v>
          </cell>
          <cell r="AX665">
            <v>68035.600000000006</v>
          </cell>
          <cell r="AY665">
            <v>457089</v>
          </cell>
          <cell r="AZ665">
            <v>6346471</v>
          </cell>
          <cell r="BA665">
            <v>105246.50329000001</v>
          </cell>
          <cell r="BB665">
            <v>351842</v>
          </cell>
          <cell r="BC665">
            <v>6451718</v>
          </cell>
        </row>
        <row r="666">
          <cell r="F666" t="str">
            <v>050814-030</v>
          </cell>
          <cell r="G666" t="str">
            <v>Tetap</v>
          </cell>
          <cell r="H666" t="str">
            <v>Staff</v>
          </cell>
          <cell r="I666" t="str">
            <v>Finance &amp; Accounting</v>
          </cell>
          <cell r="J666">
            <v>41856</v>
          </cell>
          <cell r="K666" t="b">
            <v>1</v>
          </cell>
          <cell r="L666">
            <v>41856</v>
          </cell>
          <cell r="M666">
            <v>6</v>
          </cell>
          <cell r="N666">
            <v>9</v>
          </cell>
          <cell r="O666">
            <v>19</v>
          </cell>
          <cell r="Q666">
            <v>4965395</v>
          </cell>
          <cell r="R666">
            <v>4965395</v>
          </cell>
          <cell r="S666">
            <v>4965395</v>
          </cell>
          <cell r="T666">
            <v>0</v>
          </cell>
          <cell r="U666">
            <v>400000</v>
          </cell>
          <cell r="V666">
            <v>191353</v>
          </cell>
          <cell r="W666">
            <v>5556748</v>
          </cell>
          <cell r="X666">
            <v>5</v>
          </cell>
          <cell r="Z666">
            <v>16</v>
          </cell>
          <cell r="AB666">
            <v>21</v>
          </cell>
          <cell r="AC666">
            <v>1323035.2380952381</v>
          </cell>
          <cell r="AD666">
            <v>4233712.7619047621</v>
          </cell>
          <cell r="AE666">
            <v>5556748</v>
          </cell>
          <cell r="AF666">
            <v>0</v>
          </cell>
          <cell r="AG666">
            <v>5556748</v>
          </cell>
          <cell r="AH666" t="b">
            <v>1</v>
          </cell>
          <cell r="AK666">
            <v>5556748</v>
          </cell>
          <cell r="AL666" t="str">
            <v>TK</v>
          </cell>
          <cell r="AM666">
            <v>5556748</v>
          </cell>
          <cell r="AN666">
            <v>44725.937106999976</v>
          </cell>
          <cell r="AQ666">
            <v>0</v>
          </cell>
          <cell r="AR666">
            <v>38000</v>
          </cell>
          <cell r="AS666">
            <v>31700</v>
          </cell>
          <cell r="AU666">
            <v>10000</v>
          </cell>
          <cell r="AV666">
            <v>55567.48</v>
          </cell>
          <cell r="AW666">
            <v>111134.96</v>
          </cell>
          <cell r="AX666">
            <v>55567.48</v>
          </cell>
          <cell r="AY666">
            <v>346696</v>
          </cell>
          <cell r="AZ666">
            <v>5210052</v>
          </cell>
          <cell r="BA666">
            <v>44725.937106999976</v>
          </cell>
          <cell r="BB666">
            <v>301970</v>
          </cell>
          <cell r="BC666">
            <v>5254778</v>
          </cell>
        </row>
        <row r="667">
          <cell r="F667" t="str">
            <v>040814-504</v>
          </cell>
          <cell r="G667" t="str">
            <v>Tetap</v>
          </cell>
          <cell r="H667" t="str">
            <v>Staff</v>
          </cell>
          <cell r="I667" t="str">
            <v>Finance &amp; Accounting</v>
          </cell>
          <cell r="J667">
            <v>41855</v>
          </cell>
          <cell r="K667" t="b">
            <v>1</v>
          </cell>
          <cell r="L667">
            <v>41855</v>
          </cell>
          <cell r="M667">
            <v>6</v>
          </cell>
          <cell r="N667">
            <v>9</v>
          </cell>
          <cell r="O667">
            <v>20</v>
          </cell>
          <cell r="Q667">
            <v>4966895</v>
          </cell>
          <cell r="R667">
            <v>4966895</v>
          </cell>
          <cell r="S667">
            <v>4966895</v>
          </cell>
          <cell r="T667">
            <v>0</v>
          </cell>
          <cell r="U667">
            <v>400000</v>
          </cell>
          <cell r="V667">
            <v>191413</v>
          </cell>
          <cell r="W667">
            <v>5558308</v>
          </cell>
          <cell r="X667">
            <v>5</v>
          </cell>
          <cell r="Z667">
            <v>16</v>
          </cell>
          <cell r="AB667">
            <v>21</v>
          </cell>
          <cell r="AC667">
            <v>1323406.6666666665</v>
          </cell>
          <cell r="AD667">
            <v>4234901.333333333</v>
          </cell>
          <cell r="AE667">
            <v>5558308</v>
          </cell>
          <cell r="AF667">
            <v>0</v>
          </cell>
          <cell r="AG667">
            <v>5558308</v>
          </cell>
          <cell r="AH667" t="b">
            <v>1</v>
          </cell>
          <cell r="AK667">
            <v>5558308</v>
          </cell>
          <cell r="AL667" t="str">
            <v>TK</v>
          </cell>
          <cell r="AM667">
            <v>5558308</v>
          </cell>
          <cell r="AN667">
            <v>44801.659897000005</v>
          </cell>
          <cell r="AQ667">
            <v>0</v>
          </cell>
          <cell r="AR667">
            <v>38000</v>
          </cell>
          <cell r="AS667">
            <v>31700</v>
          </cell>
          <cell r="AU667">
            <v>10000</v>
          </cell>
          <cell r="AV667">
            <v>55583.08</v>
          </cell>
          <cell r="AW667">
            <v>111166.16</v>
          </cell>
          <cell r="AX667">
            <v>55583.08</v>
          </cell>
          <cell r="AY667">
            <v>346834</v>
          </cell>
          <cell r="AZ667">
            <v>5211474</v>
          </cell>
          <cell r="BA667">
            <v>44801.659897000005</v>
          </cell>
          <cell r="BB667">
            <v>302032</v>
          </cell>
          <cell r="BC667">
            <v>5256276</v>
          </cell>
        </row>
        <row r="668">
          <cell r="F668" t="str">
            <v>261015-001</v>
          </cell>
          <cell r="G668" t="str">
            <v>Tetap</v>
          </cell>
          <cell r="H668" t="str">
            <v>Staff</v>
          </cell>
          <cell r="I668" t="str">
            <v>Finance &amp; Accounting</v>
          </cell>
          <cell r="J668">
            <v>42303</v>
          </cell>
          <cell r="K668" t="b">
            <v>1</v>
          </cell>
          <cell r="L668">
            <v>42303</v>
          </cell>
          <cell r="M668">
            <v>5</v>
          </cell>
          <cell r="N668">
            <v>6</v>
          </cell>
          <cell r="O668">
            <v>28</v>
          </cell>
          <cell r="Q668">
            <v>5343082</v>
          </cell>
          <cell r="R668">
            <v>4924046</v>
          </cell>
          <cell r="S668">
            <v>5343083</v>
          </cell>
          <cell r="T668">
            <v>0</v>
          </cell>
          <cell r="U668">
            <v>0</v>
          </cell>
          <cell r="V668">
            <v>0</v>
          </cell>
          <cell r="W668">
            <v>5343083</v>
          </cell>
          <cell r="X668">
            <v>5</v>
          </cell>
          <cell r="Z668">
            <v>16</v>
          </cell>
          <cell r="AB668">
            <v>21</v>
          </cell>
          <cell r="AC668">
            <v>1272162.6190476192</v>
          </cell>
          <cell r="AD668">
            <v>4070920.3809523811</v>
          </cell>
          <cell r="AE668">
            <v>5343083</v>
          </cell>
          <cell r="AF668">
            <v>0</v>
          </cell>
          <cell r="AG668">
            <v>5343083</v>
          </cell>
          <cell r="AH668" t="b">
            <v>1</v>
          </cell>
          <cell r="AK668">
            <v>5343083</v>
          </cell>
          <cell r="AL668" t="str">
            <v>TK</v>
          </cell>
          <cell r="AM668">
            <v>5343083</v>
          </cell>
          <cell r="AN668">
            <v>34354.584590750004</v>
          </cell>
          <cell r="AQ668">
            <v>0</v>
          </cell>
          <cell r="AS668">
            <v>31700</v>
          </cell>
          <cell r="AU668">
            <v>10000</v>
          </cell>
          <cell r="AV668">
            <v>53430.83</v>
          </cell>
          <cell r="AW668">
            <v>106861.66</v>
          </cell>
          <cell r="AX668">
            <v>53430.83</v>
          </cell>
          <cell r="AY668">
            <v>289778</v>
          </cell>
          <cell r="AZ668">
            <v>5053305</v>
          </cell>
          <cell r="BA668">
            <v>34354.584590750004</v>
          </cell>
          <cell r="BB668">
            <v>255423</v>
          </cell>
          <cell r="BC668">
            <v>5087660</v>
          </cell>
        </row>
        <row r="669">
          <cell r="F669" t="str">
            <v>050319-001</v>
          </cell>
          <cell r="G669" t="str">
            <v>Kontrak 2</v>
          </cell>
          <cell r="H669" t="str">
            <v>Staff</v>
          </cell>
          <cell r="I669" t="str">
            <v>Finance &amp; Accounting</v>
          </cell>
          <cell r="J669" t="str">
            <v>05 Maret 2019</v>
          </cell>
          <cell r="K669" t="b">
            <v>0</v>
          </cell>
          <cell r="L669">
            <v>43529</v>
          </cell>
          <cell r="M669">
            <v>2</v>
          </cell>
          <cell r="N669">
            <v>2</v>
          </cell>
          <cell r="O669">
            <v>19</v>
          </cell>
          <cell r="Q669">
            <v>5343082</v>
          </cell>
          <cell r="R669">
            <v>4924046</v>
          </cell>
          <cell r="S669">
            <v>5343083</v>
          </cell>
          <cell r="T669">
            <v>0</v>
          </cell>
          <cell r="U669">
            <v>0</v>
          </cell>
          <cell r="V669">
            <v>0</v>
          </cell>
          <cell r="W669">
            <v>5343083</v>
          </cell>
          <cell r="X669">
            <v>5</v>
          </cell>
          <cell r="Z669">
            <v>16</v>
          </cell>
          <cell r="AB669">
            <v>21</v>
          </cell>
          <cell r="AC669">
            <v>1272162.6190476192</v>
          </cell>
          <cell r="AD669">
            <v>4070920.3809523811</v>
          </cell>
          <cell r="AE669">
            <v>5343083</v>
          </cell>
          <cell r="AF669">
            <v>0</v>
          </cell>
          <cell r="AG669">
            <v>5343083</v>
          </cell>
          <cell r="AH669" t="b">
            <v>1</v>
          </cell>
          <cell r="AK669">
            <v>5343083</v>
          </cell>
          <cell r="AL669" t="str">
            <v>TK</v>
          </cell>
          <cell r="AM669">
            <v>5343083</v>
          </cell>
          <cell r="AN669">
            <v>34354.584590750004</v>
          </cell>
          <cell r="AQ669">
            <v>0</v>
          </cell>
          <cell r="AR669">
            <v>38000</v>
          </cell>
          <cell r="AS669">
            <v>31700</v>
          </cell>
          <cell r="AT669">
            <v>2359067</v>
          </cell>
          <cell r="AU669">
            <v>10000</v>
          </cell>
          <cell r="AV669">
            <v>53430.83</v>
          </cell>
          <cell r="AW669">
            <v>106861.66</v>
          </cell>
          <cell r="AX669">
            <v>53430.83</v>
          </cell>
          <cell r="AY669">
            <v>2686845</v>
          </cell>
          <cell r="AZ669">
            <v>2656238</v>
          </cell>
          <cell r="BA669">
            <v>34354.584590750004</v>
          </cell>
          <cell r="BB669">
            <v>2652490</v>
          </cell>
          <cell r="BC669">
            <v>2690593</v>
          </cell>
        </row>
        <row r="670">
          <cell r="F670" t="str">
            <v>290419-003</v>
          </cell>
          <cell r="G670" t="str">
            <v>Kontrak 2</v>
          </cell>
          <cell r="H670" t="str">
            <v>Staff</v>
          </cell>
          <cell r="I670" t="str">
            <v>Finance &amp; Accounting</v>
          </cell>
          <cell r="J670">
            <v>43584</v>
          </cell>
          <cell r="K670" t="b">
            <v>1</v>
          </cell>
          <cell r="L670">
            <v>43584</v>
          </cell>
          <cell r="M670">
            <v>2</v>
          </cell>
          <cell r="N670">
            <v>0</v>
          </cell>
          <cell r="O670">
            <v>25</v>
          </cell>
          <cell r="Q670">
            <v>5343082</v>
          </cell>
          <cell r="R670">
            <v>4924046</v>
          </cell>
          <cell r="S670">
            <v>5343083</v>
          </cell>
          <cell r="T670">
            <v>0</v>
          </cell>
          <cell r="U670">
            <v>0</v>
          </cell>
          <cell r="V670">
            <v>0</v>
          </cell>
          <cell r="W670">
            <v>5343083</v>
          </cell>
          <cell r="X670">
            <v>5</v>
          </cell>
          <cell r="Z670">
            <v>16</v>
          </cell>
          <cell r="AB670">
            <v>21</v>
          </cell>
          <cell r="AC670">
            <v>1272162.6190476192</v>
          </cell>
          <cell r="AD670">
            <v>4070920.3809523811</v>
          </cell>
          <cell r="AE670">
            <v>5343083</v>
          </cell>
          <cell r="AF670">
            <v>0</v>
          </cell>
          <cell r="AG670">
            <v>5343083</v>
          </cell>
          <cell r="AH670" t="b">
            <v>1</v>
          </cell>
          <cell r="AK670">
            <v>5343083</v>
          </cell>
          <cell r="AL670" t="str">
            <v>TK</v>
          </cell>
          <cell r="AM670">
            <v>5343083</v>
          </cell>
          <cell r="AN670">
            <v>34354.584590750004</v>
          </cell>
          <cell r="AQ670">
            <v>0</v>
          </cell>
          <cell r="AS670">
            <v>31700</v>
          </cell>
          <cell r="AU670">
            <v>10000</v>
          </cell>
          <cell r="AV670">
            <v>53430.83</v>
          </cell>
          <cell r="AW670">
            <v>106861.66</v>
          </cell>
          <cell r="AX670">
            <v>53430.83</v>
          </cell>
          <cell r="AY670">
            <v>289778</v>
          </cell>
          <cell r="AZ670">
            <v>5053305</v>
          </cell>
          <cell r="BA670">
            <v>34354.584590750004</v>
          </cell>
          <cell r="BB670">
            <v>255423</v>
          </cell>
          <cell r="BC670">
            <v>5087660</v>
          </cell>
        </row>
        <row r="671">
          <cell r="Q671">
            <v>37147700</v>
          </cell>
          <cell r="R671">
            <v>35471556</v>
          </cell>
          <cell r="S671">
            <v>37147704</v>
          </cell>
          <cell r="T671">
            <v>1600000</v>
          </cell>
          <cell r="U671">
            <v>2645777</v>
          </cell>
          <cell r="V671">
            <v>596489</v>
          </cell>
          <cell r="W671">
            <v>41989970</v>
          </cell>
          <cell r="X671">
            <v>35</v>
          </cell>
          <cell r="Y671">
            <v>0</v>
          </cell>
          <cell r="Z671">
            <v>112</v>
          </cell>
          <cell r="AA671">
            <v>0</v>
          </cell>
          <cell r="AB671">
            <v>147</v>
          </cell>
          <cell r="AC671">
            <v>9997611.9047619049</v>
          </cell>
          <cell r="AD671">
            <v>31992358.095238093</v>
          </cell>
          <cell r="AE671">
            <v>41989970</v>
          </cell>
          <cell r="AF671">
            <v>0</v>
          </cell>
          <cell r="AG671">
            <v>41989970</v>
          </cell>
          <cell r="AH671">
            <v>0</v>
          </cell>
          <cell r="AJ671">
            <v>0</v>
          </cell>
          <cell r="AK671">
            <v>41989970</v>
          </cell>
          <cell r="AL671">
            <v>0</v>
          </cell>
          <cell r="AM671">
            <v>41989970</v>
          </cell>
          <cell r="AN671">
            <v>463203.64129249996</v>
          </cell>
          <cell r="AO671">
            <v>0</v>
          </cell>
          <cell r="AP671">
            <v>0</v>
          </cell>
          <cell r="AQ671">
            <v>0</v>
          </cell>
          <cell r="AR671">
            <v>190000</v>
          </cell>
          <cell r="AS671">
            <v>221900</v>
          </cell>
          <cell r="AT671">
            <v>2359067</v>
          </cell>
          <cell r="AU671">
            <v>70000</v>
          </cell>
          <cell r="AV671">
            <v>419899.70000000007</v>
          </cell>
          <cell r="AW671">
            <v>839799.40000000014</v>
          </cell>
          <cell r="AX671">
            <v>419899.70000000007</v>
          </cell>
          <cell r="AY671">
            <v>4983770</v>
          </cell>
          <cell r="AZ671">
            <v>37006200</v>
          </cell>
          <cell r="BA671">
            <v>463203.64129249996</v>
          </cell>
          <cell r="BB671">
            <v>4520564</v>
          </cell>
          <cell r="BC671">
            <v>37469406</v>
          </cell>
        </row>
        <row r="674">
          <cell r="F674" t="str">
            <v>NIK</v>
          </cell>
          <cell r="G674" t="str">
            <v>STATUS</v>
          </cell>
          <cell r="H674" t="str">
            <v>LEVEL</v>
          </cell>
          <cell r="I674" t="str">
            <v>BAGIAN</v>
          </cell>
          <cell r="J674" t="str">
            <v>DB</v>
          </cell>
          <cell r="L674" t="str">
            <v>JOIN</v>
          </cell>
          <cell r="M674" t="str">
            <v>MK</v>
          </cell>
          <cell r="Q674" t="str">
            <v>FIXED SALARY (KESEPAKATAN 2020)</v>
          </cell>
          <cell r="R674" t="str">
            <v>FIXED SALARY (NOVEMBER 2020)</v>
          </cell>
          <cell r="S674" t="str">
            <v>FIXED SALARY (UMSK 2020)</v>
          </cell>
          <cell r="T674" t="str">
            <v>JOB STRUCTURE ALLOWANCE</v>
          </cell>
          <cell r="U674" t="str">
            <v>SKILL ALLOWANCE</v>
          </cell>
          <cell r="V674" t="str">
            <v>PERFORMANCE ALLOWANCE 2020</v>
          </cell>
          <cell r="W674" t="str">
            <v>TOTAL</v>
          </cell>
          <cell r="X674" t="str">
            <v>WORKDAYS</v>
          </cell>
          <cell r="AB674" t="str">
            <v>CEK</v>
          </cell>
          <cell r="AC674" t="str">
            <v xml:space="preserve">SALARY </v>
          </cell>
          <cell r="AD674" t="str">
            <v>SALARY</v>
          </cell>
          <cell r="AE674" t="str">
            <v>TOTAL SALARY (COVID-19)</v>
          </cell>
          <cell r="AF674" t="str">
            <v>POT OFF</v>
          </cell>
          <cell r="AG674" t="str">
            <v>CEK</v>
          </cell>
          <cell r="AH674" t="str">
            <v>CEK</v>
          </cell>
          <cell r="AJ674" t="str">
            <v>BACK PAY ( RAPEL) / INCENTIVE</v>
          </cell>
          <cell r="AK674" t="str">
            <v>TOTAL</v>
          </cell>
          <cell r="AL674" t="str">
            <v>PERHITUNGAN PPh</v>
          </cell>
          <cell r="AN674" t="str">
            <v>TAX</v>
          </cell>
          <cell r="AO674" t="str">
            <v>RETURND</v>
          </cell>
          <cell r="AP674" t="str">
            <v>ABSEN</v>
          </cell>
          <cell r="AR674" t="str">
            <v>DEDUCTION</v>
          </cell>
          <cell r="AV674" t="str">
            <v>BPJS</v>
          </cell>
          <cell r="AW674" t="str">
            <v>BPJS KETENAGAKERJAAN</v>
          </cell>
          <cell r="AY674" t="str">
            <v>TOTAL</v>
          </cell>
          <cell r="AZ674" t="str">
            <v>TOTAL</v>
          </cell>
          <cell r="BA674" t="str">
            <v>INSENTIF</v>
          </cell>
          <cell r="BB674" t="str">
            <v>WITH INSENTIF PPh21</v>
          </cell>
        </row>
        <row r="675">
          <cell r="F675" t="str">
            <v>SAI</v>
          </cell>
          <cell r="G675" t="str">
            <v>KONTRAK</v>
          </cell>
          <cell r="J675" t="str">
            <v>DATEJOIN</v>
          </cell>
          <cell r="K675" t="str">
            <v>CHECK</v>
          </cell>
          <cell r="L675" t="str">
            <v>DATE</v>
          </cell>
          <cell r="M675" t="str">
            <v>YEAR</v>
          </cell>
          <cell r="N675" t="str">
            <v>MONTH</v>
          </cell>
          <cell r="O675" t="str">
            <v>DAY</v>
          </cell>
          <cell r="W675" t="str">
            <v>SALARY</v>
          </cell>
          <cell r="X675" t="str">
            <v>ON</v>
          </cell>
          <cell r="Y675" t="str">
            <v>OFF</v>
          </cell>
          <cell r="Z675" t="str">
            <v>ON</v>
          </cell>
          <cell r="AA675" t="str">
            <v>OFF</v>
          </cell>
          <cell r="AB675" t="str">
            <v>WORKINGDAYS</v>
          </cell>
          <cell r="AC675" t="str">
            <v>PERIODE 25-31 FEB</v>
          </cell>
          <cell r="AD675" t="str">
            <v xml:space="preserve"> PERIODE 1-24 MAR</v>
          </cell>
          <cell r="AK675" t="str">
            <v xml:space="preserve">RECIEVED       </v>
          </cell>
          <cell r="AL675" t="str">
            <v>STATUS</v>
          </cell>
          <cell r="AM675" t="str">
            <v xml:space="preserve">TOTAL    GROSS </v>
          </cell>
          <cell r="AN675">
            <v>21</v>
          </cell>
          <cell r="AO675" t="str">
            <v>TAX JAN 2021</v>
          </cell>
          <cell r="AP675" t="str">
            <v>DAY</v>
          </cell>
          <cell r="AQ675" t="str">
            <v>( Rp )</v>
          </cell>
          <cell r="AR675" t="str">
            <v>UNION</v>
          </cell>
          <cell r="AS675" t="str">
            <v>RAPID TEST</v>
          </cell>
          <cell r="AT675" t="str">
            <v>OTHERS</v>
          </cell>
          <cell r="AU675" t="str">
            <v>KOPERASI</v>
          </cell>
          <cell r="AV675" t="str">
            <v>KESEHATAN</v>
          </cell>
          <cell r="AW675" t="str">
            <v>JHT</v>
          </cell>
          <cell r="AX675" t="str">
            <v>PENSIUN</v>
          </cell>
          <cell r="AY675" t="str">
            <v>DEDUCTION</v>
          </cell>
          <cell r="AZ675" t="str">
            <v>PAID</v>
          </cell>
          <cell r="BA675" t="str">
            <v>PPh21</v>
          </cell>
          <cell r="BB675" t="str">
            <v>TOTAL DEDUCTION</v>
          </cell>
          <cell r="BC675" t="str">
            <v>TOTAL PAID</v>
          </cell>
        </row>
        <row r="676">
          <cell r="F676" t="str">
            <v>040814-510</v>
          </cell>
          <cell r="G676" t="str">
            <v>Tetap</v>
          </cell>
          <cell r="H676" t="str">
            <v>Specialist</v>
          </cell>
          <cell r="I676" t="str">
            <v>ICT</v>
          </cell>
          <cell r="J676">
            <v>41855</v>
          </cell>
          <cell r="K676" t="b">
            <v>1</v>
          </cell>
          <cell r="L676">
            <v>41855</v>
          </cell>
          <cell r="M676">
            <v>6</v>
          </cell>
          <cell r="N676">
            <v>9</v>
          </cell>
          <cell r="O676">
            <v>20</v>
          </cell>
          <cell r="Q676">
            <v>5843082</v>
          </cell>
          <cell r="R676">
            <v>5843082</v>
          </cell>
          <cell r="S676">
            <v>5843082</v>
          </cell>
          <cell r="T676">
            <v>1000000</v>
          </cell>
          <cell r="U676">
            <v>0</v>
          </cell>
          <cell r="V676">
            <v>144108</v>
          </cell>
          <cell r="W676">
            <v>6987190</v>
          </cell>
          <cell r="X676">
            <v>5</v>
          </cell>
          <cell r="Z676">
            <v>16</v>
          </cell>
          <cell r="AB676">
            <v>21</v>
          </cell>
          <cell r="AC676">
            <v>1663616.6666666665</v>
          </cell>
          <cell r="AD676">
            <v>5323573.333333333</v>
          </cell>
          <cell r="AE676">
            <v>6987190</v>
          </cell>
          <cell r="AF676">
            <v>0</v>
          </cell>
          <cell r="AG676">
            <v>6987190</v>
          </cell>
          <cell r="AH676" t="b">
            <v>1</v>
          </cell>
          <cell r="AK676">
            <v>6987190</v>
          </cell>
          <cell r="AL676" t="str">
            <v>K2</v>
          </cell>
          <cell r="AM676">
            <v>6987190</v>
          </cell>
          <cell r="AN676">
            <v>57909.949397500051</v>
          </cell>
          <cell r="AQ676">
            <v>0</v>
          </cell>
          <cell r="AS676">
            <v>31700</v>
          </cell>
          <cell r="AV676">
            <v>69871.899999999994</v>
          </cell>
          <cell r="AW676">
            <v>139743.79999999999</v>
          </cell>
          <cell r="AX676">
            <v>69871.899999999994</v>
          </cell>
          <cell r="AY676">
            <v>369098</v>
          </cell>
          <cell r="AZ676">
            <v>6618092</v>
          </cell>
          <cell r="BA676">
            <v>57909.949397500051</v>
          </cell>
          <cell r="BB676">
            <v>311188</v>
          </cell>
          <cell r="BC676">
            <v>6676002</v>
          </cell>
        </row>
        <row r="677">
          <cell r="F677" t="str">
            <v>040814-394</v>
          </cell>
          <cell r="G677" t="str">
            <v>Tetap</v>
          </cell>
          <cell r="H677" t="str">
            <v>Specialist</v>
          </cell>
          <cell r="I677" t="str">
            <v>ICT</v>
          </cell>
          <cell r="J677">
            <v>41855</v>
          </cell>
          <cell r="K677" t="b">
            <v>1</v>
          </cell>
          <cell r="L677">
            <v>41855</v>
          </cell>
          <cell r="M677">
            <v>6</v>
          </cell>
          <cell r="N677">
            <v>9</v>
          </cell>
          <cell r="O677">
            <v>20</v>
          </cell>
          <cell r="Q677">
            <v>6240000</v>
          </cell>
          <cell r="R677">
            <v>6240000</v>
          </cell>
          <cell r="S677">
            <v>6240000</v>
          </cell>
          <cell r="T677">
            <v>1000000</v>
          </cell>
          <cell r="U677">
            <v>0</v>
          </cell>
          <cell r="V677">
            <v>274125</v>
          </cell>
          <cell r="W677">
            <v>7514125</v>
          </cell>
          <cell r="X677">
            <v>5</v>
          </cell>
          <cell r="Z677">
            <v>16</v>
          </cell>
          <cell r="AB677">
            <v>21</v>
          </cell>
          <cell r="AC677">
            <v>1789077.3809523811</v>
          </cell>
          <cell r="AD677">
            <v>5725047.6190476194</v>
          </cell>
          <cell r="AE677">
            <v>7514125</v>
          </cell>
          <cell r="AF677">
            <v>0</v>
          </cell>
          <cell r="AG677">
            <v>7514125</v>
          </cell>
          <cell r="AH677" t="b">
            <v>1</v>
          </cell>
          <cell r="AK677">
            <v>7514125</v>
          </cell>
          <cell r="AL677" t="str">
            <v>K2</v>
          </cell>
          <cell r="AM677">
            <v>7514125</v>
          </cell>
          <cell r="AN677">
            <v>83487.506031250028</v>
          </cell>
          <cell r="AQ677">
            <v>0</v>
          </cell>
          <cell r="AS677">
            <v>31700</v>
          </cell>
          <cell r="AV677">
            <v>75141.25</v>
          </cell>
          <cell r="AW677">
            <v>150282.5</v>
          </cell>
          <cell r="AX677">
            <v>75141.25</v>
          </cell>
          <cell r="AY677">
            <v>415753</v>
          </cell>
          <cell r="AZ677">
            <v>7098372</v>
          </cell>
          <cell r="BA677">
            <v>83487.506031250028</v>
          </cell>
          <cell r="BB677">
            <v>332265</v>
          </cell>
          <cell r="BC677">
            <v>7181860</v>
          </cell>
        </row>
        <row r="678">
          <cell r="F678" t="str">
            <v>040814-426</v>
          </cell>
          <cell r="G678" t="str">
            <v>Tetap</v>
          </cell>
          <cell r="H678" t="str">
            <v>Officer</v>
          </cell>
          <cell r="I678" t="str">
            <v>ICT</v>
          </cell>
          <cell r="J678">
            <v>41855</v>
          </cell>
          <cell r="K678" t="b">
            <v>1</v>
          </cell>
          <cell r="L678">
            <v>41855</v>
          </cell>
          <cell r="M678">
            <v>6</v>
          </cell>
          <cell r="N678">
            <v>9</v>
          </cell>
          <cell r="O678">
            <v>20</v>
          </cell>
          <cell r="Q678">
            <v>5343082</v>
          </cell>
          <cell r="R678">
            <v>4924046</v>
          </cell>
          <cell r="S678">
            <v>5343083</v>
          </cell>
          <cell r="T678">
            <v>0</v>
          </cell>
          <cell r="U678">
            <v>800000</v>
          </cell>
          <cell r="V678">
            <v>0</v>
          </cell>
          <cell r="W678">
            <v>6143083</v>
          </cell>
          <cell r="X678">
            <v>5</v>
          </cell>
          <cell r="Z678">
            <v>16</v>
          </cell>
          <cell r="AB678">
            <v>21</v>
          </cell>
          <cell r="AC678">
            <v>1462638.8095238095</v>
          </cell>
          <cell r="AD678">
            <v>4680444.1904761903</v>
          </cell>
          <cell r="AE678">
            <v>6143083</v>
          </cell>
          <cell r="AF678">
            <v>0</v>
          </cell>
          <cell r="AG678">
            <v>6143083</v>
          </cell>
          <cell r="AH678" t="b">
            <v>1</v>
          </cell>
          <cell r="AK678">
            <v>6143083</v>
          </cell>
          <cell r="AL678" t="str">
            <v>K2</v>
          </cell>
          <cell r="AM678">
            <v>6143083</v>
          </cell>
          <cell r="AN678">
            <v>16936.78459074994</v>
          </cell>
          <cell r="AQ678">
            <v>0</v>
          </cell>
          <cell r="AS678">
            <v>31700</v>
          </cell>
          <cell r="AU678">
            <v>10000</v>
          </cell>
          <cell r="AV678">
            <v>61430.83</v>
          </cell>
          <cell r="AW678">
            <v>122861.66</v>
          </cell>
          <cell r="AX678">
            <v>61430.83</v>
          </cell>
          <cell r="AY678">
            <v>304360</v>
          </cell>
          <cell r="AZ678">
            <v>5838723</v>
          </cell>
          <cell r="BA678">
            <v>16936.78459074994</v>
          </cell>
          <cell r="BB678">
            <v>287423</v>
          </cell>
          <cell r="BC678">
            <v>5855660</v>
          </cell>
        </row>
        <row r="679">
          <cell r="F679" t="str">
            <v>191015-002</v>
          </cell>
          <cell r="G679" t="str">
            <v>Tetap</v>
          </cell>
          <cell r="H679" t="str">
            <v>Officer</v>
          </cell>
          <cell r="I679" t="str">
            <v>ICT</v>
          </cell>
          <cell r="J679">
            <v>42296</v>
          </cell>
          <cell r="K679" t="b">
            <v>1</v>
          </cell>
          <cell r="L679">
            <v>42296</v>
          </cell>
          <cell r="M679">
            <v>5</v>
          </cell>
          <cell r="N679">
            <v>7</v>
          </cell>
          <cell r="O679">
            <v>5</v>
          </cell>
          <cell r="Q679">
            <v>5343082</v>
          </cell>
          <cell r="R679">
            <v>5343083</v>
          </cell>
          <cell r="S679">
            <v>5343083</v>
          </cell>
          <cell r="T679">
            <v>0</v>
          </cell>
          <cell r="U679">
            <v>0</v>
          </cell>
          <cell r="V679">
            <v>213723</v>
          </cell>
          <cell r="W679">
            <v>5556806</v>
          </cell>
          <cell r="X679">
            <v>5</v>
          </cell>
          <cell r="Z679">
            <v>16</v>
          </cell>
          <cell r="AB679">
            <v>21</v>
          </cell>
          <cell r="AC679">
            <v>1323049.0476190476</v>
          </cell>
          <cell r="AD679">
            <v>4233756.9523809524</v>
          </cell>
          <cell r="AE679">
            <v>5556806</v>
          </cell>
          <cell r="AF679">
            <v>0</v>
          </cell>
          <cell r="AG679">
            <v>5556806</v>
          </cell>
          <cell r="AH679" t="b">
            <v>1</v>
          </cell>
          <cell r="AK679">
            <v>5556806</v>
          </cell>
          <cell r="AL679" t="str">
            <v>TK</v>
          </cell>
          <cell r="AM679">
            <v>5556806</v>
          </cell>
          <cell r="AN679">
            <v>44728.75244150003</v>
          </cell>
          <cell r="AQ679">
            <v>0</v>
          </cell>
          <cell r="AR679">
            <v>38000</v>
          </cell>
          <cell r="AS679">
            <v>31700</v>
          </cell>
          <cell r="AV679">
            <v>55568.06</v>
          </cell>
          <cell r="AW679">
            <v>111136.12</v>
          </cell>
          <cell r="AX679">
            <v>55568.06</v>
          </cell>
          <cell r="AY679">
            <v>336701</v>
          </cell>
          <cell r="AZ679">
            <v>5220105</v>
          </cell>
          <cell r="BA679">
            <v>44728.75244150003</v>
          </cell>
          <cell r="BB679">
            <v>291972</v>
          </cell>
          <cell r="BC679">
            <v>5264834</v>
          </cell>
        </row>
        <row r="680">
          <cell r="Q680">
            <v>22769246</v>
          </cell>
          <cell r="R680">
            <v>22350211</v>
          </cell>
          <cell r="S680">
            <v>22769248</v>
          </cell>
          <cell r="T680">
            <v>2000000</v>
          </cell>
          <cell r="U680">
            <v>800000</v>
          </cell>
          <cell r="V680">
            <v>631956</v>
          </cell>
          <cell r="W680">
            <v>26201204</v>
          </cell>
          <cell r="X680">
            <v>20</v>
          </cell>
          <cell r="Y680">
            <v>0</v>
          </cell>
          <cell r="Z680">
            <v>64</v>
          </cell>
          <cell r="AA680">
            <v>0</v>
          </cell>
          <cell r="AB680">
            <v>84</v>
          </cell>
          <cell r="AC680">
            <v>6238381.9047619049</v>
          </cell>
          <cell r="AD680">
            <v>19962822.095238093</v>
          </cell>
          <cell r="AE680">
            <v>26201204</v>
          </cell>
          <cell r="AF680">
            <v>0</v>
          </cell>
          <cell r="AG680">
            <v>26201204</v>
          </cell>
          <cell r="AH680">
            <v>0</v>
          </cell>
          <cell r="AJ680">
            <v>0</v>
          </cell>
          <cell r="AK680">
            <v>26201204</v>
          </cell>
          <cell r="AL680">
            <v>0</v>
          </cell>
          <cell r="AM680">
            <v>26201204</v>
          </cell>
          <cell r="AN680">
            <v>203062.99246100005</v>
          </cell>
          <cell r="AO680">
            <v>0</v>
          </cell>
          <cell r="AP680">
            <v>0</v>
          </cell>
          <cell r="AQ680">
            <v>0</v>
          </cell>
          <cell r="AR680">
            <v>38000</v>
          </cell>
          <cell r="AS680">
            <v>126800</v>
          </cell>
          <cell r="AT680">
            <v>0</v>
          </cell>
          <cell r="AU680">
            <v>10000</v>
          </cell>
          <cell r="AV680">
            <v>262012.03999999998</v>
          </cell>
          <cell r="AW680">
            <v>524024.07999999996</v>
          </cell>
          <cell r="AX680">
            <v>262012.03999999998</v>
          </cell>
          <cell r="AY680">
            <v>1425912</v>
          </cell>
          <cell r="AZ680">
            <v>24775292</v>
          </cell>
          <cell r="BA680">
            <v>203062.99246100005</v>
          </cell>
          <cell r="BB680">
            <v>1222848</v>
          </cell>
          <cell r="BC680">
            <v>24978356</v>
          </cell>
        </row>
        <row r="683">
          <cell r="F683" t="str">
            <v>NIK</v>
          </cell>
          <cell r="G683" t="str">
            <v>STATUS</v>
          </cell>
          <cell r="H683" t="str">
            <v>LEVEL</v>
          </cell>
          <cell r="I683" t="str">
            <v>BAGIAN</v>
          </cell>
          <cell r="J683" t="str">
            <v>DB</v>
          </cell>
          <cell r="L683" t="str">
            <v>JOIN</v>
          </cell>
          <cell r="M683" t="str">
            <v>MK</v>
          </cell>
          <cell r="Q683" t="str">
            <v>FIXED SALARY (KESEPAKATAN 2020)</v>
          </cell>
          <cell r="R683" t="str">
            <v>FIXED SALARY (NOVEMBER 2020)</v>
          </cell>
          <cell r="S683" t="str">
            <v>FIXED SALARY (UMSK 2020)</v>
          </cell>
          <cell r="T683" t="str">
            <v>JOB STRUCTURE ALLOWANCE</v>
          </cell>
          <cell r="U683" t="str">
            <v>SKILL ALLOWANCE</v>
          </cell>
          <cell r="V683" t="str">
            <v>PERFORMANCE ALLOWANCE 2020</v>
          </cell>
          <cell r="W683" t="str">
            <v>TOTAL</v>
          </cell>
          <cell r="X683" t="str">
            <v>WORKDAYS</v>
          </cell>
          <cell r="AB683" t="str">
            <v>CEK</v>
          </cell>
          <cell r="AC683" t="str">
            <v xml:space="preserve">SALARY </v>
          </cell>
          <cell r="AD683" t="str">
            <v>SALARY</v>
          </cell>
          <cell r="AE683" t="str">
            <v>TOTAL SALARY (COVID-19)</v>
          </cell>
          <cell r="AF683" t="str">
            <v>POT OFF</v>
          </cell>
          <cell r="AG683" t="str">
            <v>CEK</v>
          </cell>
          <cell r="AH683" t="str">
            <v>CEK</v>
          </cell>
          <cell r="AJ683" t="str">
            <v>BACK PAY ( RAPEL) / INCENTIVE</v>
          </cell>
          <cell r="AK683" t="str">
            <v>TOTAL</v>
          </cell>
          <cell r="AL683" t="str">
            <v>PERHITUNGAN PPh</v>
          </cell>
          <cell r="AN683" t="str">
            <v>TAX</v>
          </cell>
          <cell r="AO683" t="str">
            <v>RETURND</v>
          </cell>
          <cell r="AP683" t="str">
            <v>ABSEN</v>
          </cell>
          <cell r="AR683" t="str">
            <v>DEDUCTION</v>
          </cell>
          <cell r="AV683" t="str">
            <v>BPJS</v>
          </cell>
          <cell r="AW683" t="str">
            <v>BPJS KETENAGAKERJAAN</v>
          </cell>
          <cell r="AY683" t="str">
            <v>TOTAL</v>
          </cell>
          <cell r="AZ683" t="str">
            <v>TOTAL</v>
          </cell>
          <cell r="BA683" t="str">
            <v>INSENTIF</v>
          </cell>
          <cell r="BB683" t="str">
            <v>WITH INSENTIF PPh21</v>
          </cell>
        </row>
        <row r="684">
          <cell r="F684" t="str">
            <v>SAI</v>
          </cell>
          <cell r="G684" t="str">
            <v>KONTRAK</v>
          </cell>
          <cell r="J684" t="str">
            <v>DATEJOIN</v>
          </cell>
          <cell r="K684" t="str">
            <v>CHECK</v>
          </cell>
          <cell r="L684" t="str">
            <v>DATE</v>
          </cell>
          <cell r="M684" t="str">
            <v>YEAR</v>
          </cell>
          <cell r="N684" t="str">
            <v>MONTH</v>
          </cell>
          <cell r="O684" t="str">
            <v>DAY</v>
          </cell>
          <cell r="W684" t="str">
            <v>SALARY</v>
          </cell>
          <cell r="X684" t="str">
            <v>ON</v>
          </cell>
          <cell r="Y684" t="str">
            <v>OFF</v>
          </cell>
          <cell r="Z684" t="str">
            <v>ON</v>
          </cell>
          <cell r="AA684" t="str">
            <v>OFF</v>
          </cell>
          <cell r="AB684" t="str">
            <v>WORKINGDAYS</v>
          </cell>
          <cell r="AC684" t="str">
            <v>PERIODE 25-31 FEB</v>
          </cell>
          <cell r="AD684" t="str">
            <v xml:space="preserve"> PERIODE 1-24 MAR</v>
          </cell>
          <cell r="AK684" t="str">
            <v xml:space="preserve">RECIEVED       </v>
          </cell>
          <cell r="AL684" t="str">
            <v>STATUS</v>
          </cell>
          <cell r="AM684" t="str">
            <v xml:space="preserve">TOTAL    GROSS </v>
          </cell>
          <cell r="AN684">
            <v>21</v>
          </cell>
          <cell r="AO684" t="str">
            <v>TAX JAN 2021</v>
          </cell>
          <cell r="AP684" t="str">
            <v>DAY</v>
          </cell>
          <cell r="AQ684" t="str">
            <v>( Rp )</v>
          </cell>
          <cell r="AR684" t="str">
            <v>UNION</v>
          </cell>
          <cell r="AS684" t="str">
            <v>RAPID TEST</v>
          </cell>
          <cell r="AT684" t="str">
            <v>OTHERS</v>
          </cell>
          <cell r="AU684" t="str">
            <v>KOPERASI</v>
          </cell>
          <cell r="AV684" t="str">
            <v>KESEHATAN</v>
          </cell>
          <cell r="AW684" t="str">
            <v>JHT</v>
          </cell>
          <cell r="AX684" t="str">
            <v>PENSIUN</v>
          </cell>
          <cell r="AY684" t="str">
            <v>DEDUCTION</v>
          </cell>
          <cell r="AZ684" t="str">
            <v>PAID</v>
          </cell>
          <cell r="BA684" t="str">
            <v>PPh21</v>
          </cell>
          <cell r="BB684" t="str">
            <v>TOTAL DEDUCTION</v>
          </cell>
          <cell r="BC684" t="str">
            <v>TOTAL PAID</v>
          </cell>
        </row>
        <row r="685">
          <cell r="F685" t="str">
            <v>230715-001</v>
          </cell>
          <cell r="G685" t="str">
            <v>Tetap</v>
          </cell>
          <cell r="H685" t="str">
            <v>Sect Head</v>
          </cell>
          <cell r="I685" t="str">
            <v>Procurement</v>
          </cell>
          <cell r="J685">
            <v>42208</v>
          </cell>
          <cell r="K685" t="b">
            <v>1</v>
          </cell>
          <cell r="L685">
            <v>42208</v>
          </cell>
          <cell r="M685">
            <v>5</v>
          </cell>
          <cell r="N685">
            <v>10</v>
          </cell>
          <cell r="O685">
            <v>1</v>
          </cell>
          <cell r="Q685">
            <v>5615453</v>
          </cell>
          <cell r="R685">
            <v>5615453</v>
          </cell>
          <cell r="S685">
            <v>5615453</v>
          </cell>
          <cell r="T685">
            <v>1500000</v>
          </cell>
          <cell r="U685">
            <v>0</v>
          </cell>
          <cell r="V685">
            <v>213723</v>
          </cell>
          <cell r="W685">
            <v>7329176</v>
          </cell>
          <cell r="X685">
            <v>5</v>
          </cell>
          <cell r="Z685">
            <v>16</v>
          </cell>
          <cell r="AB685">
            <v>21</v>
          </cell>
          <cell r="AC685">
            <v>1745041.9047619049</v>
          </cell>
          <cell r="AD685">
            <v>5584134.0952380951</v>
          </cell>
          <cell r="AE685">
            <v>7329176</v>
          </cell>
          <cell r="AF685">
            <v>0</v>
          </cell>
          <cell r="AG685">
            <v>7329176</v>
          </cell>
          <cell r="AH685" t="b">
            <v>1</v>
          </cell>
          <cell r="AK685">
            <v>7329176</v>
          </cell>
          <cell r="AL685" t="str">
            <v>TK</v>
          </cell>
          <cell r="AM685">
            <v>7329176</v>
          </cell>
          <cell r="AN685">
            <v>130760.035334</v>
          </cell>
          <cell r="AQ685">
            <v>0</v>
          </cell>
          <cell r="AS685">
            <v>31700</v>
          </cell>
          <cell r="AU685">
            <v>10000</v>
          </cell>
          <cell r="AV685">
            <v>73291.759999999995</v>
          </cell>
          <cell r="AW685">
            <v>146583.51999999999</v>
          </cell>
          <cell r="AX685">
            <v>73291.759999999995</v>
          </cell>
          <cell r="AY685">
            <v>465627</v>
          </cell>
          <cell r="AZ685">
            <v>6863549</v>
          </cell>
          <cell r="BA685">
            <v>130760.035334</v>
          </cell>
          <cell r="BB685">
            <v>334867</v>
          </cell>
          <cell r="BC685">
            <v>6994309</v>
          </cell>
        </row>
        <row r="686">
          <cell r="F686" t="str">
            <v>020719-001</v>
          </cell>
          <cell r="G686" t="str">
            <v>Kontrak 2</v>
          </cell>
          <cell r="H686" t="str">
            <v>Sect Head</v>
          </cell>
          <cell r="I686" t="str">
            <v>Procurement</v>
          </cell>
          <cell r="J686" t="str">
            <v>02 Juli 2019</v>
          </cell>
          <cell r="K686" t="b">
            <v>0</v>
          </cell>
          <cell r="L686">
            <v>43648</v>
          </cell>
          <cell r="M686">
            <v>1</v>
          </cell>
          <cell r="N686">
            <v>10</v>
          </cell>
          <cell r="O686">
            <v>22</v>
          </cell>
          <cell r="Q686">
            <v>7500000</v>
          </cell>
          <cell r="R686">
            <v>7500000</v>
          </cell>
          <cell r="S686">
            <v>7500000</v>
          </cell>
          <cell r="T686">
            <v>1500000</v>
          </cell>
          <cell r="U686">
            <v>0</v>
          </cell>
          <cell r="V686">
            <v>225000</v>
          </cell>
          <cell r="W686">
            <v>9225000</v>
          </cell>
          <cell r="X686">
            <v>5</v>
          </cell>
          <cell r="Z686">
            <v>16</v>
          </cell>
          <cell r="AB686">
            <v>21</v>
          </cell>
          <cell r="AC686">
            <v>2196428.5714285714</v>
          </cell>
          <cell r="AD686">
            <v>7028571.4285714282</v>
          </cell>
          <cell r="AE686">
            <v>9225000</v>
          </cell>
          <cell r="AF686">
            <v>0</v>
          </cell>
          <cell r="AG686">
            <v>9225000</v>
          </cell>
          <cell r="AH686" t="b">
            <v>1</v>
          </cell>
          <cell r="AK686">
            <v>9225000</v>
          </cell>
          <cell r="AL686" t="str">
            <v>K1</v>
          </cell>
          <cell r="AM686">
            <v>9225000</v>
          </cell>
          <cell r="AN686">
            <v>185507.24624999997</v>
          </cell>
          <cell r="AQ686">
            <v>0</v>
          </cell>
          <cell r="AU686">
            <v>10000</v>
          </cell>
          <cell r="AV686">
            <v>92250</v>
          </cell>
          <cell r="AW686">
            <v>184500</v>
          </cell>
          <cell r="AX686">
            <v>87546</v>
          </cell>
          <cell r="AY686">
            <v>559803</v>
          </cell>
          <cell r="AZ686">
            <v>8665197</v>
          </cell>
          <cell r="BA686">
            <v>185507.24624999997</v>
          </cell>
          <cell r="BB686">
            <v>374296</v>
          </cell>
          <cell r="BC686">
            <v>8850704</v>
          </cell>
        </row>
        <row r="687">
          <cell r="F687" t="str">
            <v>110814-001</v>
          </cell>
          <cell r="G687" t="str">
            <v>Tetap</v>
          </cell>
          <cell r="H687" t="str">
            <v>Staff</v>
          </cell>
          <cell r="I687" t="str">
            <v>Procurement</v>
          </cell>
          <cell r="J687">
            <v>41862</v>
          </cell>
          <cell r="K687" t="b">
            <v>1</v>
          </cell>
          <cell r="L687">
            <v>41862</v>
          </cell>
          <cell r="M687">
            <v>6</v>
          </cell>
          <cell r="N687">
            <v>9</v>
          </cell>
          <cell r="O687">
            <v>13</v>
          </cell>
          <cell r="Q687">
            <v>5343082</v>
          </cell>
          <cell r="R687">
            <v>5343083</v>
          </cell>
          <cell r="S687">
            <v>5343083</v>
          </cell>
          <cell r="T687">
            <v>0</v>
          </cell>
          <cell r="U687">
            <v>0</v>
          </cell>
          <cell r="V687">
            <v>160292</v>
          </cell>
          <cell r="W687">
            <v>5503375</v>
          </cell>
          <cell r="X687">
            <v>5</v>
          </cell>
          <cell r="Z687">
            <v>16</v>
          </cell>
          <cell r="AB687">
            <v>21</v>
          </cell>
          <cell r="AC687">
            <v>1310327.3809523808</v>
          </cell>
          <cell r="AD687">
            <v>4193047.6190476189</v>
          </cell>
          <cell r="AE687">
            <v>5503375</v>
          </cell>
          <cell r="AF687">
            <v>0</v>
          </cell>
          <cell r="AG687">
            <v>5503375</v>
          </cell>
          <cell r="AH687" t="b">
            <v>1</v>
          </cell>
          <cell r="AK687">
            <v>5503375</v>
          </cell>
          <cell r="AL687" t="str">
            <v>TK</v>
          </cell>
          <cell r="AM687">
            <v>5503375</v>
          </cell>
          <cell r="AN687">
            <v>42135.198343749966</v>
          </cell>
          <cell r="AQ687">
            <v>0</v>
          </cell>
          <cell r="AR687">
            <v>38000</v>
          </cell>
          <cell r="AS687">
            <v>31700</v>
          </cell>
          <cell r="AU687">
            <v>10000</v>
          </cell>
          <cell r="AV687">
            <v>55033.75</v>
          </cell>
          <cell r="AW687">
            <v>110067.5</v>
          </cell>
          <cell r="AX687">
            <v>55033.75</v>
          </cell>
          <cell r="AY687">
            <v>341970</v>
          </cell>
          <cell r="AZ687">
            <v>5161405</v>
          </cell>
          <cell r="BA687">
            <v>42135.198343749966</v>
          </cell>
          <cell r="BB687">
            <v>299835</v>
          </cell>
          <cell r="BC687">
            <v>5203540</v>
          </cell>
        </row>
        <row r="688">
          <cell r="F688" t="str">
            <v>271117-001</v>
          </cell>
          <cell r="G688" t="str">
            <v>Tetap</v>
          </cell>
          <cell r="H688" t="str">
            <v>Staff</v>
          </cell>
          <cell r="I688" t="str">
            <v>Procurement</v>
          </cell>
          <cell r="J688">
            <v>43066</v>
          </cell>
          <cell r="K688" t="b">
            <v>1</v>
          </cell>
          <cell r="L688">
            <v>43066</v>
          </cell>
          <cell r="M688">
            <v>3</v>
          </cell>
          <cell r="N688">
            <v>5</v>
          </cell>
          <cell r="O688">
            <v>27</v>
          </cell>
          <cell r="Q688">
            <v>4766499</v>
          </cell>
          <cell r="R688">
            <v>4766499</v>
          </cell>
          <cell r="S688">
            <v>4766499</v>
          </cell>
          <cell r="T688">
            <v>0</v>
          </cell>
          <cell r="U688">
            <v>1335300</v>
          </cell>
          <cell r="V688">
            <v>272371</v>
          </cell>
          <cell r="W688">
            <v>6374170</v>
          </cell>
          <cell r="X688">
            <v>5</v>
          </cell>
          <cell r="Z688">
            <v>16</v>
          </cell>
          <cell r="AB688">
            <v>21</v>
          </cell>
          <cell r="AC688">
            <v>1517659.5238095238</v>
          </cell>
          <cell r="AD688">
            <v>4856510.4761904757</v>
          </cell>
          <cell r="AE688">
            <v>6374170</v>
          </cell>
          <cell r="AF688">
            <v>0</v>
          </cell>
          <cell r="AG688">
            <v>6374170</v>
          </cell>
          <cell r="AH688" t="b">
            <v>1</v>
          </cell>
          <cell r="AK688">
            <v>6374170</v>
          </cell>
          <cell r="AL688" t="str">
            <v>TK</v>
          </cell>
          <cell r="AM688">
            <v>6374170</v>
          </cell>
          <cell r="AN688">
            <v>84403.80534250004</v>
          </cell>
          <cell r="AQ688">
            <v>0</v>
          </cell>
          <cell r="AS688">
            <v>31700</v>
          </cell>
          <cell r="AV688">
            <v>63741.700000000004</v>
          </cell>
          <cell r="AW688">
            <v>127483.40000000001</v>
          </cell>
          <cell r="AX688">
            <v>63741.700000000004</v>
          </cell>
          <cell r="AY688">
            <v>371071</v>
          </cell>
          <cell r="AZ688">
            <v>6003099</v>
          </cell>
          <cell r="BA688">
            <v>84403.80534250004</v>
          </cell>
          <cell r="BB688">
            <v>286667</v>
          </cell>
          <cell r="BC688">
            <v>6087503</v>
          </cell>
        </row>
        <row r="689">
          <cell r="F689" t="str">
            <v>220618-001</v>
          </cell>
          <cell r="G689" t="str">
            <v>Pembaharuan</v>
          </cell>
          <cell r="H689" t="str">
            <v>Staff</v>
          </cell>
          <cell r="I689" t="str">
            <v>Procurement</v>
          </cell>
          <cell r="J689">
            <v>43273</v>
          </cell>
          <cell r="K689" t="b">
            <v>1</v>
          </cell>
          <cell r="L689">
            <v>43273</v>
          </cell>
          <cell r="M689">
            <v>2</v>
          </cell>
          <cell r="N689">
            <v>11</v>
          </cell>
          <cell r="O689">
            <v>2</v>
          </cell>
          <cell r="Q689">
            <v>5343082</v>
          </cell>
          <cell r="R689">
            <v>4924046</v>
          </cell>
          <cell r="S689">
            <v>5343083</v>
          </cell>
          <cell r="T689">
            <v>0</v>
          </cell>
          <cell r="U689">
            <v>0</v>
          </cell>
          <cell r="V689">
            <v>0</v>
          </cell>
          <cell r="W689">
            <v>5343083</v>
          </cell>
          <cell r="X689">
            <v>5</v>
          </cell>
          <cell r="Z689">
            <v>16</v>
          </cell>
          <cell r="AB689">
            <v>21</v>
          </cell>
          <cell r="AC689">
            <v>1272162.6190476192</v>
          </cell>
          <cell r="AD689">
            <v>4070920.3809523811</v>
          </cell>
          <cell r="AE689">
            <v>5343083</v>
          </cell>
          <cell r="AF689">
            <v>0</v>
          </cell>
          <cell r="AG689">
            <v>5343083</v>
          </cell>
          <cell r="AH689" t="b">
            <v>1</v>
          </cell>
          <cell r="AK689">
            <v>5343083</v>
          </cell>
          <cell r="AL689" t="str">
            <v>TK</v>
          </cell>
          <cell r="AM689">
            <v>5343083</v>
          </cell>
          <cell r="AN689">
            <v>34354.584590750004</v>
          </cell>
          <cell r="AQ689">
            <v>0</v>
          </cell>
          <cell r="AU689">
            <v>10000</v>
          </cell>
          <cell r="AV689">
            <v>53430.83</v>
          </cell>
          <cell r="AW689">
            <v>106861.66</v>
          </cell>
          <cell r="AX689">
            <v>53430.83</v>
          </cell>
          <cell r="AY689">
            <v>258078</v>
          </cell>
          <cell r="AZ689">
            <v>5085005</v>
          </cell>
          <cell r="BA689">
            <v>34354.584590750004</v>
          </cell>
          <cell r="BB689">
            <v>223723</v>
          </cell>
          <cell r="BC689">
            <v>5119360</v>
          </cell>
        </row>
        <row r="690">
          <cell r="F690" t="str">
            <v>060320-002</v>
          </cell>
          <cell r="G690" t="str">
            <v>Kontrak 2</v>
          </cell>
          <cell r="H690" t="str">
            <v>Staff</v>
          </cell>
          <cell r="I690" t="str">
            <v>Procurement</v>
          </cell>
          <cell r="J690">
            <v>43896</v>
          </cell>
          <cell r="L690">
            <v>43896</v>
          </cell>
          <cell r="M690">
            <v>1</v>
          </cell>
          <cell r="N690">
            <v>2</v>
          </cell>
          <cell r="O690">
            <v>18</v>
          </cell>
          <cell r="Q690">
            <v>5343082</v>
          </cell>
          <cell r="R690">
            <v>4924046</v>
          </cell>
          <cell r="S690">
            <v>5343083</v>
          </cell>
          <cell r="T690">
            <v>0</v>
          </cell>
          <cell r="U690">
            <v>575954</v>
          </cell>
          <cell r="V690">
            <v>0</v>
          </cell>
          <cell r="W690">
            <v>5919037</v>
          </cell>
          <cell r="X690">
            <v>5</v>
          </cell>
          <cell r="Z690">
            <v>16</v>
          </cell>
          <cell r="AB690">
            <v>21</v>
          </cell>
          <cell r="AC690">
            <v>1409294.5238095238</v>
          </cell>
          <cell r="AD690">
            <v>4509742.4761904757</v>
          </cell>
          <cell r="AE690">
            <v>5919037</v>
          </cell>
          <cell r="AF690">
            <v>0</v>
          </cell>
          <cell r="AG690">
            <v>5919037</v>
          </cell>
          <cell r="AH690" t="b">
            <v>1</v>
          </cell>
          <cell r="AK690">
            <v>5919037</v>
          </cell>
          <cell r="AL690" t="str">
            <v>K1</v>
          </cell>
          <cell r="AM690">
            <v>5919037</v>
          </cell>
          <cell r="AN690">
            <v>13565.365439249979</v>
          </cell>
          <cell r="AQ690">
            <v>0</v>
          </cell>
          <cell r="AR690">
            <v>38000</v>
          </cell>
          <cell r="AS690">
            <v>31700</v>
          </cell>
          <cell r="AV690">
            <v>0</v>
          </cell>
          <cell r="AW690">
            <v>118380.74</v>
          </cell>
          <cell r="AX690">
            <v>59190.37</v>
          </cell>
          <cell r="AY690">
            <v>260836</v>
          </cell>
          <cell r="AZ690">
            <v>5658201</v>
          </cell>
          <cell r="BA690">
            <v>13565.365439249979</v>
          </cell>
          <cell r="BB690">
            <v>247271</v>
          </cell>
          <cell r="BC690">
            <v>5671766</v>
          </cell>
        </row>
        <row r="691">
          <cell r="F691" t="str">
            <v>120321-002</v>
          </cell>
          <cell r="G691" t="str">
            <v>Kontrak 1</v>
          </cell>
          <cell r="H691" t="str">
            <v>Staff</v>
          </cell>
          <cell r="I691" t="str">
            <v>Procurement</v>
          </cell>
          <cell r="L691">
            <v>44267</v>
          </cell>
          <cell r="M691">
            <v>0</v>
          </cell>
          <cell r="N691">
            <v>2</v>
          </cell>
          <cell r="O691">
            <v>12</v>
          </cell>
          <cell r="S691">
            <v>5343083</v>
          </cell>
          <cell r="T691">
            <v>0</v>
          </cell>
          <cell r="U691">
            <v>56917</v>
          </cell>
          <cell r="V691">
            <v>0</v>
          </cell>
          <cell r="W691">
            <v>5400000</v>
          </cell>
          <cell r="X691">
            <v>5</v>
          </cell>
          <cell r="Z691">
            <v>16</v>
          </cell>
          <cell r="AB691">
            <v>21</v>
          </cell>
          <cell r="AC691">
            <v>1285714.2857142857</v>
          </cell>
          <cell r="AD691">
            <v>4114285.7142857141</v>
          </cell>
          <cell r="AE691">
            <v>5400000</v>
          </cell>
          <cell r="AF691">
            <v>0</v>
          </cell>
          <cell r="AG691">
            <v>5400000</v>
          </cell>
          <cell r="AH691" t="b">
            <v>1</v>
          </cell>
          <cell r="AK691">
            <v>5400000</v>
          </cell>
          <cell r="AL691" t="str">
            <v>TK</v>
          </cell>
          <cell r="AM691">
            <v>5400000</v>
          </cell>
          <cell r="AN691">
            <v>37117.35</v>
          </cell>
          <cell r="AQ691">
            <v>0</v>
          </cell>
          <cell r="AS691">
            <v>31700</v>
          </cell>
          <cell r="AV691">
            <v>54000</v>
          </cell>
          <cell r="AW691">
            <v>108000</v>
          </cell>
          <cell r="AX691">
            <v>54000</v>
          </cell>
          <cell r="AY691">
            <v>284817</v>
          </cell>
          <cell r="AZ691">
            <v>5115183</v>
          </cell>
          <cell r="BA691">
            <v>37117.35</v>
          </cell>
          <cell r="BB691">
            <v>247700</v>
          </cell>
          <cell r="BC691">
            <v>5152300</v>
          </cell>
        </row>
        <row r="692">
          <cell r="Q692">
            <v>33911198</v>
          </cell>
          <cell r="R692">
            <v>33073127</v>
          </cell>
          <cell r="S692">
            <v>39254284</v>
          </cell>
          <cell r="T692">
            <v>3000000</v>
          </cell>
          <cell r="U692">
            <v>1968171</v>
          </cell>
          <cell r="V692">
            <v>871386</v>
          </cell>
          <cell r="W692">
            <v>45093841</v>
          </cell>
          <cell r="X692">
            <v>35</v>
          </cell>
          <cell r="Y692">
            <v>0</v>
          </cell>
          <cell r="Z692">
            <v>112</v>
          </cell>
          <cell r="AA692">
            <v>0</v>
          </cell>
          <cell r="AB692">
            <v>147</v>
          </cell>
          <cell r="AC692">
            <v>10736628.80952381</v>
          </cell>
          <cell r="AD692">
            <v>34357212.190476194</v>
          </cell>
          <cell r="AE692">
            <v>45093841</v>
          </cell>
          <cell r="AF692">
            <v>0</v>
          </cell>
          <cell r="AG692">
            <v>45093841</v>
          </cell>
          <cell r="AH692">
            <v>0</v>
          </cell>
          <cell r="AJ692">
            <v>0</v>
          </cell>
          <cell r="AK692">
            <v>45093841</v>
          </cell>
          <cell r="AL692">
            <v>0</v>
          </cell>
          <cell r="AM692">
            <v>45093841</v>
          </cell>
          <cell r="AN692">
            <v>527843.58530024998</v>
          </cell>
          <cell r="AO692">
            <v>0</v>
          </cell>
          <cell r="AP692">
            <v>0</v>
          </cell>
          <cell r="AQ692">
            <v>0</v>
          </cell>
          <cell r="AR692">
            <v>76000</v>
          </cell>
          <cell r="AS692">
            <v>158500</v>
          </cell>
          <cell r="AT692">
            <v>0</v>
          </cell>
          <cell r="AU692">
            <v>40000</v>
          </cell>
          <cell r="AV692">
            <v>391748.04000000004</v>
          </cell>
          <cell r="AW692">
            <v>901876.82000000007</v>
          </cell>
          <cell r="AX692">
            <v>446234.41000000003</v>
          </cell>
          <cell r="AY692">
            <v>2542202</v>
          </cell>
          <cell r="AZ692">
            <v>42551639</v>
          </cell>
          <cell r="BA692">
            <v>527843.58530024998</v>
          </cell>
          <cell r="BB692">
            <v>2014359</v>
          </cell>
          <cell r="BC692">
            <v>43079482</v>
          </cell>
        </row>
        <row r="695">
          <cell r="F695" t="str">
            <v>NIK</v>
          </cell>
          <cell r="G695" t="str">
            <v>STATUS</v>
          </cell>
          <cell r="H695" t="str">
            <v>LEVEL</v>
          </cell>
          <cell r="I695" t="str">
            <v>BAGIAN</v>
          </cell>
          <cell r="J695" t="str">
            <v>DB</v>
          </cell>
          <cell r="L695" t="str">
            <v>JOIN</v>
          </cell>
          <cell r="M695" t="str">
            <v>MK</v>
          </cell>
          <cell r="Q695" t="str">
            <v>FIXED SALARY (KESEPAKATAN 2020)</v>
          </cell>
          <cell r="R695" t="str">
            <v>FIXED SALARY (NOVEMBER 2020)</v>
          </cell>
          <cell r="S695" t="str">
            <v>FIXED SALARY (UMSK 2020)</v>
          </cell>
          <cell r="T695" t="str">
            <v>JOB STRUCTURE ALLOWANCE</v>
          </cell>
          <cell r="U695" t="str">
            <v>SKILL ALLOWANCE</v>
          </cell>
          <cell r="V695" t="str">
            <v>PERFORMANCE ALLOWANCE 2020</v>
          </cell>
          <cell r="W695" t="str">
            <v>TOTAL</v>
          </cell>
          <cell r="X695" t="str">
            <v>WORKDAYS</v>
          </cell>
          <cell r="AB695" t="str">
            <v>CEK</v>
          </cell>
          <cell r="AC695" t="str">
            <v xml:space="preserve">SALARY </v>
          </cell>
          <cell r="AD695" t="str">
            <v>SALARY</v>
          </cell>
          <cell r="AE695" t="str">
            <v>TOTAL SALARY (COVID-19)</v>
          </cell>
          <cell r="AF695" t="str">
            <v>POT OFF</v>
          </cell>
          <cell r="AG695" t="str">
            <v>CEK</v>
          </cell>
          <cell r="AH695" t="str">
            <v>CEK</v>
          </cell>
          <cell r="AJ695" t="str">
            <v>BACK PAY ( RAPEL) / INCENTIVE</v>
          </cell>
          <cell r="AK695" t="str">
            <v>TOTAL</v>
          </cell>
          <cell r="AL695" t="str">
            <v>PERHITUNGAN PPh</v>
          </cell>
          <cell r="AN695" t="str">
            <v>TAX</v>
          </cell>
          <cell r="AO695" t="str">
            <v>RETURND</v>
          </cell>
          <cell r="AP695" t="str">
            <v>ABSEN</v>
          </cell>
          <cell r="AR695" t="str">
            <v>DEDUCTION</v>
          </cell>
          <cell r="AV695" t="str">
            <v>BPJS</v>
          </cell>
          <cell r="AW695" t="str">
            <v>BPJS KETENAGAKERJAAN</v>
          </cell>
          <cell r="AY695" t="str">
            <v>TOTAL</v>
          </cell>
          <cell r="AZ695" t="str">
            <v>TOTAL</v>
          </cell>
          <cell r="BA695" t="str">
            <v>INSENTIF</v>
          </cell>
          <cell r="BB695" t="str">
            <v>WITH INSENTIF PPh21</v>
          </cell>
        </row>
        <row r="696">
          <cell r="F696" t="str">
            <v>SAI</v>
          </cell>
          <cell r="G696" t="str">
            <v>KONTRAK</v>
          </cell>
          <cell r="J696" t="str">
            <v>DATEJOIN</v>
          </cell>
          <cell r="K696" t="str">
            <v>CHECK</v>
          </cell>
          <cell r="L696" t="str">
            <v>DATE</v>
          </cell>
          <cell r="M696" t="str">
            <v>YEAR</v>
          </cell>
          <cell r="N696" t="str">
            <v>MONTH</v>
          </cell>
          <cell r="O696" t="str">
            <v>DAY</v>
          </cell>
          <cell r="W696" t="str">
            <v>SALARY</v>
          </cell>
          <cell r="X696" t="str">
            <v>ON</v>
          </cell>
          <cell r="Y696" t="str">
            <v>OFF</v>
          </cell>
          <cell r="Z696" t="str">
            <v>ON</v>
          </cell>
          <cell r="AA696" t="str">
            <v>OFF</v>
          </cell>
          <cell r="AB696" t="str">
            <v>WORKINGDAYS</v>
          </cell>
          <cell r="AC696" t="str">
            <v>PERIODE 25-31 FEB</v>
          </cell>
          <cell r="AD696" t="str">
            <v xml:space="preserve"> PERIODE 1-24 MAR</v>
          </cell>
          <cell r="AK696" t="str">
            <v xml:space="preserve">RECIEVED       </v>
          </cell>
          <cell r="AL696" t="str">
            <v>STATUS</v>
          </cell>
          <cell r="AM696" t="str">
            <v xml:space="preserve">TOTAL    GROSS </v>
          </cell>
          <cell r="AN696">
            <v>21</v>
          </cell>
          <cell r="AO696" t="str">
            <v>TAX JAN 2021</v>
          </cell>
          <cell r="AP696" t="str">
            <v>DAY</v>
          </cell>
          <cell r="AQ696" t="str">
            <v>( Rp )</v>
          </cell>
          <cell r="AR696" t="str">
            <v>UNION</v>
          </cell>
          <cell r="AS696" t="str">
            <v>RAPID TEST</v>
          </cell>
          <cell r="AT696" t="str">
            <v>OTHERS</v>
          </cell>
          <cell r="AU696" t="str">
            <v>KOPERASI</v>
          </cell>
          <cell r="AV696" t="str">
            <v>KESEHATAN</v>
          </cell>
          <cell r="AW696" t="str">
            <v>JHT</v>
          </cell>
          <cell r="AX696" t="str">
            <v>PENSIUN</v>
          </cell>
          <cell r="AY696" t="str">
            <v>DEDUCTION</v>
          </cell>
          <cell r="AZ696" t="str">
            <v>PAID</v>
          </cell>
          <cell r="BA696" t="str">
            <v>PPh21</v>
          </cell>
          <cell r="BB696" t="str">
            <v>TOTAL DEDUCTION</v>
          </cell>
          <cell r="BC696" t="str">
            <v>TOTAL PAID</v>
          </cell>
        </row>
        <row r="697">
          <cell r="F697" t="str">
            <v>250817-001</v>
          </cell>
          <cell r="G697" t="str">
            <v>Tetap</v>
          </cell>
          <cell r="H697" t="str">
            <v>Specialist</v>
          </cell>
          <cell r="I697" t="str">
            <v>SQEMS</v>
          </cell>
          <cell r="J697">
            <v>42972</v>
          </cell>
          <cell r="K697" t="b">
            <v>1</v>
          </cell>
          <cell r="L697">
            <v>42972</v>
          </cell>
          <cell r="M697">
            <v>3</v>
          </cell>
          <cell r="N697">
            <v>8</v>
          </cell>
          <cell r="O697">
            <v>29</v>
          </cell>
          <cell r="Q697">
            <v>5500000</v>
          </cell>
          <cell r="R697">
            <v>5500000</v>
          </cell>
          <cell r="S697">
            <v>5500000</v>
          </cell>
          <cell r="T697">
            <v>1000000</v>
          </cell>
          <cell r="U697">
            <v>300000</v>
          </cell>
          <cell r="V697">
            <v>100000</v>
          </cell>
          <cell r="W697">
            <v>6900000</v>
          </cell>
          <cell r="X697">
            <v>5</v>
          </cell>
          <cell r="Z697">
            <v>16</v>
          </cell>
          <cell r="AB697">
            <v>21</v>
          </cell>
          <cell r="AC697">
            <v>1642857.142857143</v>
          </cell>
          <cell r="AD697">
            <v>5257142.8571428573</v>
          </cell>
          <cell r="AE697">
            <v>6900000</v>
          </cell>
          <cell r="AF697">
            <v>0</v>
          </cell>
          <cell r="AG697">
            <v>6900000</v>
          </cell>
          <cell r="AH697" t="b">
            <v>1</v>
          </cell>
          <cell r="AK697">
            <v>6900000</v>
          </cell>
          <cell r="AL697" t="str">
            <v>K2</v>
          </cell>
          <cell r="AM697">
            <v>6900000</v>
          </cell>
          <cell r="AN697">
            <v>52917.725000000006</v>
          </cell>
          <cell r="AQ697">
            <v>0</v>
          </cell>
          <cell r="AR697">
            <v>38000</v>
          </cell>
          <cell r="AS697">
            <v>31700</v>
          </cell>
          <cell r="AU697">
            <v>10000</v>
          </cell>
          <cell r="AV697">
            <v>65000</v>
          </cell>
          <cell r="AW697">
            <v>138000</v>
          </cell>
          <cell r="AX697">
            <v>69000</v>
          </cell>
          <cell r="AY697">
            <v>404618</v>
          </cell>
          <cell r="AZ697">
            <v>6495382</v>
          </cell>
          <cell r="BA697">
            <v>52917.725000000006</v>
          </cell>
          <cell r="BB697">
            <v>351700</v>
          </cell>
          <cell r="BC697">
            <v>6548300</v>
          </cell>
        </row>
        <row r="698">
          <cell r="F698" t="str">
            <v>050421-001</v>
          </cell>
          <cell r="G698" t="str">
            <v>Kontrak 1</v>
          </cell>
          <cell r="H698" t="str">
            <v>Specialist</v>
          </cell>
          <cell r="I698" t="str">
            <v>SQEMS</v>
          </cell>
          <cell r="L698">
            <v>44291</v>
          </cell>
          <cell r="M698">
            <v>0</v>
          </cell>
          <cell r="N698">
            <v>1</v>
          </cell>
          <cell r="O698">
            <v>19</v>
          </cell>
          <cell r="S698">
            <v>5250000</v>
          </cell>
          <cell r="T698">
            <v>1000000</v>
          </cell>
          <cell r="U698">
            <v>0</v>
          </cell>
          <cell r="V698">
            <v>0</v>
          </cell>
          <cell r="W698">
            <v>6250000</v>
          </cell>
          <cell r="X698">
            <v>5</v>
          </cell>
          <cell r="Z698">
            <v>16</v>
          </cell>
          <cell r="AB698">
            <v>21</v>
          </cell>
          <cell r="AC698">
            <v>1488095.2380952381</v>
          </cell>
          <cell r="AD698">
            <v>4761904.7619047621</v>
          </cell>
          <cell r="AE698">
            <v>6250000</v>
          </cell>
          <cell r="AF698">
            <v>0</v>
          </cell>
          <cell r="AG698">
            <v>6250000</v>
          </cell>
          <cell r="AH698" t="b">
            <v>1</v>
          </cell>
          <cell r="AK698">
            <v>6250000</v>
          </cell>
          <cell r="AL698" t="str">
            <v>TK</v>
          </cell>
          <cell r="AM698">
            <v>6250000</v>
          </cell>
          <cell r="AN698">
            <v>78376.5625</v>
          </cell>
          <cell r="AQ698">
            <v>0</v>
          </cell>
          <cell r="AR698">
            <v>38000</v>
          </cell>
          <cell r="AS698">
            <v>31700</v>
          </cell>
          <cell r="AV698">
            <v>62500</v>
          </cell>
          <cell r="AW698">
            <v>125000</v>
          </cell>
          <cell r="AX698">
            <v>62500</v>
          </cell>
          <cell r="AY698">
            <v>398077</v>
          </cell>
          <cell r="AZ698">
            <v>5851923</v>
          </cell>
          <cell r="BA698">
            <v>78376.5625</v>
          </cell>
          <cell r="BB698">
            <v>319700</v>
          </cell>
          <cell r="BC698">
            <v>5930300</v>
          </cell>
        </row>
        <row r="699">
          <cell r="F699" t="str">
            <v>040814-382</v>
          </cell>
          <cell r="G699" t="str">
            <v>Tetap</v>
          </cell>
          <cell r="H699" t="str">
            <v>Leader</v>
          </cell>
          <cell r="I699" t="str">
            <v>SQEMS</v>
          </cell>
          <cell r="J699">
            <v>41855</v>
          </cell>
          <cell r="K699" t="b">
            <v>1</v>
          </cell>
          <cell r="L699">
            <v>41855</v>
          </cell>
          <cell r="M699">
            <v>6</v>
          </cell>
          <cell r="N699">
            <v>9</v>
          </cell>
          <cell r="O699">
            <v>20</v>
          </cell>
          <cell r="Q699">
            <v>5343082</v>
          </cell>
          <cell r="R699">
            <v>4924046</v>
          </cell>
          <cell r="S699">
            <v>5343083</v>
          </cell>
          <cell r="T699">
            <v>500000</v>
          </cell>
          <cell r="U699">
            <v>0</v>
          </cell>
          <cell r="V699">
            <v>0</v>
          </cell>
          <cell r="W699">
            <v>5843083</v>
          </cell>
          <cell r="X699">
            <v>5</v>
          </cell>
          <cell r="Z699">
            <v>16</v>
          </cell>
          <cell r="AB699">
            <v>21</v>
          </cell>
          <cell r="AC699">
            <v>1391210.2380952381</v>
          </cell>
          <cell r="AD699">
            <v>4451872.7619047621</v>
          </cell>
          <cell r="AE699">
            <v>5843083</v>
          </cell>
          <cell r="AF699">
            <v>0</v>
          </cell>
          <cell r="AG699">
            <v>5843083</v>
          </cell>
          <cell r="AH699" t="b">
            <v>1</v>
          </cell>
          <cell r="AK699">
            <v>5843083</v>
          </cell>
          <cell r="AL699" t="str">
            <v>K3</v>
          </cell>
          <cell r="AM699">
            <v>5843083</v>
          </cell>
          <cell r="AN699">
            <v>0</v>
          </cell>
          <cell r="AQ699">
            <v>0</v>
          </cell>
          <cell r="AR699">
            <v>38000</v>
          </cell>
          <cell r="AS699">
            <v>31700</v>
          </cell>
          <cell r="AU699">
            <v>10000</v>
          </cell>
          <cell r="AV699">
            <v>58430.83</v>
          </cell>
          <cell r="AW699">
            <v>116861.66</v>
          </cell>
          <cell r="AX699">
            <v>58430.83</v>
          </cell>
          <cell r="AY699">
            <v>313423</v>
          </cell>
          <cell r="AZ699">
            <v>5529660</v>
          </cell>
          <cell r="BA699">
            <v>0</v>
          </cell>
          <cell r="BB699">
            <v>313423</v>
          </cell>
          <cell r="BC699">
            <v>5529660</v>
          </cell>
        </row>
        <row r="700">
          <cell r="F700" t="str">
            <v>121020-002</v>
          </cell>
          <cell r="G700" t="str">
            <v>Kontrak 1</v>
          </cell>
          <cell r="H700" t="str">
            <v>Specialist</v>
          </cell>
          <cell r="I700" t="str">
            <v>SQEMS</v>
          </cell>
          <cell r="J700">
            <v>44116</v>
          </cell>
          <cell r="L700">
            <v>44116</v>
          </cell>
          <cell r="M700">
            <v>0</v>
          </cell>
          <cell r="N700">
            <v>7</v>
          </cell>
          <cell r="O700">
            <v>12</v>
          </cell>
          <cell r="Q700">
            <v>5000000</v>
          </cell>
          <cell r="R700">
            <v>5000000</v>
          </cell>
          <cell r="S700">
            <v>5000000</v>
          </cell>
          <cell r="T700">
            <v>1000000</v>
          </cell>
          <cell r="U700">
            <v>0</v>
          </cell>
          <cell r="V700">
            <v>0</v>
          </cell>
          <cell r="W700">
            <v>6000000</v>
          </cell>
          <cell r="X700">
            <v>5</v>
          </cell>
          <cell r="Z700">
            <v>16</v>
          </cell>
          <cell r="AB700">
            <v>21</v>
          </cell>
          <cell r="AC700">
            <v>1428571.4285714286</v>
          </cell>
          <cell r="AD700">
            <v>4571428.5714285718</v>
          </cell>
          <cell r="AE700">
            <v>6000000</v>
          </cell>
          <cell r="AF700">
            <v>0</v>
          </cell>
          <cell r="AG700">
            <v>6000000</v>
          </cell>
          <cell r="AH700" t="b">
            <v>1</v>
          </cell>
          <cell r="AK700">
            <v>6000000</v>
          </cell>
          <cell r="AL700" t="str">
            <v>TK</v>
          </cell>
          <cell r="AM700">
            <v>6000000</v>
          </cell>
          <cell r="AN700">
            <v>66241.5</v>
          </cell>
          <cell r="AQ700">
            <v>0</v>
          </cell>
          <cell r="AV700">
            <v>60000</v>
          </cell>
          <cell r="AW700">
            <v>120000</v>
          </cell>
          <cell r="AX700">
            <v>60000</v>
          </cell>
          <cell r="AY700">
            <v>306242</v>
          </cell>
          <cell r="AZ700">
            <v>5693758</v>
          </cell>
          <cell r="BA700">
            <v>66241.5</v>
          </cell>
          <cell r="BB700">
            <v>240000</v>
          </cell>
          <cell r="BC700">
            <v>5760000</v>
          </cell>
        </row>
        <row r="701">
          <cell r="Q701">
            <v>15843082</v>
          </cell>
          <cell r="R701">
            <v>15424046</v>
          </cell>
          <cell r="S701">
            <v>21093083</v>
          </cell>
          <cell r="T701">
            <v>3500000</v>
          </cell>
          <cell r="U701">
            <v>300000</v>
          </cell>
          <cell r="V701">
            <v>100000</v>
          </cell>
          <cell r="W701">
            <v>24993083</v>
          </cell>
          <cell r="X701">
            <v>20</v>
          </cell>
          <cell r="Y701">
            <v>0</v>
          </cell>
          <cell r="Z701">
            <v>64</v>
          </cell>
          <cell r="AA701">
            <v>0</v>
          </cell>
          <cell r="AB701">
            <v>84</v>
          </cell>
          <cell r="AC701">
            <v>5950734.0476190485</v>
          </cell>
          <cell r="AD701">
            <v>19042348.952380951</v>
          </cell>
          <cell r="AE701">
            <v>24993083</v>
          </cell>
          <cell r="AF701">
            <v>0</v>
          </cell>
          <cell r="AG701">
            <v>24993083</v>
          </cell>
          <cell r="AH701">
            <v>0</v>
          </cell>
          <cell r="AJ701">
            <v>0</v>
          </cell>
          <cell r="AK701">
            <v>24993083</v>
          </cell>
          <cell r="AL701">
            <v>0</v>
          </cell>
          <cell r="AM701">
            <v>24993083</v>
          </cell>
          <cell r="AN701">
            <v>197535.78750000001</v>
          </cell>
          <cell r="AO701">
            <v>0</v>
          </cell>
          <cell r="AP701">
            <v>0</v>
          </cell>
          <cell r="AQ701">
            <v>0</v>
          </cell>
          <cell r="AR701">
            <v>114000</v>
          </cell>
          <cell r="AS701">
            <v>95100</v>
          </cell>
          <cell r="AT701">
            <v>0</v>
          </cell>
          <cell r="AU701">
            <v>20000</v>
          </cell>
          <cell r="AV701">
            <v>245930.83000000002</v>
          </cell>
          <cell r="AW701">
            <v>499861.66000000003</v>
          </cell>
          <cell r="AX701">
            <v>249930.83000000002</v>
          </cell>
          <cell r="AY701">
            <v>1422360</v>
          </cell>
          <cell r="AZ701">
            <v>23570723</v>
          </cell>
          <cell r="BA701">
            <v>197535.78750000001</v>
          </cell>
          <cell r="BB701">
            <v>1224823</v>
          </cell>
          <cell r="BC701">
            <v>23768260</v>
          </cell>
        </row>
        <row r="704">
          <cell r="F704" t="str">
            <v>NIK</v>
          </cell>
          <cell r="G704" t="str">
            <v>STATUS</v>
          </cell>
          <cell r="H704" t="str">
            <v>LEVEL</v>
          </cell>
          <cell r="I704" t="str">
            <v>BAGIAN</v>
          </cell>
          <cell r="J704" t="str">
            <v>DB</v>
          </cell>
          <cell r="L704" t="str">
            <v>JOIN</v>
          </cell>
          <cell r="M704" t="str">
            <v>MK</v>
          </cell>
          <cell r="Q704" t="str">
            <v>FIXED SALARY (KESEPAKATAN 2020)</v>
          </cell>
          <cell r="R704" t="str">
            <v>FIXED SALARY (NOVEMBER 2020)</v>
          </cell>
          <cell r="S704" t="str">
            <v>FIXED SALARY (UMSK 2020)</v>
          </cell>
          <cell r="T704" t="str">
            <v>JOB STRUCTURE ALLOWANCE</v>
          </cell>
          <cell r="U704" t="str">
            <v>SKILL ALLOWANCE</v>
          </cell>
          <cell r="V704" t="str">
            <v>PERFORMANCE ALLOWANCE 2020</v>
          </cell>
          <cell r="W704" t="str">
            <v>TOTAL</v>
          </cell>
          <cell r="X704" t="str">
            <v>WORKDAYS</v>
          </cell>
          <cell r="AB704" t="str">
            <v>CEK</v>
          </cell>
          <cell r="AC704" t="str">
            <v xml:space="preserve">SALARY </v>
          </cell>
          <cell r="AD704" t="str">
            <v>SALARY</v>
          </cell>
          <cell r="AE704" t="str">
            <v>TOTAL SALARY (COVID-19)</v>
          </cell>
          <cell r="AF704" t="str">
            <v>POT OFF</v>
          </cell>
          <cell r="AG704" t="str">
            <v>CEK</v>
          </cell>
          <cell r="AH704" t="str">
            <v>CEK</v>
          </cell>
          <cell r="AJ704" t="str">
            <v>BACK PAY ( RAPEL) / INCENTIVE</v>
          </cell>
          <cell r="AK704" t="str">
            <v>TOTAL</v>
          </cell>
          <cell r="AL704" t="str">
            <v>PERHITUNGAN PPh</v>
          </cell>
          <cell r="AN704" t="str">
            <v>TAX</v>
          </cell>
          <cell r="AO704" t="str">
            <v>RETURND</v>
          </cell>
          <cell r="AP704" t="str">
            <v>ABSEN</v>
          </cell>
          <cell r="AR704" t="str">
            <v>DEDUCTION</v>
          </cell>
          <cell r="AV704" t="str">
            <v>BPJS</v>
          </cell>
          <cell r="AW704" t="str">
            <v>BPJS KETENAGAKERJAAN</v>
          </cell>
          <cell r="AY704" t="str">
            <v>TOTAL</v>
          </cell>
          <cell r="AZ704" t="str">
            <v>TOTAL</v>
          </cell>
          <cell r="BA704" t="str">
            <v>INSENTIF</v>
          </cell>
          <cell r="BB704" t="str">
            <v>WITH INSENTIF PPh21</v>
          </cell>
        </row>
        <row r="705">
          <cell r="F705" t="str">
            <v>SAI</v>
          </cell>
          <cell r="G705" t="str">
            <v>KONTRAK</v>
          </cell>
          <cell r="J705" t="str">
            <v>DATEJOIN</v>
          </cell>
          <cell r="K705" t="str">
            <v>CHECK</v>
          </cell>
          <cell r="L705" t="str">
            <v>DATE</v>
          </cell>
          <cell r="M705" t="str">
            <v>YEAR</v>
          </cell>
          <cell r="N705" t="str">
            <v>MONTH</v>
          </cell>
          <cell r="O705" t="str">
            <v>DAY</v>
          </cell>
          <cell r="W705" t="str">
            <v>SALARY</v>
          </cell>
          <cell r="X705" t="str">
            <v>ON</v>
          </cell>
          <cell r="Y705" t="str">
            <v>OFF</v>
          </cell>
          <cell r="Z705" t="str">
            <v>ON</v>
          </cell>
          <cell r="AA705" t="str">
            <v>OFF</v>
          </cell>
          <cell r="AB705" t="str">
            <v>WORKINGDAYS</v>
          </cell>
          <cell r="AC705" t="str">
            <v>PERIODE 25-31 FEB</v>
          </cell>
          <cell r="AD705" t="str">
            <v xml:space="preserve"> PERIODE 1-24 MAR</v>
          </cell>
          <cell r="AK705" t="str">
            <v xml:space="preserve">RECIEVED       </v>
          </cell>
          <cell r="AL705" t="str">
            <v>STATUS</v>
          </cell>
          <cell r="AM705" t="str">
            <v xml:space="preserve">TOTAL    GROSS </v>
          </cell>
          <cell r="AN705">
            <v>21</v>
          </cell>
          <cell r="AO705" t="str">
            <v>TAX JAN 2021</v>
          </cell>
          <cell r="AP705" t="str">
            <v>DAY</v>
          </cell>
          <cell r="AQ705" t="str">
            <v>( Rp )</v>
          </cell>
          <cell r="AR705" t="str">
            <v>UNION</v>
          </cell>
          <cell r="AS705" t="str">
            <v>RAPID TEST</v>
          </cell>
          <cell r="AT705" t="str">
            <v>OTHERS</v>
          </cell>
          <cell r="AU705" t="str">
            <v>KOPERASI</v>
          </cell>
          <cell r="AV705" t="str">
            <v>KESEHATAN</v>
          </cell>
          <cell r="AW705" t="str">
            <v>JHT</v>
          </cell>
          <cell r="AX705" t="str">
            <v>PENSIUN</v>
          </cell>
          <cell r="AY705" t="str">
            <v>DEDUCTION</v>
          </cell>
          <cell r="AZ705" t="str">
            <v>PAID</v>
          </cell>
          <cell r="BA705" t="str">
            <v>PPh21</v>
          </cell>
          <cell r="BB705" t="str">
            <v>TOTAL DEDUCTION</v>
          </cell>
          <cell r="BC705" t="str">
            <v>TOTAL PAID</v>
          </cell>
        </row>
        <row r="706">
          <cell r="F706" t="str">
            <v>040814-512</v>
          </cell>
          <cell r="G706" t="str">
            <v>Tetap</v>
          </cell>
          <cell r="H706" t="str">
            <v>Sect Head</v>
          </cell>
          <cell r="I706" t="str">
            <v>HR &amp; GA</v>
          </cell>
          <cell r="J706">
            <v>41855</v>
          </cell>
          <cell r="K706" t="b">
            <v>1</v>
          </cell>
          <cell r="L706">
            <v>41855</v>
          </cell>
          <cell r="M706">
            <v>6</v>
          </cell>
          <cell r="N706">
            <v>9</v>
          </cell>
          <cell r="O706">
            <v>20</v>
          </cell>
          <cell r="Q706">
            <v>5445000</v>
          </cell>
          <cell r="R706">
            <v>5445000</v>
          </cell>
          <cell r="S706">
            <v>5445000</v>
          </cell>
          <cell r="T706">
            <v>1500000</v>
          </cell>
          <cell r="U706">
            <v>0</v>
          </cell>
          <cell r="V706">
            <v>259750</v>
          </cell>
          <cell r="W706">
            <v>7204750</v>
          </cell>
          <cell r="X706">
            <v>5</v>
          </cell>
          <cell r="Z706">
            <v>16</v>
          </cell>
          <cell r="AB706">
            <v>21</v>
          </cell>
          <cell r="AC706">
            <v>1715416.6666666665</v>
          </cell>
          <cell r="AD706">
            <v>5489333.333333333</v>
          </cell>
          <cell r="AE706">
            <v>7204750</v>
          </cell>
          <cell r="AF706">
            <v>0</v>
          </cell>
          <cell r="AG706">
            <v>7204750</v>
          </cell>
          <cell r="AH706" t="b">
            <v>1</v>
          </cell>
          <cell r="AK706">
            <v>7204750</v>
          </cell>
          <cell r="AL706" t="str">
            <v>K3</v>
          </cell>
          <cell r="AM706">
            <v>7204750</v>
          </cell>
          <cell r="AN706">
            <v>49720.366187500018</v>
          </cell>
          <cell r="AQ706">
            <v>0</v>
          </cell>
          <cell r="AR706">
            <v>38000</v>
          </cell>
          <cell r="AS706">
            <v>31700</v>
          </cell>
          <cell r="AU706">
            <v>10000</v>
          </cell>
          <cell r="AV706">
            <v>72047.5</v>
          </cell>
          <cell r="AW706">
            <v>144095</v>
          </cell>
          <cell r="AX706">
            <v>72047.5</v>
          </cell>
          <cell r="AY706">
            <v>417610</v>
          </cell>
          <cell r="AZ706">
            <v>6787140</v>
          </cell>
          <cell r="BA706">
            <v>49720.366187500018</v>
          </cell>
          <cell r="BB706">
            <v>367890</v>
          </cell>
          <cell r="BC706">
            <v>6836860</v>
          </cell>
        </row>
        <row r="707">
          <cell r="F707" t="str">
            <v>250714-013</v>
          </cell>
          <cell r="G707" t="str">
            <v>Tetap</v>
          </cell>
          <cell r="H707" t="str">
            <v>Sect Head</v>
          </cell>
          <cell r="I707" t="str">
            <v>HR &amp; GA</v>
          </cell>
          <cell r="J707">
            <v>41845</v>
          </cell>
          <cell r="K707" t="b">
            <v>1</v>
          </cell>
          <cell r="L707">
            <v>41845</v>
          </cell>
          <cell r="M707">
            <v>6</v>
          </cell>
          <cell r="N707">
            <v>9</v>
          </cell>
          <cell r="O707">
            <v>29</v>
          </cell>
          <cell r="Q707">
            <v>5343082</v>
          </cell>
          <cell r="R707">
            <v>5343083</v>
          </cell>
          <cell r="S707">
            <v>5343083</v>
          </cell>
          <cell r="T707">
            <v>1500000</v>
          </cell>
          <cell r="U707">
            <v>0</v>
          </cell>
          <cell r="V707">
            <v>250000</v>
          </cell>
          <cell r="W707">
            <v>7093083</v>
          </cell>
          <cell r="X707">
            <v>5</v>
          </cell>
          <cell r="Z707">
            <v>16</v>
          </cell>
          <cell r="AB707">
            <v>21</v>
          </cell>
          <cell r="AC707">
            <v>1688829.2857142859</v>
          </cell>
          <cell r="AD707">
            <v>5404253.7142857146</v>
          </cell>
          <cell r="AE707">
            <v>7093083</v>
          </cell>
          <cell r="AF707">
            <v>0</v>
          </cell>
          <cell r="AG707">
            <v>7093083</v>
          </cell>
          <cell r="AH707" t="b">
            <v>1</v>
          </cell>
          <cell r="AK707">
            <v>7093083</v>
          </cell>
          <cell r="AL707" t="str">
            <v>TK</v>
          </cell>
          <cell r="AM707">
            <v>7093083</v>
          </cell>
          <cell r="AN707">
            <v>119300.02209074995</v>
          </cell>
          <cell r="AQ707">
            <v>0</v>
          </cell>
          <cell r="AR707">
            <v>38000</v>
          </cell>
          <cell r="AS707">
            <v>31700</v>
          </cell>
          <cell r="AU707">
            <v>10000</v>
          </cell>
          <cell r="AV707">
            <v>70930.83</v>
          </cell>
          <cell r="AW707">
            <v>141861.66</v>
          </cell>
          <cell r="AX707">
            <v>70930.83</v>
          </cell>
          <cell r="AY707">
            <v>482723</v>
          </cell>
          <cell r="AZ707">
            <v>6610360</v>
          </cell>
          <cell r="BA707">
            <v>119300.02209074995</v>
          </cell>
          <cell r="BB707">
            <v>363423</v>
          </cell>
          <cell r="BC707">
            <v>6729660</v>
          </cell>
        </row>
        <row r="708">
          <cell r="F708" t="str">
            <v>250714-015</v>
          </cell>
          <cell r="G708" t="str">
            <v>Tetap</v>
          </cell>
          <cell r="H708" t="str">
            <v>Officer</v>
          </cell>
          <cell r="I708" t="str">
            <v>HR &amp; GA</v>
          </cell>
          <cell r="J708">
            <v>41845</v>
          </cell>
          <cell r="K708" t="b">
            <v>1</v>
          </cell>
          <cell r="L708">
            <v>41845</v>
          </cell>
          <cell r="M708">
            <v>6</v>
          </cell>
          <cell r="N708">
            <v>9</v>
          </cell>
          <cell r="O708">
            <v>29</v>
          </cell>
          <cell r="Q708">
            <v>5049394</v>
          </cell>
          <cell r="R708">
            <v>5049394</v>
          </cell>
          <cell r="S708">
            <v>5049394</v>
          </cell>
          <cell r="T708">
            <v>0</v>
          </cell>
          <cell r="U708">
            <v>585300</v>
          </cell>
          <cell r="V708">
            <v>238851</v>
          </cell>
          <cell r="W708">
            <v>5873545</v>
          </cell>
          <cell r="X708">
            <v>5</v>
          </cell>
          <cell r="Z708">
            <v>16</v>
          </cell>
          <cell r="AB708">
            <v>21</v>
          </cell>
          <cell r="AC708">
            <v>1398463.0952380951</v>
          </cell>
          <cell r="AD708">
            <v>4475081.9047619049</v>
          </cell>
          <cell r="AE708">
            <v>5873545</v>
          </cell>
          <cell r="AF708">
            <v>0</v>
          </cell>
          <cell r="AG708">
            <v>5873545</v>
          </cell>
          <cell r="AH708" t="b">
            <v>1</v>
          </cell>
          <cell r="AK708">
            <v>5873545</v>
          </cell>
          <cell r="AL708" t="str">
            <v>K1</v>
          </cell>
          <cell r="AM708">
            <v>5873545</v>
          </cell>
          <cell r="AN708">
            <v>22603.342686250002</v>
          </cell>
          <cell r="AQ708">
            <v>0</v>
          </cell>
          <cell r="AR708">
            <v>38000</v>
          </cell>
          <cell r="AS708">
            <v>31700</v>
          </cell>
          <cell r="AU708">
            <v>10000</v>
          </cell>
          <cell r="AV708">
            <v>58735.450000000004</v>
          </cell>
          <cell r="AW708">
            <v>117470.90000000001</v>
          </cell>
          <cell r="AX708">
            <v>58735.450000000004</v>
          </cell>
          <cell r="AY708">
            <v>337245</v>
          </cell>
          <cell r="AZ708">
            <v>5536300</v>
          </cell>
          <cell r="BA708">
            <v>22603.342686250002</v>
          </cell>
          <cell r="BB708">
            <v>314642</v>
          </cell>
          <cell r="BC708">
            <v>5558903</v>
          </cell>
        </row>
        <row r="709">
          <cell r="F709" t="str">
            <v>030119-002</v>
          </cell>
          <cell r="G709" t="str">
            <v>Kontrak 2</v>
          </cell>
          <cell r="H709" t="str">
            <v>Officer</v>
          </cell>
          <cell r="I709" t="str">
            <v>HR &amp; GA</v>
          </cell>
          <cell r="J709">
            <v>43468</v>
          </cell>
          <cell r="K709" t="b">
            <v>1</v>
          </cell>
          <cell r="L709">
            <v>43468</v>
          </cell>
          <cell r="M709">
            <v>2</v>
          </cell>
          <cell r="N709">
            <v>4</v>
          </cell>
          <cell r="O709">
            <v>21</v>
          </cell>
          <cell r="Q709">
            <v>5343082</v>
          </cell>
          <cell r="R709">
            <v>4924046</v>
          </cell>
          <cell r="S709">
            <v>5343083</v>
          </cell>
          <cell r="T709">
            <v>0</v>
          </cell>
          <cell r="U709">
            <v>575954</v>
          </cell>
          <cell r="V709">
            <v>0</v>
          </cell>
          <cell r="W709">
            <v>5919037</v>
          </cell>
          <cell r="X709">
            <v>5</v>
          </cell>
          <cell r="Z709">
            <v>16</v>
          </cell>
          <cell r="AB709">
            <v>21</v>
          </cell>
          <cell r="AC709">
            <v>1409294.5238095238</v>
          </cell>
          <cell r="AD709">
            <v>4509742.4761904757</v>
          </cell>
          <cell r="AE709">
            <v>5919037</v>
          </cell>
          <cell r="AF709">
            <v>0</v>
          </cell>
          <cell r="AG709">
            <v>5919037</v>
          </cell>
          <cell r="AH709" t="b">
            <v>1</v>
          </cell>
          <cell r="AK709">
            <v>5919037</v>
          </cell>
          <cell r="AL709" t="str">
            <v>TK</v>
          </cell>
          <cell r="AM709">
            <v>5919037</v>
          </cell>
          <cell r="AN709">
            <v>62311.535739249986</v>
          </cell>
          <cell r="AQ709">
            <v>0</v>
          </cell>
          <cell r="AS709">
            <v>31700</v>
          </cell>
          <cell r="AV709">
            <v>59190.37</v>
          </cell>
          <cell r="AW709">
            <v>118380.74</v>
          </cell>
          <cell r="AX709">
            <v>59190.37</v>
          </cell>
          <cell r="AY709">
            <v>330773</v>
          </cell>
          <cell r="AZ709">
            <v>5588264</v>
          </cell>
          <cell r="BA709">
            <v>62311.535739249986</v>
          </cell>
          <cell r="BB709">
            <v>268461</v>
          </cell>
          <cell r="BC709">
            <v>5650576</v>
          </cell>
        </row>
        <row r="710">
          <cell r="F710" t="str">
            <v>210119-001</v>
          </cell>
          <cell r="G710" t="str">
            <v>Kontrak 2</v>
          </cell>
          <cell r="H710" t="str">
            <v>Staff</v>
          </cell>
          <cell r="I710" t="str">
            <v>HR &amp; GA</v>
          </cell>
          <cell r="J710">
            <v>43486</v>
          </cell>
          <cell r="K710" t="b">
            <v>1</v>
          </cell>
          <cell r="L710">
            <v>43486</v>
          </cell>
          <cell r="M710">
            <v>2</v>
          </cell>
          <cell r="N710">
            <v>4</v>
          </cell>
          <cell r="O710">
            <v>3</v>
          </cell>
          <cell r="Q710">
            <v>5343082</v>
          </cell>
          <cell r="R710">
            <v>4924046</v>
          </cell>
          <cell r="S710">
            <v>5343083</v>
          </cell>
          <cell r="T710">
            <v>0</v>
          </cell>
          <cell r="U710">
            <v>0</v>
          </cell>
          <cell r="V710">
            <v>0</v>
          </cell>
          <cell r="W710">
            <v>5343083</v>
          </cell>
          <cell r="X710">
            <v>5</v>
          </cell>
          <cell r="Z710">
            <v>16</v>
          </cell>
          <cell r="AB710">
            <v>21</v>
          </cell>
          <cell r="AC710">
            <v>1272162.6190476192</v>
          </cell>
          <cell r="AD710">
            <v>4070920.3809523811</v>
          </cell>
          <cell r="AE710">
            <v>5343083</v>
          </cell>
          <cell r="AF710">
            <v>0</v>
          </cell>
          <cell r="AG710">
            <v>5343083</v>
          </cell>
          <cell r="AH710" t="b">
            <v>1</v>
          </cell>
          <cell r="AK710">
            <v>5343083</v>
          </cell>
          <cell r="AL710" t="str">
            <v>TK</v>
          </cell>
          <cell r="AM710">
            <v>5343083</v>
          </cell>
          <cell r="AN710">
            <v>34354.584590750004</v>
          </cell>
          <cell r="AQ710">
            <v>0</v>
          </cell>
          <cell r="AS710">
            <v>31700</v>
          </cell>
          <cell r="AU710">
            <v>10000</v>
          </cell>
          <cell r="AV710">
            <v>53430.83</v>
          </cell>
          <cell r="AW710">
            <v>106861.66</v>
          </cell>
          <cell r="AX710">
            <v>53430.83</v>
          </cell>
          <cell r="AY710">
            <v>289778</v>
          </cell>
          <cell r="AZ710">
            <v>5053305</v>
          </cell>
          <cell r="BA710">
            <v>34354.584590750004</v>
          </cell>
          <cell r="BB710">
            <v>255423</v>
          </cell>
          <cell r="BC710">
            <v>5087660</v>
          </cell>
        </row>
        <row r="711">
          <cell r="F711" t="str">
            <v>250714-012</v>
          </cell>
          <cell r="G711" t="str">
            <v>Tetap</v>
          </cell>
          <cell r="H711" t="str">
            <v>Leader</v>
          </cell>
          <cell r="I711" t="str">
            <v>HR &amp; GA</v>
          </cell>
          <cell r="J711">
            <v>41845</v>
          </cell>
          <cell r="K711" t="b">
            <v>1</v>
          </cell>
          <cell r="L711">
            <v>41845</v>
          </cell>
          <cell r="M711">
            <v>6</v>
          </cell>
          <cell r="N711">
            <v>9</v>
          </cell>
          <cell r="O711">
            <v>29</v>
          </cell>
          <cell r="Q711">
            <v>5343082</v>
          </cell>
          <cell r="R711">
            <v>4924046</v>
          </cell>
          <cell r="S711">
            <v>5343083</v>
          </cell>
          <cell r="T711">
            <v>400000</v>
          </cell>
          <cell r="U711">
            <v>0</v>
          </cell>
          <cell r="V711">
            <v>0</v>
          </cell>
          <cell r="W711">
            <v>5743083</v>
          </cell>
          <cell r="X711">
            <v>5</v>
          </cell>
          <cell r="Z711">
            <v>16</v>
          </cell>
          <cell r="AB711">
            <v>21</v>
          </cell>
          <cell r="AC711">
            <v>1367400.7142857141</v>
          </cell>
          <cell r="AD711">
            <v>4375682.2857142854</v>
          </cell>
          <cell r="AE711">
            <v>5743083</v>
          </cell>
          <cell r="AF711">
            <v>0</v>
          </cell>
          <cell r="AG711">
            <v>5743083</v>
          </cell>
          <cell r="AH711" t="b">
            <v>1</v>
          </cell>
          <cell r="AK711">
            <v>5743083</v>
          </cell>
          <cell r="AL711" t="str">
            <v>TK</v>
          </cell>
          <cell r="AM711">
            <v>5743083</v>
          </cell>
          <cell r="AN711">
            <v>53770.684590749974</v>
          </cell>
          <cell r="AQ711">
            <v>0</v>
          </cell>
          <cell r="AR711">
            <v>38000</v>
          </cell>
          <cell r="AS711">
            <v>31700</v>
          </cell>
          <cell r="AU711">
            <v>10000</v>
          </cell>
          <cell r="AV711">
            <v>57430.83</v>
          </cell>
          <cell r="AW711">
            <v>114861.66</v>
          </cell>
          <cell r="AX711">
            <v>57430.83</v>
          </cell>
          <cell r="AY711">
            <v>363194</v>
          </cell>
          <cell r="AZ711">
            <v>5379889</v>
          </cell>
          <cell r="BA711">
            <v>53770.684590749974</v>
          </cell>
          <cell r="BB711">
            <v>309423</v>
          </cell>
          <cell r="BC711">
            <v>5433660</v>
          </cell>
        </row>
        <row r="712">
          <cell r="F712" t="str">
            <v>210120-001</v>
          </cell>
          <cell r="G712" t="str">
            <v>Pembaharuan</v>
          </cell>
          <cell r="H712" t="str">
            <v>Driver</v>
          </cell>
          <cell r="I712" t="str">
            <v>HR &amp; GA</v>
          </cell>
          <cell r="J712">
            <v>43851</v>
          </cell>
          <cell r="K712" t="b">
            <v>1</v>
          </cell>
          <cell r="L712">
            <v>43851</v>
          </cell>
          <cell r="M712">
            <v>1</v>
          </cell>
          <cell r="N712">
            <v>4</v>
          </cell>
          <cell r="O712">
            <v>3</v>
          </cell>
          <cell r="Q712">
            <v>5343082</v>
          </cell>
          <cell r="R712">
            <v>4924046</v>
          </cell>
          <cell r="S712">
            <v>5343083</v>
          </cell>
          <cell r="T712">
            <v>0</v>
          </cell>
          <cell r="U712">
            <v>0</v>
          </cell>
          <cell r="V712">
            <v>835300</v>
          </cell>
          <cell r="W712">
            <v>6178383</v>
          </cell>
          <cell r="X712">
            <v>5</v>
          </cell>
          <cell r="Z712">
            <v>16</v>
          </cell>
          <cell r="AB712">
            <v>21</v>
          </cell>
          <cell r="AC712">
            <v>1471043.5714285714</v>
          </cell>
          <cell r="AD712">
            <v>4707339.4285714282</v>
          </cell>
          <cell r="AE712">
            <v>6178383</v>
          </cell>
          <cell r="AF712">
            <v>0</v>
          </cell>
          <cell r="AG712">
            <v>6178383</v>
          </cell>
          <cell r="AH712" t="b">
            <v>1</v>
          </cell>
          <cell r="AK712">
            <v>6178383</v>
          </cell>
          <cell r="AL712" t="str">
            <v>K1</v>
          </cell>
          <cell r="AM712">
            <v>6178383</v>
          </cell>
          <cell r="AN712">
            <v>37400.255415749991</v>
          </cell>
          <cell r="AQ712">
            <v>0</v>
          </cell>
          <cell r="AS712">
            <v>31700</v>
          </cell>
          <cell r="AV712">
            <v>61783.83</v>
          </cell>
          <cell r="AW712">
            <v>123567.66</v>
          </cell>
          <cell r="AX712">
            <v>61783.83</v>
          </cell>
          <cell r="AY712">
            <v>316236</v>
          </cell>
          <cell r="AZ712">
            <v>5862147</v>
          </cell>
          <cell r="BA712">
            <v>37400.255415749991</v>
          </cell>
          <cell r="BB712">
            <v>278835</v>
          </cell>
          <cell r="BC712">
            <v>5899548</v>
          </cell>
        </row>
        <row r="713">
          <cell r="F713" t="str">
            <v>100320-001</v>
          </cell>
          <cell r="G713" t="str">
            <v>Pembaharuan</v>
          </cell>
          <cell r="H713" t="str">
            <v>Driver</v>
          </cell>
          <cell r="I713" t="str">
            <v>HR &amp; GA</v>
          </cell>
          <cell r="J713">
            <v>43900</v>
          </cell>
          <cell r="K713" t="b">
            <v>1</v>
          </cell>
          <cell r="L713">
            <v>43900</v>
          </cell>
          <cell r="M713">
            <v>1</v>
          </cell>
          <cell r="N713">
            <v>2</v>
          </cell>
          <cell r="O713">
            <v>14</v>
          </cell>
          <cell r="Q713">
            <v>5343082</v>
          </cell>
          <cell r="R713">
            <v>4924046</v>
          </cell>
          <cell r="S713">
            <v>5343083</v>
          </cell>
          <cell r="T713">
            <v>0</v>
          </cell>
          <cell r="U713">
            <v>0</v>
          </cell>
          <cell r="V713">
            <v>835300</v>
          </cell>
          <cell r="W713">
            <v>6178383</v>
          </cell>
          <cell r="X713">
            <v>5</v>
          </cell>
          <cell r="Z713">
            <v>16</v>
          </cell>
          <cell r="AB713">
            <v>21</v>
          </cell>
          <cell r="AC713">
            <v>1471043.5714285714</v>
          </cell>
          <cell r="AD713">
            <v>4707339.4285714282</v>
          </cell>
          <cell r="AE713">
            <v>6178383</v>
          </cell>
          <cell r="AF713">
            <v>0</v>
          </cell>
          <cell r="AG713">
            <v>6178383</v>
          </cell>
          <cell r="AH713" t="b">
            <v>1</v>
          </cell>
          <cell r="AK713">
            <v>6178383</v>
          </cell>
          <cell r="AL713" t="str">
            <v>K1</v>
          </cell>
          <cell r="AM713">
            <v>6178383</v>
          </cell>
          <cell r="AN713">
            <v>37400.255415749991</v>
          </cell>
          <cell r="AQ713">
            <v>0</v>
          </cell>
          <cell r="AS713">
            <v>31700</v>
          </cell>
          <cell r="AV713">
            <v>61783.83</v>
          </cell>
          <cell r="AW713">
            <v>123567.66</v>
          </cell>
          <cell r="AX713">
            <v>61783.83</v>
          </cell>
          <cell r="AY713">
            <v>316236</v>
          </cell>
          <cell r="AZ713">
            <v>5862147</v>
          </cell>
          <cell r="BA713">
            <v>37400.255415749991</v>
          </cell>
          <cell r="BB713">
            <v>278835</v>
          </cell>
          <cell r="BC713">
            <v>5899548</v>
          </cell>
        </row>
        <row r="714">
          <cell r="F714" t="str">
            <v>100220-001</v>
          </cell>
          <cell r="G714" t="str">
            <v>Pembaharuan</v>
          </cell>
          <cell r="H714" t="str">
            <v>Driver</v>
          </cell>
          <cell r="I714" t="str">
            <v>HR &amp; GA</v>
          </cell>
          <cell r="J714">
            <v>43871</v>
          </cell>
          <cell r="K714" t="b">
            <v>1</v>
          </cell>
          <cell r="L714">
            <v>43871</v>
          </cell>
          <cell r="M714">
            <v>1</v>
          </cell>
          <cell r="N714">
            <v>3</v>
          </cell>
          <cell r="O714">
            <v>14</v>
          </cell>
          <cell r="Q714">
            <v>5343082</v>
          </cell>
          <cell r="R714">
            <v>4924046</v>
          </cell>
          <cell r="S714">
            <v>5343083</v>
          </cell>
          <cell r="T714">
            <v>0</v>
          </cell>
          <cell r="U714">
            <v>0</v>
          </cell>
          <cell r="V714">
            <v>835300</v>
          </cell>
          <cell r="W714">
            <v>6178383</v>
          </cell>
          <cell r="X714">
            <v>5</v>
          </cell>
          <cell r="Z714">
            <v>16</v>
          </cell>
          <cell r="AB714">
            <v>21</v>
          </cell>
          <cell r="AC714">
            <v>1471043.5714285714</v>
          </cell>
          <cell r="AD714">
            <v>4707339.4285714282</v>
          </cell>
          <cell r="AE714">
            <v>6178383</v>
          </cell>
          <cell r="AF714">
            <v>0</v>
          </cell>
          <cell r="AG714">
            <v>6178383</v>
          </cell>
          <cell r="AH714" t="b">
            <v>1</v>
          </cell>
          <cell r="AK714">
            <v>6178383</v>
          </cell>
          <cell r="AL714" t="str">
            <v>TK</v>
          </cell>
          <cell r="AM714">
            <v>6178383</v>
          </cell>
          <cell r="AN714">
            <v>74900.255415749984</v>
          </cell>
          <cell r="AQ714">
            <v>0</v>
          </cell>
          <cell r="AS714">
            <v>31700</v>
          </cell>
          <cell r="AV714">
            <v>61783.83</v>
          </cell>
          <cell r="AW714">
            <v>123567.66</v>
          </cell>
          <cell r="AX714">
            <v>61783.83</v>
          </cell>
          <cell r="AY714">
            <v>353736</v>
          </cell>
          <cell r="AZ714">
            <v>5824647</v>
          </cell>
          <cell r="BA714">
            <v>74900.255415749984</v>
          </cell>
          <cell r="BB714">
            <v>278835</v>
          </cell>
          <cell r="BC714">
            <v>5899548</v>
          </cell>
        </row>
        <row r="715">
          <cell r="F715" t="str">
            <v>280917-001</v>
          </cell>
          <cell r="G715" t="str">
            <v>Pembaharuan</v>
          </cell>
          <cell r="H715" t="str">
            <v>Driver</v>
          </cell>
          <cell r="I715" t="str">
            <v>HR &amp; GA</v>
          </cell>
          <cell r="J715">
            <v>43006</v>
          </cell>
          <cell r="K715" t="b">
            <v>1</v>
          </cell>
          <cell r="L715">
            <v>43006</v>
          </cell>
          <cell r="M715">
            <v>3</v>
          </cell>
          <cell r="N715">
            <v>7</v>
          </cell>
          <cell r="O715">
            <v>26</v>
          </cell>
          <cell r="Q715">
            <v>5343082</v>
          </cell>
          <cell r="R715">
            <v>4924046</v>
          </cell>
          <cell r="S715">
            <v>5343083</v>
          </cell>
          <cell r="T715">
            <v>0</v>
          </cell>
          <cell r="U715">
            <v>0</v>
          </cell>
          <cell r="V715">
            <v>460477</v>
          </cell>
          <cell r="W715">
            <v>5803560</v>
          </cell>
          <cell r="X715">
            <v>5</v>
          </cell>
          <cell r="Z715">
            <v>16</v>
          </cell>
          <cell r="AB715">
            <v>21</v>
          </cell>
          <cell r="AC715">
            <v>1381800</v>
          </cell>
          <cell r="AD715">
            <v>4421760</v>
          </cell>
          <cell r="AE715">
            <v>5803560</v>
          </cell>
          <cell r="AF715">
            <v>0</v>
          </cell>
          <cell r="AG715">
            <v>5803560</v>
          </cell>
          <cell r="AH715" t="b">
            <v>1</v>
          </cell>
          <cell r="AK715">
            <v>5803560</v>
          </cell>
          <cell r="AL715" t="str">
            <v>K2</v>
          </cell>
          <cell r="AM715">
            <v>5803560</v>
          </cell>
          <cell r="AN715">
            <v>456.25328999999914</v>
          </cell>
          <cell r="AQ715">
            <v>0</v>
          </cell>
          <cell r="AR715">
            <v>38000</v>
          </cell>
          <cell r="AS715">
            <v>31700</v>
          </cell>
          <cell r="AV715">
            <v>58035.6</v>
          </cell>
          <cell r="AW715">
            <v>116071.2</v>
          </cell>
          <cell r="AX715">
            <v>58035.6</v>
          </cell>
          <cell r="AY715">
            <v>302299</v>
          </cell>
          <cell r="AZ715">
            <v>5501261</v>
          </cell>
          <cell r="BA715">
            <v>456.25328999999914</v>
          </cell>
          <cell r="BB715">
            <v>301842</v>
          </cell>
          <cell r="BC715">
            <v>5501718</v>
          </cell>
        </row>
        <row r="716">
          <cell r="F716" t="str">
            <v>261114-001</v>
          </cell>
          <cell r="G716" t="str">
            <v>Tetap</v>
          </cell>
          <cell r="H716" t="str">
            <v>Staff</v>
          </cell>
          <cell r="I716" t="str">
            <v>HR &amp; GA</v>
          </cell>
          <cell r="J716">
            <v>41969</v>
          </cell>
          <cell r="K716" t="b">
            <v>1</v>
          </cell>
          <cell r="L716">
            <v>41969</v>
          </cell>
          <cell r="M716">
            <v>6</v>
          </cell>
          <cell r="N716">
            <v>5</v>
          </cell>
          <cell r="O716">
            <v>28</v>
          </cell>
          <cell r="Q716">
            <v>5343082</v>
          </cell>
          <cell r="R716">
            <v>4924046</v>
          </cell>
          <cell r="S716">
            <v>5343083</v>
          </cell>
          <cell r="T716">
            <v>0</v>
          </cell>
          <cell r="U716">
            <v>0</v>
          </cell>
          <cell r="V716">
            <v>0</v>
          </cell>
          <cell r="W716">
            <v>5343083</v>
          </cell>
          <cell r="X716">
            <v>5</v>
          </cell>
          <cell r="Z716">
            <v>16</v>
          </cell>
          <cell r="AB716">
            <v>21</v>
          </cell>
          <cell r="AC716">
            <v>1272162.6190476192</v>
          </cell>
          <cell r="AD716">
            <v>4070920.3809523811</v>
          </cell>
          <cell r="AE716">
            <v>5343083</v>
          </cell>
          <cell r="AF716">
            <v>0</v>
          </cell>
          <cell r="AG716">
            <v>5343083</v>
          </cell>
          <cell r="AH716" t="b">
            <v>1</v>
          </cell>
          <cell r="AK716">
            <v>5343083</v>
          </cell>
          <cell r="AL716" t="str">
            <v>K0</v>
          </cell>
          <cell r="AM716">
            <v>5343083</v>
          </cell>
          <cell r="AN716">
            <v>15604.584590750002</v>
          </cell>
          <cell r="AQ716">
            <v>0</v>
          </cell>
          <cell r="AR716">
            <v>38000</v>
          </cell>
          <cell r="AS716">
            <v>31700</v>
          </cell>
          <cell r="AU716">
            <v>10000</v>
          </cell>
          <cell r="AV716">
            <v>106861.66</v>
          </cell>
          <cell r="AW716">
            <v>106861.66</v>
          </cell>
          <cell r="AX716">
            <v>53430.83</v>
          </cell>
          <cell r="AY716">
            <v>362459</v>
          </cell>
          <cell r="AZ716">
            <v>4980624</v>
          </cell>
          <cell r="BA716">
            <v>15604.584590750002</v>
          </cell>
          <cell r="BB716">
            <v>346854</v>
          </cell>
          <cell r="BC716">
            <v>4996229</v>
          </cell>
        </row>
        <row r="717">
          <cell r="F717" t="str">
            <v>220916-001</v>
          </cell>
          <cell r="G717" t="str">
            <v>Tetap</v>
          </cell>
          <cell r="H717" t="str">
            <v>Pelaksana</v>
          </cell>
          <cell r="I717" t="str">
            <v>HR &amp; GA</v>
          </cell>
          <cell r="J717">
            <v>42635</v>
          </cell>
          <cell r="K717" t="b">
            <v>1</v>
          </cell>
          <cell r="L717">
            <v>42635</v>
          </cell>
          <cell r="M717">
            <v>4</v>
          </cell>
          <cell r="N717">
            <v>8</v>
          </cell>
          <cell r="O717">
            <v>2</v>
          </cell>
          <cell r="Q717">
            <v>5343082</v>
          </cell>
          <cell r="R717">
            <v>4924046</v>
          </cell>
          <cell r="S717">
            <v>5343083</v>
          </cell>
          <cell r="T717">
            <v>0</v>
          </cell>
          <cell r="U717">
            <v>0</v>
          </cell>
          <cell r="V717">
            <v>0</v>
          </cell>
          <cell r="W717">
            <v>5343083</v>
          </cell>
          <cell r="X717">
            <v>5</v>
          </cell>
          <cell r="Z717">
            <v>16</v>
          </cell>
          <cell r="AB717">
            <v>21</v>
          </cell>
          <cell r="AC717">
            <v>1272162.6190476192</v>
          </cell>
          <cell r="AD717">
            <v>4070920.3809523811</v>
          </cell>
          <cell r="AE717">
            <v>5343083</v>
          </cell>
          <cell r="AF717">
            <v>0</v>
          </cell>
          <cell r="AG717">
            <v>5343083</v>
          </cell>
          <cell r="AH717" t="b">
            <v>1</v>
          </cell>
          <cell r="AK717">
            <v>5343083</v>
          </cell>
          <cell r="AL717" t="str">
            <v>K3</v>
          </cell>
          <cell r="AM717">
            <v>5343083</v>
          </cell>
          <cell r="AN717">
            <v>0</v>
          </cell>
          <cell r="AQ717">
            <v>0</v>
          </cell>
          <cell r="AR717">
            <v>38000</v>
          </cell>
          <cell r="AS717">
            <v>31700</v>
          </cell>
          <cell r="AU717">
            <v>10000</v>
          </cell>
          <cell r="AV717">
            <v>53430.83</v>
          </cell>
          <cell r="AW717">
            <v>106861.66</v>
          </cell>
          <cell r="AX717">
            <v>53430.83</v>
          </cell>
          <cell r="AY717">
            <v>293423</v>
          </cell>
          <cell r="AZ717">
            <v>5049660</v>
          </cell>
          <cell r="BA717">
            <v>0</v>
          </cell>
          <cell r="BB717">
            <v>293423</v>
          </cell>
          <cell r="BC717">
            <v>5049660</v>
          </cell>
        </row>
        <row r="718">
          <cell r="F718" t="str">
            <v>180918-001</v>
          </cell>
          <cell r="G718" t="str">
            <v>Kontrak 2</v>
          </cell>
          <cell r="H718" t="str">
            <v>Pelaksana</v>
          </cell>
          <cell r="I718" t="str">
            <v>HR &amp; GA</v>
          </cell>
          <cell r="J718">
            <v>43361</v>
          </cell>
          <cell r="K718" t="b">
            <v>1</v>
          </cell>
          <cell r="L718">
            <v>43361</v>
          </cell>
          <cell r="M718">
            <v>2</v>
          </cell>
          <cell r="N718">
            <v>8</v>
          </cell>
          <cell r="O718">
            <v>6</v>
          </cell>
          <cell r="Q718">
            <v>5343082</v>
          </cell>
          <cell r="R718">
            <v>4924046</v>
          </cell>
          <cell r="S718">
            <v>5343083</v>
          </cell>
          <cell r="T718">
            <v>0</v>
          </cell>
          <cell r="U718">
            <v>0</v>
          </cell>
          <cell r="V718">
            <v>0</v>
          </cell>
          <cell r="W718">
            <v>5343083</v>
          </cell>
          <cell r="X718">
            <v>5</v>
          </cell>
          <cell r="Z718">
            <v>16</v>
          </cell>
          <cell r="AB718">
            <v>21</v>
          </cell>
          <cell r="AC718">
            <v>1272162.6190476192</v>
          </cell>
          <cell r="AD718">
            <v>4070920.3809523811</v>
          </cell>
          <cell r="AE718">
            <v>5343083</v>
          </cell>
          <cell r="AF718">
            <v>0</v>
          </cell>
          <cell r="AG718">
            <v>5343083</v>
          </cell>
          <cell r="AH718" t="b">
            <v>1</v>
          </cell>
          <cell r="AK718">
            <v>5343083</v>
          </cell>
          <cell r="AL718" t="str">
            <v>K2</v>
          </cell>
          <cell r="AM718">
            <v>5343083</v>
          </cell>
          <cell r="AN718">
            <v>0</v>
          </cell>
          <cell r="AQ718">
            <v>0</v>
          </cell>
          <cell r="AS718">
            <v>31700</v>
          </cell>
          <cell r="AV718">
            <v>53430.83</v>
          </cell>
          <cell r="AW718">
            <v>106861.66</v>
          </cell>
          <cell r="AX718">
            <v>53430.83</v>
          </cell>
          <cell r="AY718">
            <v>245423</v>
          </cell>
          <cell r="AZ718">
            <v>5097660</v>
          </cell>
          <cell r="BA718">
            <v>0</v>
          </cell>
          <cell r="BB718">
            <v>245423</v>
          </cell>
          <cell r="BC718">
            <v>5097660</v>
          </cell>
        </row>
        <row r="719">
          <cell r="F719" t="str">
            <v>250321-003</v>
          </cell>
          <cell r="G719" t="str">
            <v>Kontrak 1</v>
          </cell>
          <cell r="H719" t="str">
            <v>Driver</v>
          </cell>
          <cell r="I719" t="str">
            <v>HR &amp; GA</v>
          </cell>
          <cell r="L719">
            <v>44280</v>
          </cell>
          <cell r="M719">
            <v>0</v>
          </cell>
          <cell r="N719">
            <v>1</v>
          </cell>
          <cell r="O719">
            <v>29</v>
          </cell>
          <cell r="S719">
            <v>5343083</v>
          </cell>
          <cell r="T719">
            <v>0</v>
          </cell>
          <cell r="U719">
            <v>0</v>
          </cell>
          <cell r="V719">
            <v>835300</v>
          </cell>
          <cell r="W719">
            <v>6178383</v>
          </cell>
          <cell r="X719">
            <v>5</v>
          </cell>
          <cell r="Z719">
            <v>16</v>
          </cell>
          <cell r="AB719">
            <v>21</v>
          </cell>
          <cell r="AC719">
            <v>1471043.5714285714</v>
          </cell>
          <cell r="AD719">
            <v>4707339.4285714282</v>
          </cell>
          <cell r="AE719">
            <v>6178383</v>
          </cell>
          <cell r="AF719">
            <v>0</v>
          </cell>
          <cell r="AG719">
            <v>6178383</v>
          </cell>
          <cell r="AH719" t="b">
            <v>1</v>
          </cell>
          <cell r="AK719">
            <v>6178383</v>
          </cell>
          <cell r="AL719" t="str">
            <v>K2</v>
          </cell>
          <cell r="AM719">
            <v>6178383</v>
          </cell>
          <cell r="AN719">
            <v>18650.255415749987</v>
          </cell>
          <cell r="AQ719">
            <v>0</v>
          </cell>
          <cell r="AS719">
            <v>31700</v>
          </cell>
          <cell r="AV719">
            <v>61783.83</v>
          </cell>
          <cell r="AW719">
            <v>123567.66</v>
          </cell>
          <cell r="AX719">
            <v>61783.83</v>
          </cell>
          <cell r="AY719">
            <v>297486</v>
          </cell>
          <cell r="AZ719">
            <v>5880897</v>
          </cell>
          <cell r="BA719">
            <v>18650.255415749987</v>
          </cell>
          <cell r="BB719">
            <v>278835</v>
          </cell>
          <cell r="BC719">
            <v>5899548</v>
          </cell>
        </row>
        <row r="720">
          <cell r="Q720">
            <v>69268296</v>
          </cell>
          <cell r="R720">
            <v>65077937</v>
          </cell>
          <cell r="S720">
            <v>74611390</v>
          </cell>
          <cell r="T720">
            <v>3400000</v>
          </cell>
          <cell r="U720">
            <v>1161254</v>
          </cell>
          <cell r="V720">
            <v>4550278</v>
          </cell>
          <cell r="W720">
            <v>83722922</v>
          </cell>
          <cell r="X720">
            <v>70</v>
          </cell>
          <cell r="Y720">
            <v>0</v>
          </cell>
          <cell r="Z720">
            <v>224</v>
          </cell>
          <cell r="AA720">
            <v>0</v>
          </cell>
          <cell r="AB720">
            <v>294</v>
          </cell>
          <cell r="AC720">
            <v>19934029.047619045</v>
          </cell>
          <cell r="AD720">
            <v>63788892.952380948</v>
          </cell>
          <cell r="AE720">
            <v>83722922</v>
          </cell>
          <cell r="AF720">
            <v>0</v>
          </cell>
          <cell r="AG720">
            <v>83722922</v>
          </cell>
          <cell r="AH720">
            <v>0</v>
          </cell>
          <cell r="AJ720">
            <v>0</v>
          </cell>
          <cell r="AK720">
            <v>83722922</v>
          </cell>
          <cell r="AL720">
            <v>0</v>
          </cell>
          <cell r="AM720">
            <v>83722922</v>
          </cell>
          <cell r="AN720">
            <v>526472.39542899979</v>
          </cell>
          <cell r="AO720">
            <v>0</v>
          </cell>
          <cell r="AP720">
            <v>0</v>
          </cell>
          <cell r="AQ720">
            <v>0</v>
          </cell>
          <cell r="AR720">
            <v>266000</v>
          </cell>
          <cell r="AS720">
            <v>443800</v>
          </cell>
          <cell r="AT720">
            <v>0</v>
          </cell>
          <cell r="AU720">
            <v>70000</v>
          </cell>
          <cell r="AV720">
            <v>890660.04999999993</v>
          </cell>
          <cell r="AW720">
            <v>1674458.4399999997</v>
          </cell>
          <cell r="AX720">
            <v>837229.21999999986</v>
          </cell>
          <cell r="AY720">
            <v>4708621</v>
          </cell>
          <cell r="AZ720">
            <v>79014301</v>
          </cell>
          <cell r="BA720">
            <v>526472.39542899979</v>
          </cell>
          <cell r="BB720">
            <v>4182144</v>
          </cell>
          <cell r="BC720">
            <v>79540778</v>
          </cell>
        </row>
        <row r="722">
          <cell r="T722">
            <v>429</v>
          </cell>
          <cell r="W722">
            <v>457.47</v>
          </cell>
        </row>
        <row r="723">
          <cell r="F723" t="str">
            <v>NIK</v>
          </cell>
          <cell r="G723" t="str">
            <v>STATUS</v>
          </cell>
          <cell r="H723" t="str">
            <v>LEVEL</v>
          </cell>
          <cell r="I723" t="str">
            <v>BAGIAN</v>
          </cell>
          <cell r="J723" t="str">
            <v>DB</v>
          </cell>
          <cell r="L723" t="str">
            <v>JOIN</v>
          </cell>
          <cell r="M723" t="str">
            <v>MK</v>
          </cell>
          <cell r="Q723" t="str">
            <v>FIXED SALARY (KESEPAKATAN 2020)</v>
          </cell>
          <cell r="R723" t="str">
            <v>FIXED SALARY (NOVEMBER 2020)</v>
          </cell>
          <cell r="S723" t="str">
            <v>FIXED SALARY (UMSK 2020)</v>
          </cell>
          <cell r="T723" t="str">
            <v>JOB STRUCTURE ALLOWANCE</v>
          </cell>
          <cell r="U723" t="str">
            <v>SKILL ALLOWANCE</v>
          </cell>
          <cell r="V723" t="str">
            <v>PERFORMANCE ALLOWANCE 2020</v>
          </cell>
          <cell r="W723" t="str">
            <v>TOTAL</v>
          </cell>
          <cell r="X723" t="str">
            <v>WORKDAYS</v>
          </cell>
          <cell r="AB723" t="str">
            <v>CEK</v>
          </cell>
          <cell r="AC723" t="str">
            <v xml:space="preserve">SALARY </v>
          </cell>
          <cell r="AD723" t="str">
            <v>SALARY</v>
          </cell>
          <cell r="AE723" t="str">
            <v>TOTAL SALARY (COVID-19)</v>
          </cell>
          <cell r="AF723" t="str">
            <v>POT OFF</v>
          </cell>
          <cell r="AG723" t="str">
            <v>CEK</v>
          </cell>
          <cell r="AH723" t="str">
            <v>CEK</v>
          </cell>
          <cell r="AJ723" t="str">
            <v>BACK PAY ( RAPEL) / INCENTIVE</v>
          </cell>
          <cell r="AK723" t="str">
            <v>TOTAL</v>
          </cell>
          <cell r="AL723" t="str">
            <v>PERHITUNGAN PPh</v>
          </cell>
          <cell r="AN723" t="str">
            <v>TAX</v>
          </cell>
          <cell r="AO723" t="str">
            <v>RETURND</v>
          </cell>
          <cell r="AP723" t="str">
            <v>ABSEN</v>
          </cell>
          <cell r="AR723" t="str">
            <v>DEDUCTION</v>
          </cell>
          <cell r="AV723" t="str">
            <v>BPJS</v>
          </cell>
          <cell r="AW723" t="str">
            <v>BPJS KETENAGAKERJAAN</v>
          </cell>
          <cell r="AY723" t="str">
            <v>TOTAL</v>
          </cell>
          <cell r="AZ723" t="str">
            <v>TOTAL</v>
          </cell>
          <cell r="BA723" t="str">
            <v>INSENTIF</v>
          </cell>
          <cell r="BB723" t="str">
            <v>WITH INSENTIF PPh21</v>
          </cell>
        </row>
        <row r="724">
          <cell r="F724" t="str">
            <v>SAI</v>
          </cell>
          <cell r="G724" t="str">
            <v>KONTRAK</v>
          </cell>
          <cell r="J724" t="str">
            <v>DATEJOIN</v>
          </cell>
          <cell r="K724" t="str">
            <v>CHECK</v>
          </cell>
          <cell r="L724" t="str">
            <v>DATE</v>
          </cell>
          <cell r="M724" t="str">
            <v>YEAR</v>
          </cell>
          <cell r="N724" t="str">
            <v>MONTH</v>
          </cell>
          <cell r="O724" t="str">
            <v>DAY</v>
          </cell>
          <cell r="W724" t="str">
            <v>SALARY</v>
          </cell>
          <cell r="X724" t="str">
            <v>ON</v>
          </cell>
          <cell r="Y724" t="str">
            <v>OFF</v>
          </cell>
          <cell r="Z724" t="str">
            <v>ON</v>
          </cell>
          <cell r="AA724" t="str">
            <v>OFF</v>
          </cell>
          <cell r="AB724" t="str">
            <v>WORKINGDAYS</v>
          </cell>
          <cell r="AC724" t="str">
            <v>PERIODE 25-31 FEB</v>
          </cell>
          <cell r="AD724" t="str">
            <v xml:space="preserve"> PERIODE 1-24 MAR</v>
          </cell>
          <cell r="AK724" t="str">
            <v xml:space="preserve">RECIEVED       </v>
          </cell>
          <cell r="AL724" t="str">
            <v>STATUS</v>
          </cell>
          <cell r="AM724" t="str">
            <v xml:space="preserve">TOTAL    GROSS </v>
          </cell>
          <cell r="AN724">
            <v>21</v>
          </cell>
          <cell r="AO724" t="str">
            <v>TAX JAN 2021</v>
          </cell>
          <cell r="AP724" t="str">
            <v>DAY</v>
          </cell>
          <cell r="AQ724" t="str">
            <v>( Rp )</v>
          </cell>
          <cell r="AR724" t="str">
            <v>UNION</v>
          </cell>
          <cell r="AS724" t="str">
            <v>RAPID TEST</v>
          </cell>
          <cell r="AT724" t="str">
            <v>OTHERS</v>
          </cell>
          <cell r="AU724" t="str">
            <v>KOPERASI</v>
          </cell>
          <cell r="AV724" t="str">
            <v>KESEHATAN</v>
          </cell>
          <cell r="AW724" t="str">
            <v>JHT</v>
          </cell>
          <cell r="AX724" t="str">
            <v>PENSIUN</v>
          </cell>
          <cell r="AY724" t="str">
            <v>DEDUCTION</v>
          </cell>
          <cell r="AZ724" t="str">
            <v>PAID</v>
          </cell>
          <cell r="BA724" t="str">
            <v>PPh21</v>
          </cell>
          <cell r="BB724" t="str">
            <v>TOTAL DEDUCTION</v>
          </cell>
          <cell r="BC724" t="str">
            <v>TOTAL PAID</v>
          </cell>
        </row>
        <row r="725">
          <cell r="F725" t="str">
            <v>240918-001</v>
          </cell>
          <cell r="G725" t="str">
            <v>Kontrak 2</v>
          </cell>
          <cell r="H725" t="str">
            <v>Specialist</v>
          </cell>
          <cell r="I725" t="str">
            <v>Thailand Team</v>
          </cell>
          <cell r="J725">
            <v>43367</v>
          </cell>
          <cell r="K725" t="b">
            <v>1</v>
          </cell>
          <cell r="L725">
            <v>43367</v>
          </cell>
          <cell r="M725">
            <v>2</v>
          </cell>
          <cell r="N725">
            <v>8</v>
          </cell>
          <cell r="O725">
            <v>0</v>
          </cell>
          <cell r="Q725">
            <v>25034870</v>
          </cell>
          <cell r="R725">
            <v>25034870</v>
          </cell>
          <cell r="S725">
            <v>25034870</v>
          </cell>
          <cell r="T725">
            <v>58356.340326340323</v>
          </cell>
          <cell r="U725">
            <v>0</v>
          </cell>
          <cell r="V725">
            <v>0</v>
          </cell>
          <cell r="W725">
            <v>26696275.009090908</v>
          </cell>
          <cell r="X725">
            <v>5</v>
          </cell>
          <cell r="Z725">
            <v>16</v>
          </cell>
          <cell r="AB725">
            <v>21</v>
          </cell>
          <cell r="AC725">
            <v>6356255.9545454551</v>
          </cell>
          <cell r="AD725">
            <v>20340019.054545455</v>
          </cell>
          <cell r="AE725">
            <v>26696275.009090908</v>
          </cell>
          <cell r="AF725">
            <v>0</v>
          </cell>
          <cell r="AG725">
            <v>26696275.009090908</v>
          </cell>
          <cell r="AH725" t="b">
            <v>1</v>
          </cell>
          <cell r="AK725">
            <v>26696275.009090908</v>
          </cell>
          <cell r="AL725" t="str">
            <v>TK</v>
          </cell>
          <cell r="AM725">
            <v>26696275.009090908</v>
          </cell>
          <cell r="AN725">
            <v>2990008.7953793183</v>
          </cell>
          <cell r="AQ725">
            <v>0</v>
          </cell>
          <cell r="AS725">
            <v>31700</v>
          </cell>
          <cell r="AV725">
            <v>120000</v>
          </cell>
          <cell r="AW725">
            <v>533925.50018181815</v>
          </cell>
          <cell r="AX725">
            <v>0</v>
          </cell>
          <cell r="AY725">
            <v>3675634</v>
          </cell>
          <cell r="AZ725">
            <v>23020641</v>
          </cell>
          <cell r="BA725">
            <v>0</v>
          </cell>
          <cell r="BB725">
            <v>3675634</v>
          </cell>
          <cell r="BC725">
            <v>23020641</v>
          </cell>
        </row>
        <row r="726">
          <cell r="F726" t="str">
            <v>291118-001</v>
          </cell>
          <cell r="G726" t="str">
            <v>Kontrak 2</v>
          </cell>
          <cell r="H726" t="str">
            <v>Secretary</v>
          </cell>
          <cell r="I726" t="str">
            <v>Thailand Team</v>
          </cell>
          <cell r="J726">
            <v>43433</v>
          </cell>
          <cell r="K726" t="b">
            <v>1</v>
          </cell>
          <cell r="L726">
            <v>43433</v>
          </cell>
          <cell r="M726">
            <v>2</v>
          </cell>
          <cell r="N726">
            <v>5</v>
          </cell>
          <cell r="O726">
            <v>25</v>
          </cell>
          <cell r="Q726">
            <v>14000000</v>
          </cell>
          <cell r="R726">
            <v>14000000</v>
          </cell>
          <cell r="S726">
            <v>14000000</v>
          </cell>
          <cell r="T726">
            <v>32634.032634032636</v>
          </cell>
          <cell r="U726">
            <v>0</v>
          </cell>
          <cell r="V726">
            <v>0</v>
          </cell>
          <cell r="W726">
            <v>14929090.90909091</v>
          </cell>
          <cell r="X726">
            <v>5</v>
          </cell>
          <cell r="Z726">
            <v>16</v>
          </cell>
          <cell r="AB726">
            <v>21</v>
          </cell>
          <cell r="AC726">
            <v>3554545.4545454546</v>
          </cell>
          <cell r="AD726">
            <v>11374545.454545455</v>
          </cell>
          <cell r="AE726">
            <v>14929090.90909091</v>
          </cell>
          <cell r="AF726">
            <v>0</v>
          </cell>
          <cell r="AG726">
            <v>14929090.90909091</v>
          </cell>
          <cell r="AH726" t="b">
            <v>1</v>
          </cell>
          <cell r="AK726">
            <v>14929090.90909091</v>
          </cell>
          <cell r="AL726" t="str">
            <v>TK</v>
          </cell>
          <cell r="AM726">
            <v>14929090.90909091</v>
          </cell>
          <cell r="AN726">
            <v>1126558.1242424243</v>
          </cell>
          <cell r="AQ726">
            <v>0</v>
          </cell>
          <cell r="AS726">
            <v>31700</v>
          </cell>
          <cell r="AV726">
            <v>120000</v>
          </cell>
          <cell r="AW726">
            <v>298581.81818181823</v>
          </cell>
          <cell r="AX726">
            <v>0</v>
          </cell>
          <cell r="AY726">
            <v>1576840</v>
          </cell>
          <cell r="AZ726">
            <v>13352251</v>
          </cell>
          <cell r="BA726">
            <v>0</v>
          </cell>
          <cell r="BB726">
            <v>1576840</v>
          </cell>
          <cell r="BC726">
            <v>13352251</v>
          </cell>
        </row>
        <row r="727">
          <cell r="F727" t="str">
            <v>130120-007</v>
          </cell>
          <cell r="G727" t="str">
            <v>Kontrak 1</v>
          </cell>
          <cell r="H727" t="str">
            <v>Pelaksana</v>
          </cell>
          <cell r="I727" t="str">
            <v>Thailand Team</v>
          </cell>
          <cell r="J727">
            <v>43843</v>
          </cell>
          <cell r="K727" t="b">
            <v>1</v>
          </cell>
          <cell r="L727">
            <v>43843</v>
          </cell>
          <cell r="M727">
            <v>1</v>
          </cell>
          <cell r="N727">
            <v>4</v>
          </cell>
          <cell r="O727">
            <v>11</v>
          </cell>
          <cell r="Q727">
            <v>25034870</v>
          </cell>
          <cell r="R727">
            <v>25034870</v>
          </cell>
          <cell r="S727">
            <v>25034870</v>
          </cell>
          <cell r="T727">
            <v>58356.340326340323</v>
          </cell>
          <cell r="U727">
            <v>0</v>
          </cell>
          <cell r="V727">
            <v>0</v>
          </cell>
          <cell r="W727">
            <v>26696275.009090908</v>
          </cell>
          <cell r="X727">
            <v>5</v>
          </cell>
          <cell r="Z727">
            <v>16</v>
          </cell>
          <cell r="AB727">
            <v>21</v>
          </cell>
          <cell r="AC727">
            <v>6356255.9545454551</v>
          </cell>
          <cell r="AD727">
            <v>20340019.054545455</v>
          </cell>
          <cell r="AE727">
            <v>26696275.009090908</v>
          </cell>
          <cell r="AF727">
            <v>0</v>
          </cell>
          <cell r="AG727">
            <v>26696275.009090908</v>
          </cell>
          <cell r="AH727" t="b">
            <v>1</v>
          </cell>
          <cell r="AK727">
            <v>26696275.009090908</v>
          </cell>
          <cell r="AL727" t="str">
            <v>K2</v>
          </cell>
          <cell r="AM727">
            <v>26696275.009090908</v>
          </cell>
          <cell r="AN727">
            <v>2708758.7953793183</v>
          </cell>
          <cell r="AQ727">
            <v>0</v>
          </cell>
          <cell r="AS727">
            <v>31700</v>
          </cell>
          <cell r="AV727">
            <v>120000</v>
          </cell>
          <cell r="AW727">
            <v>533925.50018181815</v>
          </cell>
          <cell r="AX727">
            <v>0</v>
          </cell>
          <cell r="AY727">
            <v>3394384</v>
          </cell>
          <cell r="AZ727">
            <v>23301891</v>
          </cell>
          <cell r="BA727">
            <v>0</v>
          </cell>
          <cell r="BB727">
            <v>3394384</v>
          </cell>
          <cell r="BC727">
            <v>23301891</v>
          </cell>
        </row>
        <row r="728">
          <cell r="F728" t="str">
            <v>040521-001</v>
          </cell>
          <cell r="G728" t="str">
            <v>Kontrak 1</v>
          </cell>
          <cell r="H728" t="str">
            <v>Translator</v>
          </cell>
          <cell r="I728" t="str">
            <v>Thailand Team</v>
          </cell>
          <cell r="L728">
            <v>44294</v>
          </cell>
          <cell r="M728">
            <v>0</v>
          </cell>
          <cell r="N728">
            <v>1</v>
          </cell>
          <cell r="O728">
            <v>16</v>
          </cell>
          <cell r="S728">
            <v>10819503</v>
          </cell>
          <cell r="T728">
            <v>25220.286713286714</v>
          </cell>
          <cell r="U728">
            <v>0</v>
          </cell>
          <cell r="V728">
            <v>0</v>
          </cell>
          <cell r="W728">
            <v>11537524.562727274</v>
          </cell>
          <cell r="X728">
            <v>5</v>
          </cell>
          <cell r="Z728">
            <v>16</v>
          </cell>
          <cell r="AB728">
            <v>21</v>
          </cell>
          <cell r="AC728">
            <v>2747029.6577922078</v>
          </cell>
          <cell r="AD728">
            <v>8790494.9049350657</v>
          </cell>
          <cell r="AE728">
            <v>11537524.562727273</v>
          </cell>
          <cell r="AF728">
            <v>0</v>
          </cell>
          <cell r="AG728">
            <v>11537524.562727273</v>
          </cell>
          <cell r="AH728" t="b">
            <v>1</v>
          </cell>
          <cell r="AK728">
            <v>11537524.562727273</v>
          </cell>
          <cell r="AL728" t="str">
            <v>TK</v>
          </cell>
          <cell r="AM728">
            <v>11537524.562727273</v>
          </cell>
          <cell r="AN728">
            <v>549943.92539871053</v>
          </cell>
          <cell r="AQ728">
            <v>0</v>
          </cell>
          <cell r="AS728">
            <v>31700</v>
          </cell>
          <cell r="AV728">
            <v>0</v>
          </cell>
          <cell r="AW728">
            <v>230750.49125454549</v>
          </cell>
          <cell r="AX728">
            <v>0</v>
          </cell>
          <cell r="AY728">
            <v>812394</v>
          </cell>
          <cell r="AZ728">
            <v>10725131</v>
          </cell>
          <cell r="BA728">
            <v>0</v>
          </cell>
          <cell r="BB728">
            <v>812394</v>
          </cell>
          <cell r="BC728">
            <v>10725131</v>
          </cell>
        </row>
        <row r="729">
          <cell r="Q729">
            <v>64069740</v>
          </cell>
          <cell r="R729">
            <v>64069740</v>
          </cell>
          <cell r="S729">
            <v>74889243</v>
          </cell>
          <cell r="T729">
            <v>174567</v>
          </cell>
          <cell r="U729">
            <v>0</v>
          </cell>
          <cell r="V729">
            <v>0</v>
          </cell>
          <cell r="W729">
            <v>79859165.49000001</v>
          </cell>
          <cell r="X729">
            <v>20</v>
          </cell>
          <cell r="Y729">
            <v>0</v>
          </cell>
          <cell r="Z729">
            <v>64</v>
          </cell>
          <cell r="AA729">
            <v>0</v>
          </cell>
          <cell r="AB729">
            <v>84</v>
          </cell>
          <cell r="AC729">
            <v>19014087.021428574</v>
          </cell>
          <cell r="AD729">
            <v>60845078.468571424</v>
          </cell>
          <cell r="AE729">
            <v>79859165.49000001</v>
          </cell>
          <cell r="AF729">
            <v>0</v>
          </cell>
          <cell r="AG729">
            <v>79859165.49000001</v>
          </cell>
          <cell r="AH729">
            <v>0</v>
          </cell>
          <cell r="AJ729">
            <v>0</v>
          </cell>
          <cell r="AK729">
            <v>79859165.49000001</v>
          </cell>
          <cell r="AL729">
            <v>0</v>
          </cell>
          <cell r="AM729">
            <v>79859165.49000001</v>
          </cell>
          <cell r="AN729">
            <v>7375269.6403997708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126800</v>
          </cell>
          <cell r="AT729">
            <v>0</v>
          </cell>
          <cell r="AU729">
            <v>0</v>
          </cell>
          <cell r="AV729">
            <v>360000</v>
          </cell>
          <cell r="AW729">
            <v>1597183.3098000002</v>
          </cell>
          <cell r="AX729">
            <v>0</v>
          </cell>
          <cell r="AY729">
            <v>9459252</v>
          </cell>
          <cell r="AZ729">
            <v>70399914</v>
          </cell>
          <cell r="BA729">
            <v>0</v>
          </cell>
          <cell r="BB729">
            <v>9459252</v>
          </cell>
          <cell r="BC729">
            <v>70399914</v>
          </cell>
        </row>
        <row r="731">
          <cell r="Q731">
            <v>3273337096</v>
          </cell>
          <cell r="R731">
            <v>3044771500</v>
          </cell>
          <cell r="S731">
            <v>3446103101</v>
          </cell>
          <cell r="T731">
            <v>75009867</v>
          </cell>
          <cell r="U731">
            <v>20235499</v>
          </cell>
          <cell r="V731">
            <v>15446752</v>
          </cell>
          <cell r="W731">
            <v>3561590574.4899998</v>
          </cell>
          <cell r="X731">
            <v>3150</v>
          </cell>
          <cell r="Y731">
            <v>0</v>
          </cell>
          <cell r="Z731">
            <v>10080</v>
          </cell>
          <cell r="AA731">
            <v>0</v>
          </cell>
          <cell r="AB731">
            <v>13230</v>
          </cell>
          <cell r="AC731">
            <v>846725593.21190321</v>
          </cell>
          <cell r="AD731">
            <v>2709521898.2780919</v>
          </cell>
          <cell r="AE731">
            <v>3556247491.4899998</v>
          </cell>
          <cell r="AF731">
            <v>0</v>
          </cell>
          <cell r="AG731">
            <v>3556247491.4899998</v>
          </cell>
          <cell r="AH731">
            <v>0</v>
          </cell>
          <cell r="AJ731">
            <v>539240</v>
          </cell>
          <cell r="AK731">
            <v>3562129814.4899998</v>
          </cell>
          <cell r="AL731">
            <v>0</v>
          </cell>
          <cell r="AM731">
            <v>3498192208.4899998</v>
          </cell>
          <cell r="AN731">
            <v>20680216.183994696</v>
          </cell>
          <cell r="AO731">
            <v>0</v>
          </cell>
          <cell r="AP731">
            <v>254</v>
          </cell>
          <cell r="AQ731">
            <v>63937606</v>
          </cell>
          <cell r="AR731">
            <v>17708000</v>
          </cell>
          <cell r="AS731">
            <v>19083400</v>
          </cell>
          <cell r="AT731">
            <v>19846934</v>
          </cell>
          <cell r="AU731">
            <v>2390000</v>
          </cell>
          <cell r="AV731">
            <v>34661264.922857165</v>
          </cell>
          <cell r="AW731">
            <v>71231811.489800051</v>
          </cell>
          <cell r="AX731">
            <v>34761848.820000023</v>
          </cell>
          <cell r="AY731">
            <v>284301020</v>
          </cell>
          <cell r="AZ731">
            <v>3277828795</v>
          </cell>
          <cell r="BA731">
            <v>13263721.042086026</v>
          </cell>
          <cell r="BB731">
            <v>271037177</v>
          </cell>
          <cell r="BC731">
            <v>3291092638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8"/>
  <sheetViews>
    <sheetView tabSelected="1" workbookViewId="0">
      <pane xSplit="3" ySplit="1" topLeftCell="O2" activePane="bottomRight" state="frozen"/>
      <selection pane="topRight" activeCell="D1" sqref="D1"/>
      <selection pane="bottomLeft" activeCell="A2" sqref="A2"/>
      <selection pane="bottomRight" sqref="A1:W1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3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" t="s">
        <v>9</v>
      </c>
      <c r="K1" s="2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x14ac:dyDescent="0.25">
      <c r="A2" s="1">
        <v>1</v>
      </c>
      <c r="B2" s="2" t="s">
        <v>23</v>
      </c>
      <c r="C2" s="2" t="s">
        <v>24</v>
      </c>
      <c r="D2" s="2" t="str">
        <f>VLOOKUP($C2,'[10]for slip'!$F:$BC,3,0)</f>
        <v>Specialist</v>
      </c>
      <c r="E2" s="2" t="str">
        <f>VLOOKUP($C2,'[10]for slip'!$F:$BC,4,0)</f>
        <v>SQEMS</v>
      </c>
      <c r="F2" s="2">
        <f>VLOOKUP($C2,'[10]for slip'!$F:$BC,14,0)</f>
        <v>5250000</v>
      </c>
      <c r="G2" s="2">
        <f>VLOOKUP($C2,'[10]for slip'!$F:$BC,15,0)</f>
        <v>1000000</v>
      </c>
      <c r="H2" s="2">
        <f>VLOOKUP($C2,'[10]for slip'!$F:$BC,16,0)</f>
        <v>0</v>
      </c>
      <c r="I2" s="2">
        <f>VLOOKUP($C2,'[10]for slip'!$F:$BC,17,0)</f>
        <v>0</v>
      </c>
      <c r="J2" s="2">
        <f>VLOOKUP($C2,'[10]for slip'!$F:$BC,27,0)</f>
        <v>0</v>
      </c>
      <c r="K2" s="2">
        <f>VLOOKUP($C2,'[10]for slip'!$F:$BC,31,0)</f>
        <v>0</v>
      </c>
      <c r="L2" s="2">
        <f>VLOOKUP($C2,'[10]for slip'!$F:$BC,35,0)</f>
        <v>78376.5625</v>
      </c>
      <c r="M2" s="2">
        <f>VLOOKUP($C2,'[10]for slip'!$F:$BC,36,0)</f>
        <v>0</v>
      </c>
      <c r="N2" s="2">
        <f>VLOOKUP($C2,'[10]for slip'!$F:$BC,37,0)</f>
        <v>0</v>
      </c>
      <c r="O2" s="2">
        <f>VLOOKUP($C2,'[10]for slip'!$F:$BC,38,0)</f>
        <v>0</v>
      </c>
      <c r="P2" s="2">
        <f>VLOOKUP($C2,'[10]for slip'!$F:$BC,39,0)</f>
        <v>38000</v>
      </c>
      <c r="Q2" s="2">
        <f>VLOOKUP($C2,'[10]for slip'!$F:$BC,40,0)</f>
        <v>31700</v>
      </c>
      <c r="R2" s="2">
        <f>VLOOKUP($C2,'[10]for slip'!$F:$BC,41,0)</f>
        <v>0</v>
      </c>
      <c r="S2" s="2">
        <f>VLOOKUP($C2,'[10]for slip'!$F:$BC,42,0)</f>
        <v>0</v>
      </c>
      <c r="T2" s="2">
        <f>VLOOKUP($C2,'[10]for slip'!$F:$BC,43,0)</f>
        <v>62500</v>
      </c>
      <c r="U2" s="2">
        <f>VLOOKUP($C2,'[10]for slip'!$F:$BC,44,0)</f>
        <v>125000</v>
      </c>
      <c r="V2" s="2">
        <f>VLOOKUP($C2,'[10]for slip'!$F:$BC,45,0)</f>
        <v>62500</v>
      </c>
      <c r="W2" s="2">
        <f>VLOOKUP($C2,'[10]for slip'!$F:$BC,48,0)</f>
        <v>78376.5625</v>
      </c>
    </row>
    <row r="3" spans="1:23" x14ac:dyDescent="0.25">
      <c r="A3" s="1">
        <v>2</v>
      </c>
      <c r="B3" s="2" t="s">
        <v>25</v>
      </c>
      <c r="C3" s="2" t="s">
        <v>26</v>
      </c>
      <c r="D3" s="2" t="str">
        <f>VLOOKUP($C3,'[10]for slip'!$F:$BC,3,0)</f>
        <v>Translator</v>
      </c>
      <c r="E3" s="2" t="str">
        <f>VLOOKUP($C3,'[10]for slip'!$F:$BC,4,0)</f>
        <v>Thailand Team</v>
      </c>
      <c r="F3" s="2">
        <f>VLOOKUP($C3,'[10]for slip'!$F:$BC,14,0)</f>
        <v>10819503</v>
      </c>
      <c r="G3" s="2">
        <f>VLOOKUP($C3,'[10]for slip'!$F:$BC,15,0)</f>
        <v>25220.286713286714</v>
      </c>
      <c r="H3" s="2">
        <f>VLOOKUP($C3,'[10]for slip'!$F:$BC,16,0)</f>
        <v>0</v>
      </c>
      <c r="I3" s="2">
        <f>VLOOKUP($C3,'[10]for slip'!$F:$BC,17,0)</f>
        <v>0</v>
      </c>
      <c r="J3" s="2">
        <f>VLOOKUP($C3,'[10]for slip'!$F:$BC,27,0)</f>
        <v>0</v>
      </c>
      <c r="K3" s="2">
        <f>VLOOKUP($C3,'[10]for slip'!$F:$BC,31,0)</f>
        <v>0</v>
      </c>
      <c r="L3" s="2">
        <f>VLOOKUP($C3,'[10]for slip'!$F:$BC,35,0)</f>
        <v>549943.92539871053</v>
      </c>
      <c r="M3" s="2">
        <f>VLOOKUP($C3,'[10]for slip'!$F:$BC,36,0)</f>
        <v>0</v>
      </c>
      <c r="N3" s="2">
        <f>VLOOKUP($C3,'[10]for slip'!$F:$BC,37,0)</f>
        <v>0</v>
      </c>
      <c r="O3" s="2">
        <f>VLOOKUP($C3,'[10]for slip'!$F:$BC,38,0)</f>
        <v>0</v>
      </c>
      <c r="P3" s="2">
        <f>VLOOKUP($C3,'[10]for slip'!$F:$BC,39,0)</f>
        <v>0</v>
      </c>
      <c r="Q3" s="2">
        <f>VLOOKUP($C3,'[10]for slip'!$F:$BC,40,0)</f>
        <v>31700</v>
      </c>
      <c r="R3" s="2">
        <f>VLOOKUP($C3,'[10]for slip'!$F:$BC,41,0)</f>
        <v>0</v>
      </c>
      <c r="S3" s="2">
        <f>VLOOKUP($C3,'[10]for slip'!$F:$BC,42,0)</f>
        <v>0</v>
      </c>
      <c r="T3" s="2">
        <f>VLOOKUP($C3,'[10]for slip'!$F:$BC,43,0)</f>
        <v>0</v>
      </c>
      <c r="U3" s="2">
        <f>VLOOKUP($C3,'[10]for slip'!$F:$BC,44,0)</f>
        <v>230750.49125454549</v>
      </c>
      <c r="V3" s="2">
        <f>VLOOKUP($C3,'[10]for slip'!$F:$BC,45,0)</f>
        <v>0</v>
      </c>
      <c r="W3" s="2">
        <f>VLOOKUP($C3,'[10]for slip'!$F:$BC,48,0)</f>
        <v>0</v>
      </c>
    </row>
    <row r="4" spans="1:23" x14ac:dyDescent="0.25">
      <c r="A4" s="1">
        <v>3</v>
      </c>
      <c r="B4" s="2" t="s">
        <v>27</v>
      </c>
      <c r="C4" s="2" t="s">
        <v>28</v>
      </c>
      <c r="D4" s="2" t="str">
        <f>VLOOKUP($C4,'[10]for slip'!$F:$BC,3,0)</f>
        <v>Pelaksana</v>
      </c>
      <c r="E4" s="2" t="str">
        <f>VLOOKUP($C4,'[10]for slip'!$F:$BC,4,0)</f>
        <v>HR &amp; GA</v>
      </c>
      <c r="F4" s="2">
        <f>VLOOKUP($C4,'[10]for slip'!$F:$BC,14,0)</f>
        <v>5343083</v>
      </c>
      <c r="G4" s="2">
        <f>VLOOKUP($C4,'[10]for slip'!$F:$BC,15,0)</f>
        <v>0</v>
      </c>
      <c r="H4" s="2">
        <f>VLOOKUP($C4,'[10]for slip'!$F:$BC,16,0)</f>
        <v>0</v>
      </c>
      <c r="I4" s="2">
        <f>VLOOKUP($C4,'[10]for slip'!$F:$BC,17,0)</f>
        <v>0</v>
      </c>
      <c r="J4" s="2">
        <f>VLOOKUP($C4,'[10]for slip'!$F:$BC,27,0)</f>
        <v>0</v>
      </c>
      <c r="K4" s="2">
        <f>VLOOKUP($C4,'[10]for slip'!$F:$BC,31,0)</f>
        <v>0</v>
      </c>
      <c r="L4" s="2">
        <f>VLOOKUP($C4,'[10]for slip'!$F:$BC,35,0)</f>
        <v>0</v>
      </c>
      <c r="M4" s="2">
        <f>VLOOKUP($C4,'[10]for slip'!$F:$BC,36,0)</f>
        <v>0</v>
      </c>
      <c r="N4" s="2">
        <f>VLOOKUP($C4,'[10]for slip'!$F:$BC,37,0)</f>
        <v>0</v>
      </c>
      <c r="O4" s="2">
        <f>VLOOKUP($C4,'[10]for slip'!$F:$BC,38,0)</f>
        <v>0</v>
      </c>
      <c r="P4" s="2">
        <f>VLOOKUP($C4,'[10]for slip'!$F:$BC,39,0)</f>
        <v>0</v>
      </c>
      <c r="Q4" s="2">
        <f>VLOOKUP($C4,'[10]for slip'!$F:$BC,40,0)</f>
        <v>31700</v>
      </c>
      <c r="R4" s="2">
        <f>VLOOKUP($C4,'[10]for slip'!$F:$BC,41,0)</f>
        <v>0</v>
      </c>
      <c r="S4" s="2">
        <f>VLOOKUP($C4,'[10]for slip'!$F:$BC,42,0)</f>
        <v>0</v>
      </c>
      <c r="T4" s="2">
        <f>VLOOKUP($C4,'[10]for slip'!$F:$BC,43,0)</f>
        <v>53430.83</v>
      </c>
      <c r="U4" s="2">
        <f>VLOOKUP($C4,'[10]for slip'!$F:$BC,44,0)</f>
        <v>106861.66</v>
      </c>
      <c r="V4" s="2">
        <f>VLOOKUP($C4,'[10]for slip'!$F:$BC,45,0)</f>
        <v>53430.83</v>
      </c>
      <c r="W4" s="2">
        <f>VLOOKUP($C4,'[10]for slip'!$F:$BC,48,0)</f>
        <v>0</v>
      </c>
    </row>
    <row r="5" spans="1:23" x14ac:dyDescent="0.25">
      <c r="A5" s="1">
        <v>4</v>
      </c>
      <c r="B5" s="2" t="s">
        <v>29</v>
      </c>
      <c r="C5" s="2" t="s">
        <v>30</v>
      </c>
      <c r="D5" s="2" t="str">
        <f>VLOOKUP($C5,'[10]for slip'!$F:$BC,3,0)</f>
        <v>Driver</v>
      </c>
      <c r="E5" s="2" t="str">
        <f>VLOOKUP($C5,'[10]for slip'!$F:$BC,4,0)</f>
        <v>HR &amp; GA</v>
      </c>
      <c r="F5" s="2">
        <f>VLOOKUP($C5,'[10]for slip'!$F:$BC,14,0)</f>
        <v>5343083</v>
      </c>
      <c r="G5" s="2">
        <f>VLOOKUP($C5,'[10]for slip'!$F:$BC,15,0)</f>
        <v>0</v>
      </c>
      <c r="H5" s="2">
        <f>VLOOKUP($C5,'[10]for slip'!$F:$BC,16,0)</f>
        <v>0</v>
      </c>
      <c r="I5" s="2">
        <f>VLOOKUP($C5,'[10]for slip'!$F:$BC,17,0)</f>
        <v>835300</v>
      </c>
      <c r="J5" s="2">
        <f>VLOOKUP($C5,'[10]for slip'!$F:$BC,27,0)</f>
        <v>0</v>
      </c>
      <c r="K5" s="2">
        <f>VLOOKUP($C5,'[10]for slip'!$F:$BC,31,0)</f>
        <v>0</v>
      </c>
      <c r="L5" s="2">
        <f>VLOOKUP($C5,'[10]for slip'!$F:$BC,35,0)</f>
        <v>18650.255415749987</v>
      </c>
      <c r="M5" s="2">
        <f>VLOOKUP($C5,'[10]for slip'!$F:$BC,36,0)</f>
        <v>0</v>
      </c>
      <c r="N5" s="2">
        <f>VLOOKUP($C5,'[10]for slip'!$F:$BC,37,0)</f>
        <v>0</v>
      </c>
      <c r="O5" s="2">
        <f>VLOOKUP($C5,'[10]for slip'!$F:$BC,38,0)</f>
        <v>0</v>
      </c>
      <c r="P5" s="2">
        <f>VLOOKUP($C5,'[10]for slip'!$F:$BC,39,0)</f>
        <v>0</v>
      </c>
      <c r="Q5" s="2">
        <f>VLOOKUP($C5,'[10]for slip'!$F:$BC,40,0)</f>
        <v>31700</v>
      </c>
      <c r="R5" s="2">
        <f>VLOOKUP($C5,'[10]for slip'!$F:$BC,41,0)</f>
        <v>0</v>
      </c>
      <c r="S5" s="2">
        <f>VLOOKUP($C5,'[10]for slip'!$F:$BC,42,0)</f>
        <v>0</v>
      </c>
      <c r="T5" s="2">
        <f>VLOOKUP($C5,'[10]for slip'!$F:$BC,43,0)</f>
        <v>61783.83</v>
      </c>
      <c r="U5" s="2">
        <f>VLOOKUP($C5,'[10]for slip'!$F:$BC,44,0)</f>
        <v>123567.66</v>
      </c>
      <c r="V5" s="2">
        <f>VLOOKUP($C5,'[10]for slip'!$F:$BC,45,0)</f>
        <v>61783.83</v>
      </c>
      <c r="W5" s="2">
        <f>VLOOKUP($C5,'[10]for slip'!$F:$BC,48,0)</f>
        <v>18650.255415749987</v>
      </c>
    </row>
    <row r="6" spans="1:23" x14ac:dyDescent="0.25">
      <c r="A6" s="1">
        <v>5</v>
      </c>
      <c r="B6" s="2" t="s">
        <v>31</v>
      </c>
      <c r="C6" s="2" t="s">
        <v>32</v>
      </c>
      <c r="D6" s="2" t="str">
        <f>VLOOKUP($C6,'[10]for slip'!$F:$BC,3,0)</f>
        <v>Specialist</v>
      </c>
      <c r="E6" s="2" t="str">
        <f>VLOOKUP($C6,'[10]for slip'!$F:$BC,4,0)</f>
        <v>Thailand Team</v>
      </c>
      <c r="F6" s="2">
        <f>VLOOKUP($C6,'[10]for slip'!$F:$BC,14,0)</f>
        <v>25034870</v>
      </c>
      <c r="G6" s="2">
        <f>VLOOKUP($C6,'[10]for slip'!$F:$BC,15,0)</f>
        <v>58356.340326340323</v>
      </c>
      <c r="H6" s="2">
        <f>VLOOKUP($C6,'[10]for slip'!$F:$BC,16,0)</f>
        <v>0</v>
      </c>
      <c r="I6" s="2">
        <f>VLOOKUP($C6,'[10]for slip'!$F:$BC,17,0)</f>
        <v>0</v>
      </c>
      <c r="J6" s="2">
        <f>VLOOKUP($C6,'[10]for slip'!$F:$BC,27,0)</f>
        <v>0</v>
      </c>
      <c r="K6" s="2">
        <f>VLOOKUP($C6,'[10]for slip'!$F:$BC,31,0)</f>
        <v>0</v>
      </c>
      <c r="L6" s="2">
        <f>VLOOKUP($C6,'[10]for slip'!$F:$BC,35,0)</f>
        <v>2990008.7953793183</v>
      </c>
      <c r="M6" s="2">
        <f>VLOOKUP($C6,'[10]for slip'!$F:$BC,36,0)</f>
        <v>0</v>
      </c>
      <c r="N6" s="2">
        <f>VLOOKUP($C6,'[10]for slip'!$F:$BC,37,0)</f>
        <v>0</v>
      </c>
      <c r="O6" s="2">
        <f>VLOOKUP($C6,'[10]for slip'!$F:$BC,38,0)</f>
        <v>0</v>
      </c>
      <c r="P6" s="2">
        <f>VLOOKUP($C6,'[10]for slip'!$F:$BC,39,0)</f>
        <v>0</v>
      </c>
      <c r="Q6" s="2">
        <f>VLOOKUP($C6,'[10]for slip'!$F:$BC,40,0)</f>
        <v>31700</v>
      </c>
      <c r="R6" s="2">
        <f>VLOOKUP($C6,'[10]for slip'!$F:$BC,41,0)</f>
        <v>0</v>
      </c>
      <c r="S6" s="2">
        <f>VLOOKUP($C6,'[10]for slip'!$F:$BC,42,0)</f>
        <v>0</v>
      </c>
      <c r="T6" s="2">
        <f>VLOOKUP($C6,'[10]for slip'!$F:$BC,43,0)</f>
        <v>120000</v>
      </c>
      <c r="U6" s="2">
        <f>VLOOKUP($C6,'[10]for slip'!$F:$BC,44,0)</f>
        <v>533925.50018181815</v>
      </c>
      <c r="V6" s="2">
        <f>VLOOKUP($C6,'[10]for slip'!$F:$BC,45,0)</f>
        <v>0</v>
      </c>
      <c r="W6" s="2">
        <f>VLOOKUP($C6,'[10]for slip'!$F:$BC,48,0)</f>
        <v>0</v>
      </c>
    </row>
    <row r="7" spans="1:23" x14ac:dyDescent="0.25">
      <c r="A7" s="1">
        <v>6</v>
      </c>
      <c r="B7" s="2" t="s">
        <v>33</v>
      </c>
      <c r="C7" s="2" t="s">
        <v>34</v>
      </c>
      <c r="D7" s="2" t="str">
        <f>VLOOKUP($C7,'[10]for slip'!$F:$BC,3,0)</f>
        <v>Secretary</v>
      </c>
      <c r="E7" s="2" t="str">
        <f>VLOOKUP($C7,'[10]for slip'!$F:$BC,4,0)</f>
        <v>Thailand Team</v>
      </c>
      <c r="F7" s="2">
        <f>VLOOKUP($C7,'[10]for slip'!$F:$BC,14,0)</f>
        <v>14000000</v>
      </c>
      <c r="G7" s="2">
        <f>VLOOKUP($C7,'[10]for slip'!$F:$BC,15,0)</f>
        <v>32634.032634032636</v>
      </c>
      <c r="H7" s="2">
        <f>VLOOKUP($C7,'[10]for slip'!$F:$BC,16,0)</f>
        <v>0</v>
      </c>
      <c r="I7" s="2">
        <f>VLOOKUP($C7,'[10]for slip'!$F:$BC,17,0)</f>
        <v>0</v>
      </c>
      <c r="J7" s="2">
        <f>VLOOKUP($C7,'[10]for slip'!$F:$BC,27,0)</f>
        <v>0</v>
      </c>
      <c r="K7" s="2">
        <f>VLOOKUP($C7,'[10]for slip'!$F:$BC,31,0)</f>
        <v>0</v>
      </c>
      <c r="L7" s="2">
        <f>VLOOKUP($C7,'[10]for slip'!$F:$BC,35,0)</f>
        <v>1126558.1242424243</v>
      </c>
      <c r="M7" s="2">
        <f>VLOOKUP($C7,'[10]for slip'!$F:$BC,36,0)</f>
        <v>0</v>
      </c>
      <c r="N7" s="2">
        <f>VLOOKUP($C7,'[10]for slip'!$F:$BC,37,0)</f>
        <v>0</v>
      </c>
      <c r="O7" s="2">
        <f>VLOOKUP($C7,'[10]for slip'!$F:$BC,38,0)</f>
        <v>0</v>
      </c>
      <c r="P7" s="2">
        <f>VLOOKUP($C7,'[10]for slip'!$F:$BC,39,0)</f>
        <v>0</v>
      </c>
      <c r="Q7" s="2">
        <f>VLOOKUP($C7,'[10]for slip'!$F:$BC,40,0)</f>
        <v>31700</v>
      </c>
      <c r="R7" s="2">
        <f>VLOOKUP($C7,'[10]for slip'!$F:$BC,41,0)</f>
        <v>0</v>
      </c>
      <c r="S7" s="2">
        <f>VLOOKUP($C7,'[10]for slip'!$F:$BC,42,0)</f>
        <v>0</v>
      </c>
      <c r="T7" s="2">
        <f>VLOOKUP($C7,'[10]for slip'!$F:$BC,43,0)</f>
        <v>120000</v>
      </c>
      <c r="U7" s="2">
        <f>VLOOKUP($C7,'[10]for slip'!$F:$BC,44,0)</f>
        <v>298581.81818181823</v>
      </c>
      <c r="V7" s="2">
        <f>VLOOKUP($C7,'[10]for slip'!$F:$BC,45,0)</f>
        <v>0</v>
      </c>
      <c r="W7" s="2">
        <f>VLOOKUP($C7,'[10]for slip'!$F:$BC,48,0)</f>
        <v>0</v>
      </c>
    </row>
    <row r="8" spans="1:23" x14ac:dyDescent="0.25">
      <c r="A8" s="1">
        <v>7</v>
      </c>
      <c r="B8" s="2" t="s">
        <v>35</v>
      </c>
      <c r="C8" s="2" t="s">
        <v>36</v>
      </c>
      <c r="D8" s="2" t="str">
        <f>VLOOKUP($C8,'[10]for slip'!$F:$BC,3,0)</f>
        <v>Sect. Head</v>
      </c>
      <c r="E8" s="2" t="str">
        <f>VLOOKUP($C8,'[10]for slip'!$F:$BC,4,0)</f>
        <v>Prod. Stamping</v>
      </c>
      <c r="F8" s="2">
        <f>VLOOKUP($C8,'[10]for slip'!$F:$BC,14,0)</f>
        <v>5487922</v>
      </c>
      <c r="G8" s="2">
        <f>VLOOKUP($C8,'[10]for slip'!$F:$BC,15,0)</f>
        <v>1500000</v>
      </c>
      <c r="H8" s="2">
        <f>VLOOKUP($C8,'[10]for slip'!$F:$BC,16,0)</f>
        <v>0</v>
      </c>
      <c r="I8" s="2">
        <f>VLOOKUP($C8,'[10]for slip'!$F:$BC,17,0)</f>
        <v>213723</v>
      </c>
      <c r="J8" s="2">
        <f>VLOOKUP($C8,'[10]for slip'!$F:$BC,27,0)</f>
        <v>0</v>
      </c>
      <c r="K8" s="2">
        <f>VLOOKUP($C8,'[10]for slip'!$F:$BC,31,0)</f>
        <v>0</v>
      </c>
      <c r="L8" s="2">
        <f>VLOOKUP($C8,'[10]for slip'!$F:$BC,35,0)</f>
        <v>68319.648711249974</v>
      </c>
      <c r="M8" s="2">
        <f>VLOOKUP($C8,'[10]for slip'!$F:$BC,36,0)</f>
        <v>0</v>
      </c>
      <c r="N8" s="2">
        <f>VLOOKUP($C8,'[10]for slip'!$F:$BC,37,0)</f>
        <v>0</v>
      </c>
      <c r="O8" s="2">
        <f>VLOOKUP($C8,'[10]for slip'!$F:$BC,38,0)</f>
        <v>0</v>
      </c>
      <c r="P8" s="2">
        <f>VLOOKUP($C8,'[10]for slip'!$F:$BC,39,0)</f>
        <v>38000</v>
      </c>
      <c r="Q8" s="2">
        <f>VLOOKUP($C8,'[10]for slip'!$F:$BC,40,0)</f>
        <v>31700</v>
      </c>
      <c r="R8" s="2">
        <f>VLOOKUP($C8,'[10]for slip'!$F:$BC,41,0)</f>
        <v>0</v>
      </c>
      <c r="S8" s="2">
        <f>VLOOKUP($C8,'[10]for slip'!$F:$BC,42,0)</f>
        <v>10000</v>
      </c>
      <c r="T8" s="2">
        <f>VLOOKUP($C8,'[10]for slip'!$F:$BC,43,0)</f>
        <v>72016.45</v>
      </c>
      <c r="U8" s="2">
        <f>VLOOKUP($C8,'[10]for slip'!$F:$BC,44,0)</f>
        <v>144032.9</v>
      </c>
      <c r="V8" s="2">
        <f>VLOOKUP($C8,'[10]for slip'!$F:$BC,45,0)</f>
        <v>72016.45</v>
      </c>
      <c r="W8" s="2">
        <f>VLOOKUP($C8,'[10]for slip'!$F:$BC,48,0)</f>
        <v>68319.648711249974</v>
      </c>
    </row>
    <row r="9" spans="1:23" x14ac:dyDescent="0.25">
      <c r="A9" s="1">
        <v>8</v>
      </c>
      <c r="B9" s="2" t="s">
        <v>37</v>
      </c>
      <c r="C9" s="2" t="s">
        <v>38</v>
      </c>
      <c r="D9" s="2" t="str">
        <f>VLOOKUP($C9,'[10]for slip'!$F:$BC,3,0)</f>
        <v>Sect. Head</v>
      </c>
      <c r="E9" s="2" t="str">
        <f>VLOOKUP($C9,'[10]for slip'!$F:$BC,4,0)</f>
        <v>Prod. Stamping</v>
      </c>
      <c r="F9" s="2">
        <f>VLOOKUP($C9,'[10]for slip'!$F:$BC,14,0)</f>
        <v>5343083</v>
      </c>
      <c r="G9" s="2">
        <f>VLOOKUP($C9,'[10]for slip'!$F:$BC,15,0)</f>
        <v>750000</v>
      </c>
      <c r="H9" s="2">
        <f>VLOOKUP($C9,'[10]for slip'!$F:$BC,16,0)</f>
        <v>0</v>
      </c>
      <c r="I9" s="2">
        <f>VLOOKUP($C9,'[10]for slip'!$F:$BC,17,0)</f>
        <v>213723</v>
      </c>
      <c r="J9" s="2">
        <f>VLOOKUP($C9,'[10]for slip'!$F:$BC,27,0)</f>
        <v>0</v>
      </c>
      <c r="K9" s="2">
        <f>VLOOKUP($C9,'[10]for slip'!$F:$BC,31,0)</f>
        <v>0</v>
      </c>
      <c r="L9" s="2">
        <f>VLOOKUP($C9,'[10]for slip'!$F:$BC,35,0)</f>
        <v>24883.939941500066</v>
      </c>
      <c r="M9" s="2">
        <f>VLOOKUP($C9,'[10]for slip'!$F:$BC,36,0)</f>
        <v>0</v>
      </c>
      <c r="N9" s="2">
        <f>VLOOKUP($C9,'[10]for slip'!$F:$BC,37,0)</f>
        <v>0</v>
      </c>
      <c r="O9" s="2">
        <f>VLOOKUP($C9,'[10]for slip'!$F:$BC,38,0)</f>
        <v>0</v>
      </c>
      <c r="P9" s="2">
        <f>VLOOKUP($C9,'[10]for slip'!$F:$BC,39,0)</f>
        <v>38000</v>
      </c>
      <c r="Q9" s="2">
        <f>VLOOKUP($C9,'[10]for slip'!$F:$BC,40,0)</f>
        <v>31700</v>
      </c>
      <c r="R9" s="2">
        <f>VLOOKUP($C9,'[10]for slip'!$F:$BC,41,0)</f>
        <v>0</v>
      </c>
      <c r="S9" s="2">
        <f>VLOOKUP($C9,'[10]for slip'!$F:$BC,42,0)</f>
        <v>0</v>
      </c>
      <c r="T9" s="2">
        <f>VLOOKUP($C9,'[10]for slip'!$F:$BC,43,0)</f>
        <v>63068.060000000005</v>
      </c>
      <c r="U9" s="2">
        <f>VLOOKUP($C9,'[10]for slip'!$F:$BC,44,0)</f>
        <v>126136.12000000001</v>
      </c>
      <c r="V9" s="2">
        <f>VLOOKUP($C9,'[10]for slip'!$F:$BC,45,0)</f>
        <v>63068.060000000005</v>
      </c>
      <c r="W9" s="2">
        <f>VLOOKUP($C9,'[10]for slip'!$F:$BC,48,0)</f>
        <v>24883.939941500066</v>
      </c>
    </row>
    <row r="10" spans="1:23" x14ac:dyDescent="0.25">
      <c r="A10" s="1">
        <v>9</v>
      </c>
      <c r="B10" s="2" t="s">
        <v>39</v>
      </c>
      <c r="C10" s="2" t="s">
        <v>40</v>
      </c>
      <c r="D10" s="2" t="str">
        <f>VLOOKUP($C10,'[10]for slip'!$F:$BC,3,0)</f>
        <v>Leader</v>
      </c>
      <c r="E10" s="2" t="str">
        <f>VLOOKUP($C10,'[10]for slip'!$F:$BC,4,0)</f>
        <v>Prod. Stamping</v>
      </c>
      <c r="F10" s="2">
        <f>VLOOKUP($C10,'[10]for slip'!$F:$BC,14,0)</f>
        <v>5343083</v>
      </c>
      <c r="G10" s="2">
        <f>VLOOKUP($C10,'[10]for slip'!$F:$BC,15,0)</f>
        <v>300000</v>
      </c>
      <c r="H10" s="2">
        <f>VLOOKUP($C10,'[10]for slip'!$F:$BC,16,0)</f>
        <v>0</v>
      </c>
      <c r="I10" s="2">
        <f>VLOOKUP($C10,'[10]for slip'!$F:$BC,17,0)</f>
        <v>0</v>
      </c>
      <c r="J10" s="2">
        <f>VLOOKUP($C10,'[10]for slip'!$F:$BC,27,0)</f>
        <v>0</v>
      </c>
      <c r="K10" s="2">
        <f>VLOOKUP($C10,'[10]for slip'!$F:$BC,31,0)</f>
        <v>0</v>
      </c>
      <c r="L10" s="2">
        <f>VLOOKUP($C10,'[10]for slip'!$F:$BC,35,0)</f>
        <v>0</v>
      </c>
      <c r="M10" s="2">
        <f>VLOOKUP($C10,'[10]for slip'!$F:$BC,36,0)</f>
        <v>0</v>
      </c>
      <c r="N10" s="2">
        <f>VLOOKUP($C10,'[10]for slip'!$F:$BC,37,0)</f>
        <v>0</v>
      </c>
      <c r="O10" s="2">
        <f>VLOOKUP($C10,'[10]for slip'!$F:$BC,38,0)</f>
        <v>0</v>
      </c>
      <c r="P10" s="2">
        <f>VLOOKUP($C10,'[10]for slip'!$F:$BC,39,0)</f>
        <v>38000</v>
      </c>
      <c r="Q10" s="2">
        <f>VLOOKUP($C10,'[10]for slip'!$F:$BC,40,0)</f>
        <v>31700</v>
      </c>
      <c r="R10" s="2">
        <f>VLOOKUP($C10,'[10]for slip'!$F:$BC,41,0)</f>
        <v>0</v>
      </c>
      <c r="S10" s="2">
        <f>VLOOKUP($C10,'[10]for slip'!$F:$BC,42,0)</f>
        <v>0</v>
      </c>
      <c r="T10" s="2">
        <f>VLOOKUP($C10,'[10]for slip'!$F:$BC,43,0)</f>
        <v>56430.83</v>
      </c>
      <c r="U10" s="2">
        <f>VLOOKUP($C10,'[10]for slip'!$F:$BC,44,0)</f>
        <v>112861.66</v>
      </c>
      <c r="V10" s="2">
        <f>VLOOKUP($C10,'[10]for slip'!$F:$BC,45,0)</f>
        <v>56430.83</v>
      </c>
      <c r="W10" s="2">
        <f>VLOOKUP($C10,'[10]for slip'!$F:$BC,48,0)</f>
        <v>0</v>
      </c>
    </row>
    <row r="11" spans="1:23" x14ac:dyDescent="0.25">
      <c r="A11" s="1">
        <v>10</v>
      </c>
      <c r="B11" s="2" t="s">
        <v>41</v>
      </c>
      <c r="C11" s="2" t="s">
        <v>42</v>
      </c>
      <c r="D11" s="2" t="str">
        <f>VLOOKUP($C11,'[10]for slip'!$F:$BC,3,0)</f>
        <v>Leader</v>
      </c>
      <c r="E11" s="2" t="str">
        <f>VLOOKUP($C11,'[10]for slip'!$F:$BC,4,0)</f>
        <v>Prod. Stamping</v>
      </c>
      <c r="F11" s="2">
        <f>VLOOKUP($C11,'[10]for slip'!$F:$BC,14,0)</f>
        <v>5343083</v>
      </c>
      <c r="G11" s="2">
        <f>VLOOKUP($C11,'[10]for slip'!$F:$BC,15,0)</f>
        <v>300000</v>
      </c>
      <c r="H11" s="2">
        <f>VLOOKUP($C11,'[10]for slip'!$F:$BC,16,0)</f>
        <v>0</v>
      </c>
      <c r="I11" s="2">
        <f>VLOOKUP($C11,'[10]for slip'!$F:$BC,17,0)</f>
        <v>0</v>
      </c>
      <c r="J11" s="2">
        <f>VLOOKUP($C11,'[10]for slip'!$F:$BC,27,0)</f>
        <v>0</v>
      </c>
      <c r="K11" s="2">
        <f>VLOOKUP($C11,'[10]for slip'!$F:$BC,31,0)</f>
        <v>0</v>
      </c>
      <c r="L11" s="2">
        <f>VLOOKUP($C11,'[10]for slip'!$F:$BC,35,0)</f>
        <v>11416.65959074997</v>
      </c>
      <c r="M11" s="2">
        <f>VLOOKUP($C11,'[10]for slip'!$F:$BC,36,0)</f>
        <v>0</v>
      </c>
      <c r="N11" s="2">
        <f>VLOOKUP($C11,'[10]for slip'!$F:$BC,37,0)</f>
        <v>0</v>
      </c>
      <c r="O11" s="2">
        <f>VLOOKUP($C11,'[10]for slip'!$F:$BC,38,0)</f>
        <v>0</v>
      </c>
      <c r="P11" s="2">
        <f>VLOOKUP($C11,'[10]for slip'!$F:$BC,39,0)</f>
        <v>0</v>
      </c>
      <c r="Q11" s="2">
        <f>VLOOKUP($C11,'[10]for slip'!$F:$BC,40,0)</f>
        <v>31700</v>
      </c>
      <c r="R11" s="2">
        <f>VLOOKUP($C11,'[10]for slip'!$F:$BC,41,0)</f>
        <v>0</v>
      </c>
      <c r="S11" s="2">
        <f>VLOOKUP($C11,'[10]for slip'!$F:$BC,42,0)</f>
        <v>0</v>
      </c>
      <c r="T11" s="2">
        <f>VLOOKUP($C11,'[10]for slip'!$F:$BC,43,0)</f>
        <v>56430.83</v>
      </c>
      <c r="U11" s="2">
        <f>VLOOKUP($C11,'[10]for slip'!$F:$BC,44,0)</f>
        <v>112861.66</v>
      </c>
      <c r="V11" s="2">
        <f>VLOOKUP($C11,'[10]for slip'!$F:$BC,45,0)</f>
        <v>56430.83</v>
      </c>
      <c r="W11" s="2">
        <f>VLOOKUP($C11,'[10]for slip'!$F:$BC,48,0)</f>
        <v>11416.65959074997</v>
      </c>
    </row>
    <row r="12" spans="1:23" x14ac:dyDescent="0.25">
      <c r="A12" s="1">
        <v>11</v>
      </c>
      <c r="B12" s="2" t="s">
        <v>43</v>
      </c>
      <c r="C12" s="2" t="s">
        <v>44</v>
      </c>
      <c r="D12" s="2" t="str">
        <f>VLOOKUP($C12,'[10]for slip'!$F:$BC,3,0)</f>
        <v>Leader</v>
      </c>
      <c r="E12" s="2" t="str">
        <f>VLOOKUP($C12,'[10]for slip'!$F:$BC,4,0)</f>
        <v>Prod. Stamping</v>
      </c>
      <c r="F12" s="2">
        <f>VLOOKUP($C12,'[10]for slip'!$F:$BC,14,0)</f>
        <v>5343083</v>
      </c>
      <c r="G12" s="2">
        <f>VLOOKUP($C12,'[10]for slip'!$F:$BC,15,0)</f>
        <v>300000</v>
      </c>
      <c r="H12" s="2">
        <f>VLOOKUP($C12,'[10]for slip'!$F:$BC,16,0)</f>
        <v>0</v>
      </c>
      <c r="I12" s="2">
        <f>VLOOKUP($C12,'[10]for slip'!$F:$BC,17,0)</f>
        <v>0</v>
      </c>
      <c r="J12" s="2">
        <f>VLOOKUP($C12,'[10]for slip'!$F:$BC,27,0)</f>
        <v>0</v>
      </c>
      <c r="K12" s="2">
        <f>VLOOKUP($C12,'[10]for slip'!$F:$BC,31,0)</f>
        <v>0</v>
      </c>
      <c r="L12" s="2">
        <f>VLOOKUP($C12,'[10]for slip'!$F:$BC,35,0)</f>
        <v>0</v>
      </c>
      <c r="M12" s="2">
        <f>VLOOKUP($C12,'[10]for slip'!$F:$BC,36,0)</f>
        <v>0</v>
      </c>
      <c r="N12" s="2">
        <f>VLOOKUP($C12,'[10]for slip'!$F:$BC,37,0)</f>
        <v>0</v>
      </c>
      <c r="O12" s="2">
        <f>VLOOKUP($C12,'[10]for slip'!$F:$BC,38,0)</f>
        <v>0</v>
      </c>
      <c r="P12" s="2">
        <f>VLOOKUP($C12,'[10]for slip'!$F:$BC,39,0)</f>
        <v>38000</v>
      </c>
      <c r="Q12" s="2">
        <f>VLOOKUP($C12,'[10]for slip'!$F:$BC,40,0)</f>
        <v>31700</v>
      </c>
      <c r="R12" s="2">
        <f>VLOOKUP($C12,'[10]for slip'!$F:$BC,41,0)</f>
        <v>0</v>
      </c>
      <c r="S12" s="2">
        <f>VLOOKUP($C12,'[10]for slip'!$F:$BC,42,0)</f>
        <v>10000</v>
      </c>
      <c r="T12" s="2">
        <f>VLOOKUP($C12,'[10]for slip'!$F:$BC,43,0)</f>
        <v>56430.83</v>
      </c>
      <c r="U12" s="2">
        <f>VLOOKUP($C12,'[10]for slip'!$F:$BC,44,0)</f>
        <v>112861.66</v>
      </c>
      <c r="V12" s="2">
        <f>VLOOKUP($C12,'[10]for slip'!$F:$BC,45,0)</f>
        <v>56430.83</v>
      </c>
      <c r="W12" s="2">
        <f>VLOOKUP($C12,'[10]for slip'!$F:$BC,48,0)</f>
        <v>0</v>
      </c>
    </row>
    <row r="13" spans="1:23" x14ac:dyDescent="0.25">
      <c r="A13" s="1">
        <v>12</v>
      </c>
      <c r="B13" s="2" t="s">
        <v>45</v>
      </c>
      <c r="C13" s="2" t="s">
        <v>46</v>
      </c>
      <c r="D13" s="2" t="str">
        <f>VLOOKUP($C13,'[10]for slip'!$F:$BC,3,0)</f>
        <v>Leader</v>
      </c>
      <c r="E13" s="2" t="str">
        <f>VLOOKUP($C13,'[10]for slip'!$F:$BC,4,0)</f>
        <v>Prod. Stamping</v>
      </c>
      <c r="F13" s="2">
        <f>VLOOKUP($C13,'[10]for slip'!$F:$BC,14,0)</f>
        <v>5343083</v>
      </c>
      <c r="G13" s="2">
        <f>VLOOKUP($C13,'[10]for slip'!$F:$BC,15,0)</f>
        <v>400000</v>
      </c>
      <c r="H13" s="2">
        <f>VLOOKUP($C13,'[10]for slip'!$F:$BC,16,0)</f>
        <v>0</v>
      </c>
      <c r="I13" s="2">
        <f>VLOOKUP($C13,'[10]for slip'!$F:$BC,17,0)</f>
        <v>0</v>
      </c>
      <c r="J13" s="2">
        <f>VLOOKUP($C13,'[10]for slip'!$F:$BC,27,0)</f>
        <v>0</v>
      </c>
      <c r="K13" s="2">
        <f>VLOOKUP($C13,'[10]for slip'!$F:$BC,31,0)</f>
        <v>0</v>
      </c>
      <c r="L13" s="2">
        <f>VLOOKUP($C13,'[10]for slip'!$F:$BC,35,0)</f>
        <v>53770.684590749974</v>
      </c>
      <c r="M13" s="2">
        <f>VLOOKUP($C13,'[10]for slip'!$F:$BC,36,0)</f>
        <v>0</v>
      </c>
      <c r="N13" s="2">
        <f>VLOOKUP($C13,'[10]for slip'!$F:$BC,37,0)</f>
        <v>0</v>
      </c>
      <c r="O13" s="2">
        <f>VLOOKUP($C13,'[10]for slip'!$F:$BC,38,0)</f>
        <v>0</v>
      </c>
      <c r="P13" s="2">
        <f>VLOOKUP($C13,'[10]for slip'!$F:$BC,39,0)</f>
        <v>38000</v>
      </c>
      <c r="Q13" s="2">
        <f>VLOOKUP($C13,'[10]for slip'!$F:$BC,40,0)</f>
        <v>31700</v>
      </c>
      <c r="R13" s="2">
        <f>VLOOKUP($C13,'[10]for slip'!$F:$BC,41,0)</f>
        <v>0</v>
      </c>
      <c r="S13" s="2">
        <f>VLOOKUP($C13,'[10]for slip'!$F:$BC,42,0)</f>
        <v>0</v>
      </c>
      <c r="T13" s="2">
        <f>VLOOKUP($C13,'[10]for slip'!$F:$BC,43,0)</f>
        <v>57430.83</v>
      </c>
      <c r="U13" s="2">
        <f>VLOOKUP($C13,'[10]for slip'!$F:$BC,44,0)</f>
        <v>114861.66</v>
      </c>
      <c r="V13" s="2">
        <f>VLOOKUP($C13,'[10]for slip'!$F:$BC,45,0)</f>
        <v>57430.83</v>
      </c>
      <c r="W13" s="2">
        <f>VLOOKUP($C13,'[10]for slip'!$F:$BC,48,0)</f>
        <v>53770.684590749974</v>
      </c>
    </row>
    <row r="14" spans="1:23" x14ac:dyDescent="0.25">
      <c r="A14" s="1">
        <v>13</v>
      </c>
      <c r="B14" s="2" t="s">
        <v>47</v>
      </c>
      <c r="C14" s="2" t="s">
        <v>48</v>
      </c>
      <c r="D14" s="2" t="str">
        <f>VLOOKUP($C14,'[10]for slip'!$F:$BC,3,0)</f>
        <v>Leader</v>
      </c>
      <c r="E14" s="2" t="str">
        <f>VLOOKUP($C14,'[10]for slip'!$F:$BC,4,0)</f>
        <v>Prod. Stamping</v>
      </c>
      <c r="F14" s="2">
        <f>VLOOKUP($C14,'[10]for slip'!$F:$BC,14,0)</f>
        <v>5343083</v>
      </c>
      <c r="G14" s="2">
        <f>VLOOKUP($C14,'[10]for slip'!$F:$BC,15,0)</f>
        <v>500000</v>
      </c>
      <c r="H14" s="2">
        <f>VLOOKUP($C14,'[10]for slip'!$F:$BC,16,0)</f>
        <v>0</v>
      </c>
      <c r="I14" s="2">
        <f>VLOOKUP($C14,'[10]for slip'!$F:$BC,17,0)</f>
        <v>0</v>
      </c>
      <c r="J14" s="2">
        <f>VLOOKUP($C14,'[10]for slip'!$F:$BC,27,0)</f>
        <v>0</v>
      </c>
      <c r="K14" s="2">
        <f>VLOOKUP($C14,'[10]for slip'!$F:$BC,31,0)</f>
        <v>0</v>
      </c>
      <c r="L14" s="2">
        <f>VLOOKUP($C14,'[10]for slip'!$F:$BC,35,0)</f>
        <v>21124.709590749942</v>
      </c>
      <c r="M14" s="2">
        <f>VLOOKUP($C14,'[10]for slip'!$F:$BC,36,0)</f>
        <v>0</v>
      </c>
      <c r="N14" s="2">
        <f>VLOOKUP($C14,'[10]for slip'!$F:$BC,37,0)</f>
        <v>0</v>
      </c>
      <c r="O14" s="2">
        <f>VLOOKUP($C14,'[10]for slip'!$F:$BC,38,0)</f>
        <v>0</v>
      </c>
      <c r="P14" s="2">
        <f>VLOOKUP($C14,'[10]for slip'!$F:$BC,39,0)</f>
        <v>38000</v>
      </c>
      <c r="Q14" s="2">
        <f>VLOOKUP($C14,'[10]for slip'!$F:$BC,40,0)</f>
        <v>31700</v>
      </c>
      <c r="R14" s="2">
        <f>VLOOKUP($C14,'[10]for slip'!$F:$BC,41,0)</f>
        <v>0</v>
      </c>
      <c r="S14" s="2">
        <f>VLOOKUP($C14,'[10]for slip'!$F:$BC,42,0)</f>
        <v>10000</v>
      </c>
      <c r="T14" s="2">
        <f>VLOOKUP($C14,'[10]for slip'!$F:$BC,43,0)</f>
        <v>58430.83</v>
      </c>
      <c r="U14" s="2">
        <f>VLOOKUP($C14,'[10]for slip'!$F:$BC,44,0)</f>
        <v>116861.66</v>
      </c>
      <c r="V14" s="2">
        <f>VLOOKUP($C14,'[10]for slip'!$F:$BC,45,0)</f>
        <v>58430.83</v>
      </c>
      <c r="W14" s="2">
        <f>VLOOKUP($C14,'[10]for slip'!$F:$BC,48,0)</f>
        <v>21124.709590749942</v>
      </c>
    </row>
    <row r="15" spans="1:23" x14ac:dyDescent="0.25">
      <c r="A15" s="1">
        <v>14</v>
      </c>
      <c r="B15" s="2" t="s">
        <v>49</v>
      </c>
      <c r="C15" s="2" t="s">
        <v>50</v>
      </c>
      <c r="D15" s="2" t="str">
        <f>VLOOKUP($C15,'[10]for slip'!$F:$BC,3,0)</f>
        <v>Leader</v>
      </c>
      <c r="E15" s="2" t="str">
        <f>VLOOKUP($C15,'[10]for slip'!$F:$BC,4,0)</f>
        <v>Prod. Stamping</v>
      </c>
      <c r="F15" s="2">
        <f>VLOOKUP($C15,'[10]for slip'!$F:$BC,14,0)</f>
        <v>5343083</v>
      </c>
      <c r="G15" s="2">
        <f>VLOOKUP($C15,'[10]for slip'!$F:$BC,15,0)</f>
        <v>300000</v>
      </c>
      <c r="H15" s="2">
        <f>VLOOKUP($C15,'[10]for slip'!$F:$BC,16,0)</f>
        <v>0</v>
      </c>
      <c r="I15" s="2">
        <f>VLOOKUP($C15,'[10]for slip'!$F:$BC,17,0)</f>
        <v>0</v>
      </c>
      <c r="J15" s="2">
        <f>VLOOKUP($C15,'[10]for slip'!$F:$BC,27,0)</f>
        <v>0</v>
      </c>
      <c r="K15" s="2">
        <f>VLOOKUP($C15,'[10]for slip'!$F:$BC,31,0)</f>
        <v>0</v>
      </c>
      <c r="L15" s="2">
        <f>VLOOKUP($C15,'[10]for slip'!$F:$BC,35,0)</f>
        <v>0</v>
      </c>
      <c r="M15" s="2">
        <f>VLOOKUP($C15,'[10]for slip'!$F:$BC,36,0)</f>
        <v>0</v>
      </c>
      <c r="N15" s="2">
        <f>VLOOKUP($C15,'[10]for slip'!$F:$BC,37,0)</f>
        <v>1</v>
      </c>
      <c r="O15" s="2">
        <f>VLOOKUP($C15,'[10]for slip'!$F:$BC,38,0)</f>
        <v>268718</v>
      </c>
      <c r="P15" s="2">
        <f>VLOOKUP($C15,'[10]for slip'!$F:$BC,39,0)</f>
        <v>38000</v>
      </c>
      <c r="Q15" s="2">
        <f>VLOOKUP($C15,'[10]for slip'!$F:$BC,40,0)</f>
        <v>31700</v>
      </c>
      <c r="R15" s="2">
        <f>VLOOKUP($C15,'[10]for slip'!$F:$BC,41,0)</f>
        <v>0</v>
      </c>
      <c r="S15" s="2">
        <f>VLOOKUP($C15,'[10]for slip'!$F:$BC,42,0)</f>
        <v>10000</v>
      </c>
      <c r="T15" s="2">
        <f>VLOOKUP($C15,'[10]for slip'!$F:$BC,43,0)</f>
        <v>56430.83</v>
      </c>
      <c r="U15" s="2">
        <f>VLOOKUP($C15,'[10]for slip'!$F:$BC,44,0)</f>
        <v>112861.66</v>
      </c>
      <c r="V15" s="2">
        <f>VLOOKUP($C15,'[10]for slip'!$F:$BC,45,0)</f>
        <v>56430.83</v>
      </c>
      <c r="W15" s="2">
        <f>VLOOKUP($C15,'[10]for slip'!$F:$BC,48,0)</f>
        <v>0</v>
      </c>
    </row>
    <row r="16" spans="1:23" x14ac:dyDescent="0.25">
      <c r="A16" s="1">
        <v>15</v>
      </c>
      <c r="B16" s="2" t="s">
        <v>51</v>
      </c>
      <c r="C16" s="2" t="s">
        <v>52</v>
      </c>
      <c r="D16" s="2" t="str">
        <f>VLOOKUP($C16,'[10]for slip'!$F:$BC,3,0)</f>
        <v>Leader</v>
      </c>
      <c r="E16" s="2" t="str">
        <f>VLOOKUP($C16,'[10]for slip'!$F:$BC,4,0)</f>
        <v>Prod. Stamping</v>
      </c>
      <c r="F16" s="2">
        <f>VLOOKUP($C16,'[10]for slip'!$F:$BC,14,0)</f>
        <v>5343083</v>
      </c>
      <c r="G16" s="2">
        <f>VLOOKUP($C16,'[10]for slip'!$F:$BC,15,0)</f>
        <v>500000</v>
      </c>
      <c r="H16" s="2">
        <f>VLOOKUP($C16,'[10]for slip'!$F:$BC,16,0)</f>
        <v>0</v>
      </c>
      <c r="I16" s="2">
        <f>VLOOKUP($C16,'[10]for slip'!$F:$BC,17,0)</f>
        <v>0</v>
      </c>
      <c r="J16" s="2">
        <f>VLOOKUP($C16,'[10]for slip'!$F:$BC,27,0)</f>
        <v>0</v>
      </c>
      <c r="K16" s="2">
        <f>VLOOKUP($C16,'[10]for slip'!$F:$BC,31,0)</f>
        <v>0</v>
      </c>
      <c r="L16" s="2">
        <f>VLOOKUP($C16,'[10]for slip'!$F:$BC,35,0)</f>
        <v>21124.709590749942</v>
      </c>
      <c r="M16" s="2">
        <f>VLOOKUP($C16,'[10]for slip'!$F:$BC,36,0)</f>
        <v>0</v>
      </c>
      <c r="N16" s="2">
        <f>VLOOKUP($C16,'[10]for slip'!$F:$BC,37,0)</f>
        <v>0</v>
      </c>
      <c r="O16" s="2">
        <f>VLOOKUP($C16,'[10]for slip'!$F:$BC,38,0)</f>
        <v>0</v>
      </c>
      <c r="P16" s="2">
        <f>VLOOKUP($C16,'[10]for slip'!$F:$BC,39,0)</f>
        <v>38000</v>
      </c>
      <c r="Q16" s="2">
        <f>VLOOKUP($C16,'[10]for slip'!$F:$BC,40,0)</f>
        <v>31700</v>
      </c>
      <c r="R16" s="2">
        <f>VLOOKUP($C16,'[10]for slip'!$F:$BC,41,0)</f>
        <v>0</v>
      </c>
      <c r="S16" s="2">
        <f>VLOOKUP($C16,'[10]for slip'!$F:$BC,42,0)</f>
        <v>10000</v>
      </c>
      <c r="T16" s="2">
        <f>VLOOKUP($C16,'[10]for slip'!$F:$BC,43,0)</f>
        <v>58430.83</v>
      </c>
      <c r="U16" s="2">
        <f>VLOOKUP($C16,'[10]for slip'!$F:$BC,44,0)</f>
        <v>116861.66</v>
      </c>
      <c r="V16" s="2">
        <f>VLOOKUP($C16,'[10]for slip'!$F:$BC,45,0)</f>
        <v>58430.83</v>
      </c>
      <c r="W16" s="2">
        <f>VLOOKUP($C16,'[10]for slip'!$F:$BC,48,0)</f>
        <v>21124.709590749942</v>
      </c>
    </row>
    <row r="17" spans="1:23" x14ac:dyDescent="0.25">
      <c r="A17" s="1">
        <v>16</v>
      </c>
      <c r="B17" s="2" t="s">
        <v>53</v>
      </c>
      <c r="C17" s="2" t="s">
        <v>54</v>
      </c>
      <c r="D17" s="2" t="str">
        <f>VLOOKUP($C17,'[10]for slip'!$F:$BC,3,0)</f>
        <v>Leader</v>
      </c>
      <c r="E17" s="2" t="str">
        <f>VLOOKUP($C17,'[10]for slip'!$F:$BC,4,0)</f>
        <v>Prod. Stamping</v>
      </c>
      <c r="F17" s="2">
        <f>VLOOKUP($C17,'[10]for slip'!$F:$BC,14,0)</f>
        <v>5343083</v>
      </c>
      <c r="G17" s="2">
        <f>VLOOKUP($C17,'[10]for slip'!$F:$BC,15,0)</f>
        <v>300000</v>
      </c>
      <c r="H17" s="2">
        <f>VLOOKUP($C17,'[10]for slip'!$F:$BC,16,0)</f>
        <v>0</v>
      </c>
      <c r="I17" s="2">
        <f>VLOOKUP($C17,'[10]for slip'!$F:$BC,17,0)</f>
        <v>0</v>
      </c>
      <c r="J17" s="2">
        <f>VLOOKUP($C17,'[10]for slip'!$F:$BC,27,0)</f>
        <v>0</v>
      </c>
      <c r="K17" s="2">
        <f>VLOOKUP($C17,'[10]for slip'!$F:$BC,31,0)</f>
        <v>0</v>
      </c>
      <c r="L17" s="2">
        <f>VLOOKUP($C17,'[10]for slip'!$F:$BC,35,0)</f>
        <v>0</v>
      </c>
      <c r="M17" s="2">
        <f>VLOOKUP($C17,'[10]for slip'!$F:$BC,36,0)</f>
        <v>0</v>
      </c>
      <c r="N17" s="2">
        <f>VLOOKUP($C17,'[10]for slip'!$F:$BC,37,0)</f>
        <v>0</v>
      </c>
      <c r="O17" s="2">
        <f>VLOOKUP($C17,'[10]for slip'!$F:$BC,38,0)</f>
        <v>0</v>
      </c>
      <c r="P17" s="2">
        <f>VLOOKUP($C17,'[10]for slip'!$F:$BC,39,0)</f>
        <v>38000</v>
      </c>
      <c r="Q17" s="2">
        <f>VLOOKUP($C17,'[10]for slip'!$F:$BC,40,0)</f>
        <v>31700</v>
      </c>
      <c r="R17" s="2">
        <f>VLOOKUP($C17,'[10]for slip'!$F:$BC,41,0)</f>
        <v>0</v>
      </c>
      <c r="S17" s="2">
        <f>VLOOKUP($C17,'[10]for slip'!$F:$BC,42,0)</f>
        <v>0</v>
      </c>
      <c r="T17" s="2">
        <f>VLOOKUP($C17,'[10]for slip'!$F:$BC,43,0)</f>
        <v>56430.83</v>
      </c>
      <c r="U17" s="2">
        <f>VLOOKUP($C17,'[10]for slip'!$F:$BC,44,0)</f>
        <v>112861.66</v>
      </c>
      <c r="V17" s="2">
        <f>VLOOKUP($C17,'[10]for slip'!$F:$BC,45,0)</f>
        <v>56430.83</v>
      </c>
      <c r="W17" s="2">
        <f>VLOOKUP($C17,'[10]for slip'!$F:$BC,48,0)</f>
        <v>0</v>
      </c>
    </row>
    <row r="18" spans="1:23" x14ac:dyDescent="0.25">
      <c r="A18" s="1">
        <v>17</v>
      </c>
      <c r="B18" s="2" t="s">
        <v>55</v>
      </c>
      <c r="C18" s="2" t="s">
        <v>56</v>
      </c>
      <c r="D18" s="2" t="str">
        <f>VLOOKUP($C18,'[10]for slip'!$F:$BC,3,0)</f>
        <v>Leader</v>
      </c>
      <c r="E18" s="2" t="str">
        <f>VLOOKUP($C18,'[10]for slip'!$F:$BC,4,0)</f>
        <v>Prod. Stamping</v>
      </c>
      <c r="F18" s="2">
        <f>VLOOKUP($C18,'[10]for slip'!$F:$BC,14,0)</f>
        <v>5343083</v>
      </c>
      <c r="G18" s="2">
        <f>VLOOKUP($C18,'[10]for slip'!$F:$BC,15,0)</f>
        <v>500000</v>
      </c>
      <c r="H18" s="2">
        <f>VLOOKUP($C18,'[10]for slip'!$F:$BC,16,0)</f>
        <v>0</v>
      </c>
      <c r="I18" s="2">
        <f>VLOOKUP($C18,'[10]for slip'!$F:$BC,17,0)</f>
        <v>0</v>
      </c>
      <c r="J18" s="2">
        <f>VLOOKUP($C18,'[10]for slip'!$F:$BC,27,0)</f>
        <v>0</v>
      </c>
      <c r="K18" s="2">
        <f>VLOOKUP($C18,'[10]for slip'!$F:$BC,31,0)</f>
        <v>0</v>
      </c>
      <c r="L18" s="2">
        <f>VLOOKUP($C18,'[10]for slip'!$F:$BC,35,0)</f>
        <v>2374.7095907499393</v>
      </c>
      <c r="M18" s="2">
        <f>VLOOKUP($C18,'[10]for slip'!$F:$BC,36,0)</f>
        <v>0</v>
      </c>
      <c r="N18" s="2">
        <f>VLOOKUP($C18,'[10]for slip'!$F:$BC,37,0)</f>
        <v>0</v>
      </c>
      <c r="O18" s="2">
        <f>VLOOKUP($C18,'[10]for slip'!$F:$BC,38,0)</f>
        <v>0</v>
      </c>
      <c r="P18" s="2">
        <f>VLOOKUP($C18,'[10]for slip'!$F:$BC,39,0)</f>
        <v>38000</v>
      </c>
      <c r="Q18" s="2">
        <f>VLOOKUP($C18,'[10]for slip'!$F:$BC,40,0)</f>
        <v>31700</v>
      </c>
      <c r="R18" s="2">
        <f>VLOOKUP($C18,'[10]for slip'!$F:$BC,41,0)</f>
        <v>0</v>
      </c>
      <c r="S18" s="2">
        <f>VLOOKUP($C18,'[10]for slip'!$F:$BC,42,0)</f>
        <v>10000</v>
      </c>
      <c r="T18" s="2">
        <f>VLOOKUP($C18,'[10]for slip'!$F:$BC,43,0)</f>
        <v>58430.83</v>
      </c>
      <c r="U18" s="2">
        <f>VLOOKUP($C18,'[10]for slip'!$F:$BC,44,0)</f>
        <v>116861.66</v>
      </c>
      <c r="V18" s="2">
        <f>VLOOKUP($C18,'[10]for slip'!$F:$BC,45,0)</f>
        <v>58430.83</v>
      </c>
      <c r="W18" s="2">
        <f>VLOOKUP($C18,'[10]for slip'!$F:$BC,48,0)</f>
        <v>2374.7095907499393</v>
      </c>
    </row>
    <row r="19" spans="1:23" x14ac:dyDescent="0.25">
      <c r="A19" s="1">
        <v>18</v>
      </c>
      <c r="B19" s="2" t="s">
        <v>57</v>
      </c>
      <c r="C19" s="2" t="s">
        <v>58</v>
      </c>
      <c r="D19" s="2" t="str">
        <f>VLOOKUP($C19,'[10]for slip'!$F:$BC,3,0)</f>
        <v>Leader</v>
      </c>
      <c r="E19" s="2" t="str">
        <f>VLOOKUP($C19,'[10]for slip'!$F:$BC,4,0)</f>
        <v>Prod. Stamping</v>
      </c>
      <c r="F19" s="2">
        <f>VLOOKUP($C19,'[10]for slip'!$F:$BC,14,0)</f>
        <v>5343083</v>
      </c>
      <c r="G19" s="2">
        <f>VLOOKUP($C19,'[10]for slip'!$F:$BC,15,0)</f>
        <v>300000</v>
      </c>
      <c r="H19" s="2">
        <f>VLOOKUP($C19,'[10]for slip'!$F:$BC,16,0)</f>
        <v>0</v>
      </c>
      <c r="I19" s="2">
        <f>VLOOKUP($C19,'[10]for slip'!$F:$BC,17,0)</f>
        <v>0</v>
      </c>
      <c r="J19" s="2">
        <f>VLOOKUP($C19,'[10]for slip'!$F:$BC,27,0)</f>
        <v>0</v>
      </c>
      <c r="K19" s="2">
        <f>VLOOKUP($C19,'[10]for slip'!$F:$BC,31,0)</f>
        <v>0</v>
      </c>
      <c r="L19" s="2">
        <f>VLOOKUP($C19,'[10]for slip'!$F:$BC,35,0)</f>
        <v>11416.65959074997</v>
      </c>
      <c r="M19" s="2">
        <f>VLOOKUP($C19,'[10]for slip'!$F:$BC,36,0)</f>
        <v>0</v>
      </c>
      <c r="N19" s="2">
        <f>VLOOKUP($C19,'[10]for slip'!$F:$BC,37,0)</f>
        <v>0</v>
      </c>
      <c r="O19" s="2">
        <f>VLOOKUP($C19,'[10]for slip'!$F:$BC,38,0)</f>
        <v>0</v>
      </c>
      <c r="P19" s="2">
        <f>VLOOKUP($C19,'[10]for slip'!$F:$BC,39,0)</f>
        <v>0</v>
      </c>
      <c r="Q19" s="2">
        <f>VLOOKUP($C19,'[10]for slip'!$F:$BC,40,0)</f>
        <v>31700</v>
      </c>
      <c r="R19" s="2">
        <f>VLOOKUP($C19,'[10]for slip'!$F:$BC,41,0)</f>
        <v>0</v>
      </c>
      <c r="S19" s="2">
        <f>VLOOKUP($C19,'[10]for slip'!$F:$BC,42,0)</f>
        <v>10000</v>
      </c>
      <c r="T19" s="2">
        <f>VLOOKUP($C19,'[10]for slip'!$F:$BC,43,0)</f>
        <v>56430.83</v>
      </c>
      <c r="U19" s="2">
        <f>VLOOKUP($C19,'[10]for slip'!$F:$BC,44,0)</f>
        <v>112861.66</v>
      </c>
      <c r="V19" s="2">
        <f>VLOOKUP($C19,'[10]for slip'!$F:$BC,45,0)</f>
        <v>56430.83</v>
      </c>
      <c r="W19" s="2">
        <f>VLOOKUP($C19,'[10]for slip'!$F:$BC,48,0)</f>
        <v>11416.65959074997</v>
      </c>
    </row>
    <row r="20" spans="1:23" x14ac:dyDescent="0.25">
      <c r="A20" s="1">
        <v>19</v>
      </c>
      <c r="B20" s="2" t="s">
        <v>59</v>
      </c>
      <c r="C20" s="2" t="s">
        <v>60</v>
      </c>
      <c r="D20" s="2" t="str">
        <f>VLOOKUP($C20,'[10]for slip'!$F:$BC,3,0)</f>
        <v>Leader</v>
      </c>
      <c r="E20" s="2" t="str">
        <f>VLOOKUP($C20,'[10]for slip'!$F:$BC,4,0)</f>
        <v>Prod. Stamping</v>
      </c>
      <c r="F20" s="2">
        <f>VLOOKUP($C20,'[10]for slip'!$F:$BC,14,0)</f>
        <v>5343083</v>
      </c>
      <c r="G20" s="2">
        <f>VLOOKUP($C20,'[10]for slip'!$F:$BC,15,0)</f>
        <v>300000</v>
      </c>
      <c r="H20" s="2">
        <f>VLOOKUP($C20,'[10]for slip'!$F:$BC,16,0)</f>
        <v>0</v>
      </c>
      <c r="I20" s="2">
        <f>VLOOKUP($C20,'[10]for slip'!$F:$BC,17,0)</f>
        <v>0</v>
      </c>
      <c r="J20" s="2">
        <f>VLOOKUP($C20,'[10]for slip'!$F:$BC,27,0)</f>
        <v>0</v>
      </c>
      <c r="K20" s="2">
        <f>VLOOKUP($C20,'[10]for slip'!$F:$BC,31,0)</f>
        <v>0</v>
      </c>
      <c r="L20" s="2">
        <f>VLOOKUP($C20,'[10]for slip'!$F:$BC,35,0)</f>
        <v>0</v>
      </c>
      <c r="M20" s="2">
        <f>VLOOKUP($C20,'[10]for slip'!$F:$BC,36,0)</f>
        <v>0</v>
      </c>
      <c r="N20" s="2">
        <f>VLOOKUP($C20,'[10]for slip'!$F:$BC,37,0)</f>
        <v>0</v>
      </c>
      <c r="O20" s="2">
        <f>VLOOKUP($C20,'[10]for slip'!$F:$BC,38,0)</f>
        <v>0</v>
      </c>
      <c r="P20" s="2">
        <f>VLOOKUP($C20,'[10]for slip'!$F:$BC,39,0)</f>
        <v>38000</v>
      </c>
      <c r="Q20" s="2">
        <f>VLOOKUP($C20,'[10]for slip'!$F:$BC,40,0)</f>
        <v>31700</v>
      </c>
      <c r="R20" s="2">
        <f>VLOOKUP($C20,'[10]for slip'!$F:$BC,41,0)</f>
        <v>0</v>
      </c>
      <c r="S20" s="2">
        <f>VLOOKUP($C20,'[10]for slip'!$F:$BC,42,0)</f>
        <v>10000</v>
      </c>
      <c r="T20" s="2">
        <f>VLOOKUP($C20,'[10]for slip'!$F:$BC,43,0)</f>
        <v>56430.83</v>
      </c>
      <c r="U20" s="2">
        <f>VLOOKUP($C20,'[10]for slip'!$F:$BC,44,0)</f>
        <v>112861.66</v>
      </c>
      <c r="V20" s="2">
        <f>VLOOKUP($C20,'[10]for slip'!$F:$BC,45,0)</f>
        <v>56430.83</v>
      </c>
      <c r="W20" s="2">
        <f>VLOOKUP($C20,'[10]for slip'!$F:$BC,48,0)</f>
        <v>0</v>
      </c>
    </row>
    <row r="21" spans="1:23" x14ac:dyDescent="0.25">
      <c r="A21" s="1">
        <v>20</v>
      </c>
      <c r="B21" s="2" t="s">
        <v>61</v>
      </c>
      <c r="C21" s="2" t="s">
        <v>62</v>
      </c>
      <c r="D21" s="2" t="str">
        <f>VLOOKUP($C21,'[10]for slip'!$F:$BC,3,0)</f>
        <v>Leader</v>
      </c>
      <c r="E21" s="2" t="str">
        <f>VLOOKUP($C21,'[10]for slip'!$F:$BC,4,0)</f>
        <v>Prod. Stamping</v>
      </c>
      <c r="F21" s="2">
        <f>VLOOKUP($C21,'[10]for slip'!$F:$BC,14,0)</f>
        <v>5343083</v>
      </c>
      <c r="G21" s="2">
        <f>VLOOKUP($C21,'[10]for slip'!$F:$BC,15,0)</f>
        <v>300000</v>
      </c>
      <c r="H21" s="2">
        <f>VLOOKUP($C21,'[10]for slip'!$F:$BC,16,0)</f>
        <v>0</v>
      </c>
      <c r="I21" s="2">
        <f>VLOOKUP($C21,'[10]for slip'!$F:$BC,17,0)</f>
        <v>0</v>
      </c>
      <c r="J21" s="2">
        <f>VLOOKUP($C21,'[10]for slip'!$F:$BC,27,0)</f>
        <v>0</v>
      </c>
      <c r="K21" s="2">
        <f>VLOOKUP($C21,'[10]for slip'!$F:$BC,31,0)</f>
        <v>0</v>
      </c>
      <c r="L21" s="2">
        <f>VLOOKUP($C21,'[10]for slip'!$F:$BC,35,0)</f>
        <v>0</v>
      </c>
      <c r="M21" s="2">
        <f>VLOOKUP($C21,'[10]for slip'!$F:$BC,36,0)</f>
        <v>0</v>
      </c>
      <c r="N21" s="2">
        <f>VLOOKUP($C21,'[10]for slip'!$F:$BC,37,0)</f>
        <v>0</v>
      </c>
      <c r="O21" s="2">
        <f>VLOOKUP($C21,'[10]for slip'!$F:$BC,38,0)</f>
        <v>0</v>
      </c>
      <c r="P21" s="2">
        <f>VLOOKUP($C21,'[10]for slip'!$F:$BC,39,0)</f>
        <v>38000</v>
      </c>
      <c r="Q21" s="2">
        <f>VLOOKUP($C21,'[10]for slip'!$F:$BC,40,0)</f>
        <v>31700</v>
      </c>
      <c r="R21" s="2">
        <f>VLOOKUP($C21,'[10]for slip'!$F:$BC,41,0)</f>
        <v>0</v>
      </c>
      <c r="S21" s="2">
        <f>VLOOKUP($C21,'[10]for slip'!$F:$BC,42,0)</f>
        <v>10000</v>
      </c>
      <c r="T21" s="2">
        <f>VLOOKUP($C21,'[10]for slip'!$F:$BC,43,0)</f>
        <v>56430.83</v>
      </c>
      <c r="U21" s="2">
        <f>VLOOKUP($C21,'[10]for slip'!$F:$BC,44,0)</f>
        <v>112861.66</v>
      </c>
      <c r="V21" s="2">
        <f>VLOOKUP($C21,'[10]for slip'!$F:$BC,45,0)</f>
        <v>56430.83</v>
      </c>
      <c r="W21" s="2">
        <f>VLOOKUP($C21,'[10]for slip'!$F:$BC,48,0)</f>
        <v>0</v>
      </c>
    </row>
    <row r="22" spans="1:23" x14ac:dyDescent="0.25">
      <c r="A22" s="1">
        <v>21</v>
      </c>
      <c r="B22" s="2" t="s">
        <v>63</v>
      </c>
      <c r="C22" s="2" t="s">
        <v>64</v>
      </c>
      <c r="D22" s="2" t="str">
        <f>VLOOKUP($C22,'[10]for slip'!$F:$BC,3,0)</f>
        <v>Leader</v>
      </c>
      <c r="E22" s="2" t="str">
        <f>VLOOKUP($C22,'[10]for slip'!$F:$BC,4,0)</f>
        <v>Prod. Stamping</v>
      </c>
      <c r="F22" s="2">
        <f>VLOOKUP($C22,'[10]for slip'!$F:$BC,14,0)</f>
        <v>5343083</v>
      </c>
      <c r="G22" s="2">
        <f>VLOOKUP($C22,'[10]for slip'!$F:$BC,15,0)</f>
        <v>300000</v>
      </c>
      <c r="H22" s="2">
        <f>VLOOKUP($C22,'[10]for slip'!$F:$BC,16,0)</f>
        <v>0</v>
      </c>
      <c r="I22" s="2">
        <f>VLOOKUP($C22,'[10]for slip'!$F:$BC,17,0)</f>
        <v>0</v>
      </c>
      <c r="J22" s="2">
        <f>VLOOKUP($C22,'[10]for slip'!$F:$BC,27,0)</f>
        <v>0</v>
      </c>
      <c r="K22" s="2">
        <f>VLOOKUP($C22,'[10]for slip'!$F:$BC,31,0)</f>
        <v>0</v>
      </c>
      <c r="L22" s="2">
        <f>VLOOKUP($C22,'[10]for slip'!$F:$BC,35,0)</f>
        <v>0</v>
      </c>
      <c r="M22" s="2">
        <f>VLOOKUP($C22,'[10]for slip'!$F:$BC,36,0)</f>
        <v>0</v>
      </c>
      <c r="N22" s="2">
        <f>VLOOKUP($C22,'[10]for slip'!$F:$BC,37,0)</f>
        <v>0</v>
      </c>
      <c r="O22" s="2">
        <f>VLOOKUP($C22,'[10]for slip'!$F:$BC,38,0)</f>
        <v>0</v>
      </c>
      <c r="P22" s="2">
        <f>VLOOKUP($C22,'[10]for slip'!$F:$BC,39,0)</f>
        <v>38000</v>
      </c>
      <c r="Q22" s="2">
        <f>VLOOKUP($C22,'[10]for slip'!$F:$BC,40,0)</f>
        <v>31700</v>
      </c>
      <c r="R22" s="2">
        <f>VLOOKUP($C22,'[10]for slip'!$F:$BC,41,0)</f>
        <v>0</v>
      </c>
      <c r="S22" s="2">
        <f>VLOOKUP($C22,'[10]for slip'!$F:$BC,42,0)</f>
        <v>10000</v>
      </c>
      <c r="T22" s="2">
        <f>VLOOKUP($C22,'[10]for slip'!$F:$BC,43,0)</f>
        <v>56430.83</v>
      </c>
      <c r="U22" s="2">
        <f>VLOOKUP($C22,'[10]for slip'!$F:$BC,44,0)</f>
        <v>112861.66</v>
      </c>
      <c r="V22" s="2">
        <f>VLOOKUP($C22,'[10]for slip'!$F:$BC,45,0)</f>
        <v>56430.83</v>
      </c>
      <c r="W22" s="2">
        <f>VLOOKUP($C22,'[10]for slip'!$F:$BC,48,0)</f>
        <v>0</v>
      </c>
    </row>
    <row r="23" spans="1:23" x14ac:dyDescent="0.25">
      <c r="A23" s="1">
        <v>22</v>
      </c>
      <c r="B23" s="2" t="s">
        <v>65</v>
      </c>
      <c r="C23" s="2" t="s">
        <v>66</v>
      </c>
      <c r="D23" s="2" t="str">
        <f>VLOOKUP($C23,'[10]for slip'!$F:$BC,3,0)</f>
        <v>Leader</v>
      </c>
      <c r="E23" s="2" t="str">
        <f>VLOOKUP($C23,'[10]for slip'!$F:$BC,4,0)</f>
        <v>Prod. Stamping</v>
      </c>
      <c r="F23" s="2">
        <f>VLOOKUP($C23,'[10]for slip'!$F:$BC,14,0)</f>
        <v>5343083</v>
      </c>
      <c r="G23" s="2">
        <f>VLOOKUP($C23,'[10]for slip'!$F:$BC,15,0)</f>
        <v>400000</v>
      </c>
      <c r="H23" s="2">
        <f>VLOOKUP($C23,'[10]for slip'!$F:$BC,16,0)</f>
        <v>0</v>
      </c>
      <c r="I23" s="2">
        <f>VLOOKUP($C23,'[10]for slip'!$F:$BC,17,0)</f>
        <v>0</v>
      </c>
      <c r="J23" s="2">
        <f>VLOOKUP($C23,'[10]for slip'!$F:$BC,27,0)</f>
        <v>0</v>
      </c>
      <c r="K23" s="2">
        <f>VLOOKUP($C23,'[10]for slip'!$F:$BC,31,0)</f>
        <v>0</v>
      </c>
      <c r="L23" s="2">
        <f>VLOOKUP($C23,'[10]for slip'!$F:$BC,35,0)</f>
        <v>0</v>
      </c>
      <c r="M23" s="2">
        <f>VLOOKUP($C23,'[10]for slip'!$F:$BC,36,0)</f>
        <v>0</v>
      </c>
      <c r="N23" s="2">
        <f>VLOOKUP($C23,'[10]for slip'!$F:$BC,37,0)</f>
        <v>0</v>
      </c>
      <c r="O23" s="2">
        <f>VLOOKUP($C23,'[10]for slip'!$F:$BC,38,0)</f>
        <v>0</v>
      </c>
      <c r="P23" s="2">
        <f>VLOOKUP($C23,'[10]for slip'!$F:$BC,39,0)</f>
        <v>38000</v>
      </c>
      <c r="Q23" s="2">
        <f>VLOOKUP($C23,'[10]for slip'!$F:$BC,40,0)</f>
        <v>31700</v>
      </c>
      <c r="R23" s="2">
        <f>VLOOKUP($C23,'[10]for slip'!$F:$BC,41,0)</f>
        <v>0</v>
      </c>
      <c r="S23" s="2">
        <f>VLOOKUP($C23,'[10]for slip'!$F:$BC,42,0)</f>
        <v>10000</v>
      </c>
      <c r="T23" s="2">
        <f>VLOOKUP($C23,'[10]for slip'!$F:$BC,43,0)</f>
        <v>57430.83</v>
      </c>
      <c r="U23" s="2">
        <f>VLOOKUP($C23,'[10]for slip'!$F:$BC,44,0)</f>
        <v>114861.66</v>
      </c>
      <c r="V23" s="2">
        <f>VLOOKUP($C23,'[10]for slip'!$F:$BC,45,0)</f>
        <v>57430.83</v>
      </c>
      <c r="W23" s="2">
        <f>VLOOKUP($C23,'[10]for slip'!$F:$BC,48,0)</f>
        <v>0</v>
      </c>
    </row>
    <row r="24" spans="1:23" x14ac:dyDescent="0.25">
      <c r="A24" s="1">
        <v>23</v>
      </c>
      <c r="B24" s="2" t="s">
        <v>67</v>
      </c>
      <c r="C24" s="2" t="s">
        <v>68</v>
      </c>
      <c r="D24" s="2" t="str">
        <f>VLOOKUP($C24,'[10]for slip'!$F:$BC,3,0)</f>
        <v>Leader</v>
      </c>
      <c r="E24" s="2" t="str">
        <f>VLOOKUP($C24,'[10]for slip'!$F:$BC,4,0)</f>
        <v>Prod. Stamping</v>
      </c>
      <c r="F24" s="2">
        <f>VLOOKUP($C24,'[10]for slip'!$F:$BC,14,0)</f>
        <v>5343083</v>
      </c>
      <c r="G24" s="2">
        <f>VLOOKUP($C24,'[10]for slip'!$F:$BC,15,0)</f>
        <v>500000</v>
      </c>
      <c r="H24" s="2">
        <f>VLOOKUP($C24,'[10]for slip'!$F:$BC,16,0)</f>
        <v>0</v>
      </c>
      <c r="I24" s="2">
        <f>VLOOKUP($C24,'[10]for slip'!$F:$BC,17,0)</f>
        <v>0</v>
      </c>
      <c r="J24" s="2">
        <f>VLOOKUP($C24,'[10]for slip'!$F:$BC,27,0)</f>
        <v>0</v>
      </c>
      <c r="K24" s="2">
        <f>VLOOKUP($C24,'[10]for slip'!$F:$BC,31,0)</f>
        <v>0</v>
      </c>
      <c r="L24" s="2">
        <f>VLOOKUP($C24,'[10]for slip'!$F:$BC,35,0)</f>
        <v>2374.7095907499393</v>
      </c>
      <c r="M24" s="2">
        <f>VLOOKUP($C24,'[10]for slip'!$F:$BC,36,0)</f>
        <v>0</v>
      </c>
      <c r="N24" s="2">
        <f>VLOOKUP($C24,'[10]for slip'!$F:$BC,37,0)</f>
        <v>0</v>
      </c>
      <c r="O24" s="2">
        <f>VLOOKUP($C24,'[10]for slip'!$F:$BC,38,0)</f>
        <v>0</v>
      </c>
      <c r="P24" s="2">
        <f>VLOOKUP($C24,'[10]for slip'!$F:$BC,39,0)</f>
        <v>0</v>
      </c>
      <c r="Q24" s="2">
        <f>VLOOKUP($C24,'[10]for slip'!$F:$BC,40,0)</f>
        <v>31700</v>
      </c>
      <c r="R24" s="2">
        <f>VLOOKUP($C24,'[10]for slip'!$F:$BC,41,0)</f>
        <v>0</v>
      </c>
      <c r="S24" s="2">
        <f>VLOOKUP($C24,'[10]for slip'!$F:$BC,42,0)</f>
        <v>10000</v>
      </c>
      <c r="T24" s="2">
        <f>VLOOKUP($C24,'[10]for slip'!$F:$BC,43,0)</f>
        <v>58430.83</v>
      </c>
      <c r="U24" s="2">
        <f>VLOOKUP($C24,'[10]for slip'!$F:$BC,44,0)</f>
        <v>116861.66</v>
      </c>
      <c r="V24" s="2">
        <f>VLOOKUP($C24,'[10]for slip'!$F:$BC,45,0)</f>
        <v>58430.83</v>
      </c>
      <c r="W24" s="2">
        <f>VLOOKUP($C24,'[10]for slip'!$F:$BC,48,0)</f>
        <v>2374.7095907499393</v>
      </c>
    </row>
    <row r="25" spans="1:23" x14ac:dyDescent="0.25">
      <c r="A25" s="1">
        <v>24</v>
      </c>
      <c r="B25" s="2" t="s">
        <v>69</v>
      </c>
      <c r="C25" s="2" t="s">
        <v>70</v>
      </c>
      <c r="D25" s="2" t="str">
        <f>VLOOKUP($C25,'[10]for slip'!$F:$BC,3,0)</f>
        <v>Leader</v>
      </c>
      <c r="E25" s="2" t="str">
        <f>VLOOKUP($C25,'[10]for slip'!$F:$BC,4,0)</f>
        <v>Prod. Stamping</v>
      </c>
      <c r="F25" s="2">
        <f>VLOOKUP($C25,'[10]for slip'!$F:$BC,14,0)</f>
        <v>5343083</v>
      </c>
      <c r="G25" s="2">
        <f>VLOOKUP($C25,'[10]for slip'!$F:$BC,15,0)</f>
        <v>300000</v>
      </c>
      <c r="H25" s="2">
        <f>VLOOKUP($C25,'[10]for slip'!$F:$BC,16,0)</f>
        <v>0</v>
      </c>
      <c r="I25" s="2">
        <f>VLOOKUP($C25,'[10]for slip'!$F:$BC,17,0)</f>
        <v>0</v>
      </c>
      <c r="J25" s="2">
        <f>VLOOKUP($C25,'[10]for slip'!$F:$BC,27,0)</f>
        <v>0</v>
      </c>
      <c r="K25" s="2">
        <f>VLOOKUP($C25,'[10]for slip'!$F:$BC,31,0)</f>
        <v>0</v>
      </c>
      <c r="L25" s="2">
        <f>VLOOKUP($C25,'[10]for slip'!$F:$BC,35,0)</f>
        <v>11416.65959074997</v>
      </c>
      <c r="M25" s="2">
        <f>VLOOKUP($C25,'[10]for slip'!$F:$BC,36,0)</f>
        <v>0</v>
      </c>
      <c r="N25" s="2">
        <f>VLOOKUP($C25,'[10]for slip'!$F:$BC,37,0)</f>
        <v>0</v>
      </c>
      <c r="O25" s="2">
        <f>VLOOKUP($C25,'[10]for slip'!$F:$BC,38,0)</f>
        <v>0</v>
      </c>
      <c r="P25" s="2">
        <f>VLOOKUP($C25,'[10]for slip'!$F:$BC,39,0)</f>
        <v>38000</v>
      </c>
      <c r="Q25" s="2">
        <f>VLOOKUP($C25,'[10]for slip'!$F:$BC,40,0)</f>
        <v>31700</v>
      </c>
      <c r="R25" s="2">
        <f>VLOOKUP($C25,'[10]for slip'!$F:$BC,41,0)</f>
        <v>0</v>
      </c>
      <c r="S25" s="2">
        <f>VLOOKUP($C25,'[10]for slip'!$F:$BC,42,0)</f>
        <v>10000</v>
      </c>
      <c r="T25" s="2">
        <f>VLOOKUP($C25,'[10]for slip'!$F:$BC,43,0)</f>
        <v>56430.83</v>
      </c>
      <c r="U25" s="2">
        <f>VLOOKUP($C25,'[10]for slip'!$F:$BC,44,0)</f>
        <v>112861.66</v>
      </c>
      <c r="V25" s="2">
        <f>VLOOKUP($C25,'[10]for slip'!$F:$BC,45,0)</f>
        <v>56430.83</v>
      </c>
      <c r="W25" s="2">
        <f>VLOOKUP($C25,'[10]for slip'!$F:$BC,48,0)</f>
        <v>11416.65959074997</v>
      </c>
    </row>
    <row r="26" spans="1:23" x14ac:dyDescent="0.25">
      <c r="A26" s="1">
        <v>25</v>
      </c>
      <c r="B26" s="2" t="s">
        <v>71</v>
      </c>
      <c r="C26" s="2" t="s">
        <v>72</v>
      </c>
      <c r="D26" s="2" t="str">
        <f>VLOOKUP($C26,'[10]for slip'!$F:$BC,3,0)</f>
        <v>Leader</v>
      </c>
      <c r="E26" s="2" t="str">
        <f>VLOOKUP($C26,'[10]for slip'!$F:$BC,4,0)</f>
        <v>Prod. Stamping</v>
      </c>
      <c r="F26" s="2">
        <f>VLOOKUP($C26,'[10]for slip'!$F:$BC,14,0)</f>
        <v>5343083</v>
      </c>
      <c r="G26" s="2">
        <f>VLOOKUP($C26,'[10]for slip'!$F:$BC,15,0)</f>
        <v>300000</v>
      </c>
      <c r="H26" s="2">
        <f>VLOOKUP($C26,'[10]for slip'!$F:$BC,16,0)</f>
        <v>0</v>
      </c>
      <c r="I26" s="2">
        <f>VLOOKUP($C26,'[10]for slip'!$F:$BC,17,0)</f>
        <v>0</v>
      </c>
      <c r="J26" s="2">
        <f>VLOOKUP($C26,'[10]for slip'!$F:$BC,27,0)</f>
        <v>0</v>
      </c>
      <c r="K26" s="2">
        <f>VLOOKUP($C26,'[10]for slip'!$F:$BC,31,0)</f>
        <v>0</v>
      </c>
      <c r="L26" s="2">
        <f>VLOOKUP($C26,'[10]for slip'!$F:$BC,35,0)</f>
        <v>11416.65959074997</v>
      </c>
      <c r="M26" s="2">
        <f>VLOOKUP($C26,'[10]for slip'!$F:$BC,36,0)</f>
        <v>0</v>
      </c>
      <c r="N26" s="2">
        <f>VLOOKUP($C26,'[10]for slip'!$F:$BC,37,0)</f>
        <v>0</v>
      </c>
      <c r="O26" s="2">
        <f>VLOOKUP($C26,'[10]for slip'!$F:$BC,38,0)</f>
        <v>0</v>
      </c>
      <c r="P26" s="2">
        <f>VLOOKUP($C26,'[10]for slip'!$F:$BC,39,0)</f>
        <v>38000</v>
      </c>
      <c r="Q26" s="2">
        <f>VLOOKUP($C26,'[10]for slip'!$F:$BC,40,0)</f>
        <v>31700</v>
      </c>
      <c r="R26" s="2">
        <f>VLOOKUP($C26,'[10]for slip'!$F:$BC,41,0)</f>
        <v>0</v>
      </c>
      <c r="S26" s="2">
        <f>VLOOKUP($C26,'[10]for slip'!$F:$BC,42,0)</f>
        <v>10000</v>
      </c>
      <c r="T26" s="2">
        <f>VLOOKUP($C26,'[10]for slip'!$F:$BC,43,0)</f>
        <v>56430.83</v>
      </c>
      <c r="U26" s="2">
        <f>VLOOKUP($C26,'[10]for slip'!$F:$BC,44,0)</f>
        <v>112861.66</v>
      </c>
      <c r="V26" s="2">
        <f>VLOOKUP($C26,'[10]for slip'!$F:$BC,45,0)</f>
        <v>56430.83</v>
      </c>
      <c r="W26" s="2">
        <f>VLOOKUP($C26,'[10]for slip'!$F:$BC,48,0)</f>
        <v>11416.65959074997</v>
      </c>
    </row>
    <row r="27" spans="1:23" x14ac:dyDescent="0.25">
      <c r="A27" s="1">
        <v>26</v>
      </c>
      <c r="B27" s="2" t="s">
        <v>73</v>
      </c>
      <c r="C27" s="2" t="s">
        <v>74</v>
      </c>
      <c r="D27" s="2" t="str">
        <f>VLOOKUP($C27,'[10]for slip'!$F:$BC,3,0)</f>
        <v>Leader</v>
      </c>
      <c r="E27" s="2" t="str">
        <f>VLOOKUP($C27,'[10]for slip'!$F:$BC,4,0)</f>
        <v>Prod. Stamping</v>
      </c>
      <c r="F27" s="2">
        <f>VLOOKUP($C27,'[10]for slip'!$F:$BC,14,0)</f>
        <v>5343083</v>
      </c>
      <c r="G27" s="2">
        <f>VLOOKUP($C27,'[10]for slip'!$F:$BC,15,0)</f>
        <v>300000</v>
      </c>
      <c r="H27" s="2">
        <f>VLOOKUP($C27,'[10]for slip'!$F:$BC,16,0)</f>
        <v>0</v>
      </c>
      <c r="I27" s="2">
        <f>VLOOKUP($C27,'[10]for slip'!$F:$BC,17,0)</f>
        <v>0</v>
      </c>
      <c r="J27" s="2">
        <f>VLOOKUP($C27,'[10]for slip'!$F:$BC,27,0)</f>
        <v>0</v>
      </c>
      <c r="K27" s="2">
        <f>VLOOKUP($C27,'[10]for slip'!$F:$BC,31,0)</f>
        <v>0</v>
      </c>
      <c r="L27" s="2">
        <f>VLOOKUP($C27,'[10]for slip'!$F:$BC,35,0)</f>
        <v>0</v>
      </c>
      <c r="M27" s="2">
        <f>VLOOKUP($C27,'[10]for slip'!$F:$BC,36,0)</f>
        <v>0</v>
      </c>
      <c r="N27" s="2">
        <f>VLOOKUP($C27,'[10]for slip'!$F:$BC,37,0)</f>
        <v>0</v>
      </c>
      <c r="O27" s="2">
        <f>VLOOKUP($C27,'[10]for slip'!$F:$BC,38,0)</f>
        <v>0</v>
      </c>
      <c r="P27" s="2">
        <f>VLOOKUP($C27,'[10]for slip'!$F:$BC,39,0)</f>
        <v>38000</v>
      </c>
      <c r="Q27" s="2">
        <f>VLOOKUP($C27,'[10]for slip'!$F:$BC,40,0)</f>
        <v>31700</v>
      </c>
      <c r="R27" s="2">
        <f>VLOOKUP($C27,'[10]for slip'!$F:$BC,41,0)</f>
        <v>0</v>
      </c>
      <c r="S27" s="2">
        <f>VLOOKUP($C27,'[10]for slip'!$F:$BC,42,0)</f>
        <v>10000</v>
      </c>
      <c r="T27" s="2">
        <f>VLOOKUP($C27,'[10]for slip'!$F:$BC,43,0)</f>
        <v>56430.83</v>
      </c>
      <c r="U27" s="2">
        <f>VLOOKUP($C27,'[10]for slip'!$F:$BC,44,0)</f>
        <v>112861.66</v>
      </c>
      <c r="V27" s="2">
        <f>VLOOKUP($C27,'[10]for slip'!$F:$BC,45,0)</f>
        <v>56430.83</v>
      </c>
      <c r="W27" s="2">
        <f>VLOOKUP($C27,'[10]for slip'!$F:$BC,48,0)</f>
        <v>0</v>
      </c>
    </row>
    <row r="28" spans="1:23" x14ac:dyDescent="0.25">
      <c r="A28" s="1">
        <v>27</v>
      </c>
      <c r="B28" s="2" t="s">
        <v>75</v>
      </c>
      <c r="C28" s="2" t="s">
        <v>76</v>
      </c>
      <c r="D28" s="2" t="str">
        <f>VLOOKUP($C28,'[10]for slip'!$F:$BC,3,0)</f>
        <v>Staff</v>
      </c>
      <c r="E28" s="2" t="str">
        <f>VLOOKUP($C28,'[10]for slip'!$F:$BC,4,0)</f>
        <v>Prod. Stamping</v>
      </c>
      <c r="F28" s="2">
        <f>VLOOKUP($C28,'[10]for slip'!$F:$BC,14,0)</f>
        <v>5343083</v>
      </c>
      <c r="G28" s="2">
        <f>VLOOKUP($C28,'[10]for slip'!$F:$BC,15,0)</f>
        <v>0</v>
      </c>
      <c r="H28" s="2">
        <f>VLOOKUP($C28,'[10]for slip'!$F:$BC,16,0)</f>
        <v>0</v>
      </c>
      <c r="I28" s="2">
        <f>VLOOKUP($C28,'[10]for slip'!$F:$BC,17,0)</f>
        <v>0</v>
      </c>
      <c r="J28" s="2">
        <f>VLOOKUP($C28,'[10]for slip'!$F:$BC,27,0)</f>
        <v>0</v>
      </c>
      <c r="K28" s="2">
        <f>VLOOKUP($C28,'[10]for slip'!$F:$BC,31,0)</f>
        <v>0</v>
      </c>
      <c r="L28" s="2">
        <f>VLOOKUP($C28,'[10]for slip'!$F:$BC,35,0)</f>
        <v>0</v>
      </c>
      <c r="M28" s="2">
        <f>VLOOKUP($C28,'[10]for slip'!$F:$BC,36,0)</f>
        <v>0</v>
      </c>
      <c r="N28" s="2">
        <f>VLOOKUP($C28,'[10]for slip'!$F:$BC,37,0)</f>
        <v>0</v>
      </c>
      <c r="O28" s="2">
        <f>VLOOKUP($C28,'[10]for slip'!$F:$BC,38,0)</f>
        <v>0</v>
      </c>
      <c r="P28" s="2">
        <f>VLOOKUP($C28,'[10]for slip'!$F:$BC,39,0)</f>
        <v>38000</v>
      </c>
      <c r="Q28" s="2">
        <f>VLOOKUP($C28,'[10]for slip'!$F:$BC,40,0)</f>
        <v>31700</v>
      </c>
      <c r="R28" s="2">
        <f>VLOOKUP($C28,'[10]for slip'!$F:$BC,41,0)</f>
        <v>0</v>
      </c>
      <c r="S28" s="2">
        <f>VLOOKUP($C28,'[10]for slip'!$F:$BC,42,0)</f>
        <v>10000</v>
      </c>
      <c r="T28" s="2">
        <f>VLOOKUP($C28,'[10]for slip'!$F:$BC,43,0)</f>
        <v>53430.83</v>
      </c>
      <c r="U28" s="2">
        <f>VLOOKUP($C28,'[10]for slip'!$F:$BC,44,0)</f>
        <v>106861.66</v>
      </c>
      <c r="V28" s="2">
        <f>VLOOKUP($C28,'[10]for slip'!$F:$BC,45,0)</f>
        <v>53430.83</v>
      </c>
      <c r="W28" s="2">
        <f>VLOOKUP($C28,'[10]for slip'!$F:$BC,48,0)</f>
        <v>0</v>
      </c>
    </row>
    <row r="29" spans="1:23" x14ac:dyDescent="0.25">
      <c r="A29" s="1">
        <v>28</v>
      </c>
      <c r="B29" s="2" t="s">
        <v>77</v>
      </c>
      <c r="C29" s="2" t="s">
        <v>78</v>
      </c>
      <c r="D29" s="2" t="str">
        <f>VLOOKUP($C29,'[10]for slip'!$F:$BC,3,0)</f>
        <v>Pelaksana</v>
      </c>
      <c r="E29" s="2" t="str">
        <f>VLOOKUP($C29,'[10]for slip'!$F:$BC,4,0)</f>
        <v>Prod. Stamping</v>
      </c>
      <c r="F29" s="2">
        <f>VLOOKUP($C29,'[10]for slip'!$F:$BC,14,0)</f>
        <v>5343083</v>
      </c>
      <c r="G29" s="2">
        <f>VLOOKUP($C29,'[10]for slip'!$F:$BC,15,0)</f>
        <v>0</v>
      </c>
      <c r="H29" s="2">
        <f>VLOOKUP($C29,'[10]for slip'!$F:$BC,16,0)</f>
        <v>0</v>
      </c>
      <c r="I29" s="2">
        <f>VLOOKUP($C29,'[10]for slip'!$F:$BC,17,0)</f>
        <v>0</v>
      </c>
      <c r="J29" s="2">
        <f>VLOOKUP($C29,'[10]for slip'!$F:$BC,27,0)</f>
        <v>0</v>
      </c>
      <c r="K29" s="2">
        <f>VLOOKUP($C29,'[10]for slip'!$F:$BC,31,0)</f>
        <v>0</v>
      </c>
      <c r="L29" s="2">
        <f>VLOOKUP($C29,'[10]for slip'!$F:$BC,35,0)</f>
        <v>0</v>
      </c>
      <c r="M29" s="2">
        <f>VLOOKUP($C29,'[10]for slip'!$F:$BC,36,0)</f>
        <v>0</v>
      </c>
      <c r="N29" s="2">
        <f>VLOOKUP($C29,'[10]for slip'!$F:$BC,37,0)</f>
        <v>0</v>
      </c>
      <c r="O29" s="2">
        <f>VLOOKUP($C29,'[10]for slip'!$F:$BC,38,0)</f>
        <v>0</v>
      </c>
      <c r="P29" s="2">
        <f>VLOOKUP($C29,'[10]for slip'!$F:$BC,39,0)</f>
        <v>38000</v>
      </c>
      <c r="Q29" s="2">
        <f>VLOOKUP($C29,'[10]for slip'!$F:$BC,40,0)</f>
        <v>31700</v>
      </c>
      <c r="R29" s="2">
        <f>VLOOKUP($C29,'[10]for slip'!$F:$BC,41,0)</f>
        <v>0</v>
      </c>
      <c r="S29" s="2">
        <f>VLOOKUP($C29,'[10]for slip'!$F:$BC,42,0)</f>
        <v>0</v>
      </c>
      <c r="T29" s="2">
        <f>VLOOKUP($C29,'[10]for slip'!$F:$BC,43,0)</f>
        <v>53430.83</v>
      </c>
      <c r="U29" s="2">
        <f>VLOOKUP($C29,'[10]for slip'!$F:$BC,44,0)</f>
        <v>106861.66</v>
      </c>
      <c r="V29" s="2">
        <f>VLOOKUP($C29,'[10]for slip'!$F:$BC,45,0)</f>
        <v>53430.83</v>
      </c>
      <c r="W29" s="2">
        <f>VLOOKUP($C29,'[10]for slip'!$F:$BC,48,0)</f>
        <v>0</v>
      </c>
    </row>
    <row r="30" spans="1:23" x14ac:dyDescent="0.25">
      <c r="A30" s="1">
        <v>29</v>
      </c>
      <c r="B30" s="2" t="s">
        <v>79</v>
      </c>
      <c r="C30" s="2" t="s">
        <v>80</v>
      </c>
      <c r="D30" s="2" t="str">
        <f>VLOOKUP($C30,'[10]for slip'!$F:$BC,3,0)</f>
        <v>Pelaksana</v>
      </c>
      <c r="E30" s="2" t="str">
        <f>VLOOKUP($C30,'[10]for slip'!$F:$BC,4,0)</f>
        <v>Prod. Stamping</v>
      </c>
      <c r="F30" s="2">
        <f>VLOOKUP($C30,'[10]for slip'!$F:$BC,14,0)</f>
        <v>5343083</v>
      </c>
      <c r="G30" s="2">
        <f>VLOOKUP($C30,'[10]for slip'!$F:$BC,15,0)</f>
        <v>0</v>
      </c>
      <c r="H30" s="2">
        <f>VLOOKUP($C30,'[10]for slip'!$F:$BC,16,0)</f>
        <v>0</v>
      </c>
      <c r="I30" s="2">
        <f>VLOOKUP($C30,'[10]for slip'!$F:$BC,17,0)</f>
        <v>0</v>
      </c>
      <c r="J30" s="2">
        <f>VLOOKUP($C30,'[10]for slip'!$F:$BC,27,0)</f>
        <v>0</v>
      </c>
      <c r="K30" s="2">
        <f>VLOOKUP($C30,'[10]for slip'!$F:$BC,31,0)</f>
        <v>0</v>
      </c>
      <c r="L30" s="2">
        <f>VLOOKUP($C30,'[10]for slip'!$F:$BC,35,0)</f>
        <v>34354.584590750004</v>
      </c>
      <c r="M30" s="2">
        <f>VLOOKUP($C30,'[10]for slip'!$F:$BC,36,0)</f>
        <v>0</v>
      </c>
      <c r="N30" s="2">
        <f>VLOOKUP($C30,'[10]for slip'!$F:$BC,37,0)</f>
        <v>0</v>
      </c>
      <c r="O30" s="2">
        <f>VLOOKUP($C30,'[10]for slip'!$F:$BC,38,0)</f>
        <v>0</v>
      </c>
      <c r="P30" s="2">
        <f>VLOOKUP($C30,'[10]for slip'!$F:$BC,39,0)</f>
        <v>0</v>
      </c>
      <c r="Q30" s="2">
        <f>VLOOKUP($C30,'[10]for slip'!$F:$BC,40,0)</f>
        <v>0</v>
      </c>
      <c r="R30" s="2">
        <f>VLOOKUP($C30,'[10]for slip'!$F:$BC,41,0)</f>
        <v>0</v>
      </c>
      <c r="S30" s="2">
        <f>VLOOKUP($C30,'[10]for slip'!$F:$BC,42,0)</f>
        <v>10000</v>
      </c>
      <c r="T30" s="2">
        <f>VLOOKUP($C30,'[10]for slip'!$F:$BC,43,0)</f>
        <v>53430.83</v>
      </c>
      <c r="U30" s="2">
        <f>VLOOKUP($C30,'[10]for slip'!$F:$BC,44,0)</f>
        <v>106861.66</v>
      </c>
      <c r="V30" s="2">
        <f>VLOOKUP($C30,'[10]for slip'!$F:$BC,45,0)</f>
        <v>53430.83</v>
      </c>
      <c r="W30" s="2">
        <f>VLOOKUP($C30,'[10]for slip'!$F:$BC,48,0)</f>
        <v>34354.584590750004</v>
      </c>
    </row>
    <row r="31" spans="1:23" x14ac:dyDescent="0.25">
      <c r="A31" s="1">
        <v>30</v>
      </c>
      <c r="B31" s="2" t="s">
        <v>81</v>
      </c>
      <c r="C31" s="2" t="s">
        <v>82</v>
      </c>
      <c r="D31" s="2" t="str">
        <f>VLOOKUP($C31,'[10]for slip'!$F:$BC,3,0)</f>
        <v>Pelaksana</v>
      </c>
      <c r="E31" s="2" t="str">
        <f>VLOOKUP($C31,'[10]for slip'!$F:$BC,4,0)</f>
        <v>Prod. Stamping</v>
      </c>
      <c r="F31" s="2">
        <f>VLOOKUP($C31,'[10]for slip'!$F:$BC,14,0)</f>
        <v>5343083</v>
      </c>
      <c r="G31" s="2">
        <f>VLOOKUP($C31,'[10]for slip'!$F:$BC,15,0)</f>
        <v>0</v>
      </c>
      <c r="H31" s="2">
        <f>VLOOKUP($C31,'[10]for slip'!$F:$BC,16,0)</f>
        <v>0</v>
      </c>
      <c r="I31" s="2">
        <f>VLOOKUP($C31,'[10]for slip'!$F:$BC,17,0)</f>
        <v>0</v>
      </c>
      <c r="J31" s="2">
        <f>VLOOKUP($C31,'[10]for slip'!$F:$BC,27,0)</f>
        <v>0</v>
      </c>
      <c r="K31" s="2">
        <f>VLOOKUP($C31,'[10]for slip'!$F:$BC,31,0)</f>
        <v>0</v>
      </c>
      <c r="L31" s="2">
        <f>VLOOKUP($C31,'[10]for slip'!$F:$BC,35,0)</f>
        <v>0</v>
      </c>
      <c r="M31" s="2">
        <f>VLOOKUP($C31,'[10]for slip'!$F:$BC,36,0)</f>
        <v>0</v>
      </c>
      <c r="N31" s="2">
        <f>VLOOKUP($C31,'[10]for slip'!$F:$BC,37,0)</f>
        <v>0</v>
      </c>
      <c r="O31" s="2">
        <f>VLOOKUP($C31,'[10]for slip'!$F:$BC,38,0)</f>
        <v>0</v>
      </c>
      <c r="P31" s="2">
        <f>VLOOKUP($C31,'[10]for slip'!$F:$BC,39,0)</f>
        <v>38000</v>
      </c>
      <c r="Q31" s="2">
        <f>VLOOKUP($C31,'[10]for slip'!$F:$BC,40,0)</f>
        <v>31700</v>
      </c>
      <c r="R31" s="2">
        <f>VLOOKUP($C31,'[10]for slip'!$F:$BC,41,0)</f>
        <v>0</v>
      </c>
      <c r="S31" s="2">
        <f>VLOOKUP($C31,'[10]for slip'!$F:$BC,42,0)</f>
        <v>0</v>
      </c>
      <c r="T31" s="2">
        <f>VLOOKUP($C31,'[10]for slip'!$F:$BC,43,0)</f>
        <v>53430.83</v>
      </c>
      <c r="U31" s="2">
        <f>VLOOKUP($C31,'[10]for slip'!$F:$BC,44,0)</f>
        <v>106861.66</v>
      </c>
      <c r="V31" s="2">
        <f>VLOOKUP($C31,'[10]for slip'!$F:$BC,45,0)</f>
        <v>53430.83</v>
      </c>
      <c r="W31" s="2">
        <f>VLOOKUP($C31,'[10]for slip'!$F:$BC,48,0)</f>
        <v>0</v>
      </c>
    </row>
    <row r="32" spans="1:23" x14ac:dyDescent="0.25">
      <c r="A32" s="1">
        <v>31</v>
      </c>
      <c r="B32" s="2" t="s">
        <v>83</v>
      </c>
      <c r="C32" s="2" t="s">
        <v>84</v>
      </c>
      <c r="D32" s="2" t="str">
        <f>VLOOKUP($C32,'[10]for slip'!$F:$BC,3,0)</f>
        <v>Pelaksana</v>
      </c>
      <c r="E32" s="2" t="str">
        <f>VLOOKUP($C32,'[10]for slip'!$F:$BC,4,0)</f>
        <v>Prod. Stamping</v>
      </c>
      <c r="F32" s="2">
        <f>VLOOKUP($C32,'[10]for slip'!$F:$BC,14,0)</f>
        <v>5343083</v>
      </c>
      <c r="G32" s="2">
        <f>VLOOKUP($C32,'[10]for slip'!$F:$BC,15,0)</f>
        <v>0</v>
      </c>
      <c r="H32" s="2">
        <f>VLOOKUP($C32,'[10]for slip'!$F:$BC,16,0)</f>
        <v>0</v>
      </c>
      <c r="I32" s="2">
        <f>VLOOKUP($C32,'[10]for slip'!$F:$BC,17,0)</f>
        <v>0</v>
      </c>
      <c r="J32" s="2">
        <f>VLOOKUP($C32,'[10]for slip'!$F:$BC,27,0)</f>
        <v>0</v>
      </c>
      <c r="K32" s="2">
        <f>VLOOKUP($C32,'[10]for slip'!$F:$BC,31,0)</f>
        <v>0</v>
      </c>
      <c r="L32" s="2">
        <f>VLOOKUP($C32,'[10]for slip'!$F:$BC,35,0)</f>
        <v>0</v>
      </c>
      <c r="M32" s="2">
        <f>VLOOKUP($C32,'[10]for slip'!$F:$BC,36,0)</f>
        <v>0</v>
      </c>
      <c r="N32" s="2">
        <f>VLOOKUP($C32,'[10]for slip'!$F:$BC,37,0)</f>
        <v>0</v>
      </c>
      <c r="O32" s="2">
        <f>VLOOKUP($C32,'[10]for slip'!$F:$BC,38,0)</f>
        <v>0</v>
      </c>
      <c r="P32" s="2">
        <f>VLOOKUP($C32,'[10]for slip'!$F:$BC,39,0)</f>
        <v>38000</v>
      </c>
      <c r="Q32" s="2">
        <f>VLOOKUP($C32,'[10]for slip'!$F:$BC,40,0)</f>
        <v>31700</v>
      </c>
      <c r="R32" s="2">
        <f>VLOOKUP($C32,'[10]for slip'!$F:$BC,41,0)</f>
        <v>0</v>
      </c>
      <c r="S32" s="2">
        <f>VLOOKUP($C32,'[10]for slip'!$F:$BC,42,0)</f>
        <v>0</v>
      </c>
      <c r="T32" s="2">
        <f>VLOOKUP($C32,'[10]for slip'!$F:$BC,43,0)</f>
        <v>53430.83</v>
      </c>
      <c r="U32" s="2">
        <f>VLOOKUP($C32,'[10]for slip'!$F:$BC,44,0)</f>
        <v>106861.66</v>
      </c>
      <c r="V32" s="2">
        <f>VLOOKUP($C32,'[10]for slip'!$F:$BC,45,0)</f>
        <v>53430.83</v>
      </c>
      <c r="W32" s="2">
        <f>VLOOKUP($C32,'[10]for slip'!$F:$BC,48,0)</f>
        <v>0</v>
      </c>
    </row>
    <row r="33" spans="1:23" x14ac:dyDescent="0.25">
      <c r="A33" s="1">
        <v>32</v>
      </c>
      <c r="B33" s="2" t="s">
        <v>85</v>
      </c>
      <c r="C33" s="2" t="s">
        <v>86</v>
      </c>
      <c r="D33" s="2" t="str">
        <f>VLOOKUP($C33,'[10]for slip'!$F:$BC,3,0)</f>
        <v>Pelaksana</v>
      </c>
      <c r="E33" s="2" t="str">
        <f>VLOOKUP($C33,'[10]for slip'!$F:$BC,4,0)</f>
        <v>Prod. Stamping</v>
      </c>
      <c r="F33" s="2">
        <f>VLOOKUP($C33,'[10]for slip'!$F:$BC,14,0)</f>
        <v>5343083</v>
      </c>
      <c r="G33" s="2">
        <f>VLOOKUP($C33,'[10]for slip'!$F:$BC,15,0)</f>
        <v>0</v>
      </c>
      <c r="H33" s="2">
        <f>VLOOKUP($C33,'[10]for slip'!$F:$BC,16,0)</f>
        <v>0</v>
      </c>
      <c r="I33" s="2">
        <f>VLOOKUP($C33,'[10]for slip'!$F:$BC,17,0)</f>
        <v>0</v>
      </c>
      <c r="J33" s="2">
        <f>VLOOKUP($C33,'[10]for slip'!$F:$BC,27,0)</f>
        <v>0</v>
      </c>
      <c r="K33" s="2">
        <f>VLOOKUP($C33,'[10]for slip'!$F:$BC,31,0)</f>
        <v>0</v>
      </c>
      <c r="L33" s="2">
        <f>VLOOKUP($C33,'[10]for slip'!$F:$BC,35,0)</f>
        <v>15604.584590750002</v>
      </c>
      <c r="M33" s="2">
        <f>VLOOKUP($C33,'[10]for slip'!$F:$BC,36,0)</f>
        <v>0</v>
      </c>
      <c r="N33" s="2">
        <f>VLOOKUP($C33,'[10]for slip'!$F:$BC,37,0)</f>
        <v>0</v>
      </c>
      <c r="O33" s="2">
        <f>VLOOKUP($C33,'[10]for slip'!$F:$BC,38,0)</f>
        <v>0</v>
      </c>
      <c r="P33" s="2">
        <f>VLOOKUP($C33,'[10]for slip'!$F:$BC,39,0)</f>
        <v>38000</v>
      </c>
      <c r="Q33" s="2">
        <f>VLOOKUP($C33,'[10]for slip'!$F:$BC,40,0)</f>
        <v>31700</v>
      </c>
      <c r="R33" s="2">
        <f>VLOOKUP($C33,'[10]for slip'!$F:$BC,41,0)</f>
        <v>0</v>
      </c>
      <c r="S33" s="2">
        <f>VLOOKUP($C33,'[10]for slip'!$F:$BC,42,0)</f>
        <v>0</v>
      </c>
      <c r="T33" s="2">
        <f>VLOOKUP($C33,'[10]for slip'!$F:$BC,43,0)</f>
        <v>53430.83</v>
      </c>
      <c r="U33" s="2">
        <f>VLOOKUP($C33,'[10]for slip'!$F:$BC,44,0)</f>
        <v>106861.66</v>
      </c>
      <c r="V33" s="2">
        <f>VLOOKUP($C33,'[10]for slip'!$F:$BC,45,0)</f>
        <v>53430.83</v>
      </c>
      <c r="W33" s="2">
        <f>VLOOKUP($C33,'[10]for slip'!$F:$BC,48,0)</f>
        <v>15604.584590750002</v>
      </c>
    </row>
    <row r="34" spans="1:23" x14ac:dyDescent="0.25">
      <c r="A34" s="1">
        <v>33</v>
      </c>
      <c r="B34" s="2" t="s">
        <v>87</v>
      </c>
      <c r="C34" s="2" t="s">
        <v>88</v>
      </c>
      <c r="D34" s="2" t="str">
        <f>VLOOKUP($C34,'[10]for slip'!$F:$BC,3,0)</f>
        <v>Pelaksana</v>
      </c>
      <c r="E34" s="2" t="str">
        <f>VLOOKUP($C34,'[10]for slip'!$F:$BC,4,0)</f>
        <v>Prod. Stamping</v>
      </c>
      <c r="F34" s="2">
        <f>VLOOKUP($C34,'[10]for slip'!$F:$BC,14,0)</f>
        <v>5343083</v>
      </c>
      <c r="G34" s="2">
        <f>VLOOKUP($C34,'[10]for slip'!$F:$BC,15,0)</f>
        <v>0</v>
      </c>
      <c r="H34" s="2">
        <f>VLOOKUP($C34,'[10]for slip'!$F:$BC,16,0)</f>
        <v>0</v>
      </c>
      <c r="I34" s="2">
        <f>VLOOKUP($C34,'[10]for slip'!$F:$BC,17,0)</f>
        <v>0</v>
      </c>
      <c r="J34" s="2">
        <f>VLOOKUP($C34,'[10]for slip'!$F:$BC,27,0)</f>
        <v>0</v>
      </c>
      <c r="K34" s="2">
        <f>VLOOKUP($C34,'[10]for slip'!$F:$BC,31,0)</f>
        <v>0</v>
      </c>
      <c r="L34" s="2">
        <f>VLOOKUP($C34,'[10]for slip'!$F:$BC,35,0)</f>
        <v>34354.584590750004</v>
      </c>
      <c r="M34" s="2">
        <f>VLOOKUP($C34,'[10]for slip'!$F:$BC,36,0)</f>
        <v>0</v>
      </c>
      <c r="N34" s="2">
        <f>VLOOKUP($C34,'[10]for slip'!$F:$BC,37,0)</f>
        <v>0</v>
      </c>
      <c r="O34" s="2">
        <f>VLOOKUP($C34,'[10]for slip'!$F:$BC,38,0)</f>
        <v>0</v>
      </c>
      <c r="P34" s="2">
        <f>VLOOKUP($C34,'[10]for slip'!$F:$BC,39,0)</f>
        <v>38000</v>
      </c>
      <c r="Q34" s="2">
        <f>VLOOKUP($C34,'[10]for slip'!$F:$BC,40,0)</f>
        <v>31700</v>
      </c>
      <c r="R34" s="2">
        <f>VLOOKUP($C34,'[10]for slip'!$F:$BC,41,0)</f>
        <v>0</v>
      </c>
      <c r="S34" s="2">
        <f>VLOOKUP($C34,'[10]for slip'!$F:$BC,42,0)</f>
        <v>0</v>
      </c>
      <c r="T34" s="2">
        <f>VLOOKUP($C34,'[10]for slip'!$F:$BC,43,0)</f>
        <v>53430.83</v>
      </c>
      <c r="U34" s="2">
        <f>VLOOKUP($C34,'[10]for slip'!$F:$BC,44,0)</f>
        <v>106861.66</v>
      </c>
      <c r="V34" s="2">
        <f>VLOOKUP($C34,'[10]for slip'!$F:$BC,45,0)</f>
        <v>53430.83</v>
      </c>
      <c r="W34" s="2">
        <f>VLOOKUP($C34,'[10]for slip'!$F:$BC,48,0)</f>
        <v>34354.584590750004</v>
      </c>
    </row>
    <row r="35" spans="1:23" x14ac:dyDescent="0.25">
      <c r="A35" s="1">
        <v>34</v>
      </c>
      <c r="B35" s="2" t="s">
        <v>89</v>
      </c>
      <c r="C35" s="2" t="s">
        <v>90</v>
      </c>
      <c r="D35" s="2" t="str">
        <f>VLOOKUP($C35,'[10]for slip'!$F:$BC,3,0)</f>
        <v>Pelaksana</v>
      </c>
      <c r="E35" s="2" t="str">
        <f>VLOOKUP($C35,'[10]for slip'!$F:$BC,4,0)</f>
        <v>Prod. Stamping</v>
      </c>
      <c r="F35" s="2">
        <f>VLOOKUP($C35,'[10]for slip'!$F:$BC,14,0)</f>
        <v>5343083</v>
      </c>
      <c r="G35" s="2">
        <f>VLOOKUP($C35,'[10]for slip'!$F:$BC,15,0)</f>
        <v>0</v>
      </c>
      <c r="H35" s="2">
        <f>VLOOKUP($C35,'[10]for slip'!$F:$BC,16,0)</f>
        <v>0</v>
      </c>
      <c r="I35" s="2">
        <f>VLOOKUP($C35,'[10]for slip'!$F:$BC,17,0)</f>
        <v>0</v>
      </c>
      <c r="J35" s="2">
        <f>VLOOKUP($C35,'[10]for slip'!$F:$BC,27,0)</f>
        <v>0</v>
      </c>
      <c r="K35" s="2">
        <f>VLOOKUP($C35,'[10]for slip'!$F:$BC,31,0)</f>
        <v>0</v>
      </c>
      <c r="L35" s="2">
        <f>VLOOKUP($C35,'[10]for slip'!$F:$BC,35,0)</f>
        <v>0</v>
      </c>
      <c r="M35" s="2">
        <f>VLOOKUP($C35,'[10]for slip'!$F:$BC,36,0)</f>
        <v>0</v>
      </c>
      <c r="N35" s="2">
        <f>VLOOKUP($C35,'[10]for slip'!$F:$BC,37,0)</f>
        <v>0</v>
      </c>
      <c r="O35" s="2">
        <f>VLOOKUP($C35,'[10]for slip'!$F:$BC,38,0)</f>
        <v>0</v>
      </c>
      <c r="P35" s="2">
        <f>VLOOKUP($C35,'[10]for slip'!$F:$BC,39,0)</f>
        <v>38000</v>
      </c>
      <c r="Q35" s="2">
        <f>VLOOKUP($C35,'[10]for slip'!$F:$BC,40,0)</f>
        <v>31700</v>
      </c>
      <c r="R35" s="2">
        <f>VLOOKUP($C35,'[10]for slip'!$F:$BC,41,0)</f>
        <v>0</v>
      </c>
      <c r="S35" s="2">
        <f>VLOOKUP($C35,'[10]for slip'!$F:$BC,42,0)</f>
        <v>0</v>
      </c>
      <c r="T35" s="2">
        <f>VLOOKUP($C35,'[10]for slip'!$F:$BC,43,0)</f>
        <v>53430.83</v>
      </c>
      <c r="U35" s="2">
        <f>VLOOKUP($C35,'[10]for slip'!$F:$BC,44,0)</f>
        <v>106861.66</v>
      </c>
      <c r="V35" s="2">
        <f>VLOOKUP($C35,'[10]for slip'!$F:$BC,45,0)</f>
        <v>53430.83</v>
      </c>
      <c r="W35" s="2">
        <f>VLOOKUP($C35,'[10]for slip'!$F:$BC,48,0)</f>
        <v>0</v>
      </c>
    </row>
    <row r="36" spans="1:23" x14ac:dyDescent="0.25">
      <c r="A36" s="1">
        <v>35</v>
      </c>
      <c r="B36" s="2" t="s">
        <v>91</v>
      </c>
      <c r="C36" s="2" t="s">
        <v>92</v>
      </c>
      <c r="D36" s="2" t="str">
        <f>VLOOKUP($C36,'[10]for slip'!$F:$BC,3,0)</f>
        <v>Pelaksana</v>
      </c>
      <c r="E36" s="2" t="str">
        <f>VLOOKUP($C36,'[10]for slip'!$F:$BC,4,0)</f>
        <v>Prod. Stamping</v>
      </c>
      <c r="F36" s="2">
        <f>VLOOKUP($C36,'[10]for slip'!$F:$BC,14,0)</f>
        <v>5343083</v>
      </c>
      <c r="G36" s="2">
        <f>VLOOKUP($C36,'[10]for slip'!$F:$BC,15,0)</f>
        <v>0</v>
      </c>
      <c r="H36" s="2">
        <f>VLOOKUP($C36,'[10]for slip'!$F:$BC,16,0)</f>
        <v>0</v>
      </c>
      <c r="I36" s="2">
        <f>VLOOKUP($C36,'[10]for slip'!$F:$BC,17,0)</f>
        <v>0</v>
      </c>
      <c r="J36" s="2">
        <f>VLOOKUP($C36,'[10]for slip'!$F:$BC,27,0)</f>
        <v>0</v>
      </c>
      <c r="K36" s="2">
        <f>VLOOKUP($C36,'[10]for slip'!$F:$BC,31,0)</f>
        <v>0</v>
      </c>
      <c r="L36" s="2">
        <f>VLOOKUP($C36,'[10]for slip'!$F:$BC,35,0)</f>
        <v>34354.584590750004</v>
      </c>
      <c r="M36" s="2">
        <f>VLOOKUP($C36,'[10]for slip'!$F:$BC,36,0)</f>
        <v>0</v>
      </c>
      <c r="N36" s="2">
        <f>VLOOKUP($C36,'[10]for slip'!$F:$BC,37,0)</f>
        <v>0</v>
      </c>
      <c r="O36" s="2">
        <f>VLOOKUP($C36,'[10]for slip'!$F:$BC,38,0)</f>
        <v>0</v>
      </c>
      <c r="P36" s="2">
        <f>VLOOKUP($C36,'[10]for slip'!$F:$BC,39,0)</f>
        <v>38000</v>
      </c>
      <c r="Q36" s="2">
        <f>VLOOKUP($C36,'[10]for slip'!$F:$BC,40,0)</f>
        <v>31700</v>
      </c>
      <c r="R36" s="2">
        <f>VLOOKUP($C36,'[10]for slip'!$F:$BC,41,0)</f>
        <v>0</v>
      </c>
      <c r="S36" s="2">
        <f>VLOOKUP($C36,'[10]for slip'!$F:$BC,42,0)</f>
        <v>10000</v>
      </c>
      <c r="T36" s="2">
        <f>VLOOKUP($C36,'[10]for slip'!$F:$BC,43,0)</f>
        <v>53430.83</v>
      </c>
      <c r="U36" s="2">
        <f>VLOOKUP($C36,'[10]for slip'!$F:$BC,44,0)</f>
        <v>106861.66</v>
      </c>
      <c r="V36" s="2">
        <f>VLOOKUP($C36,'[10]for slip'!$F:$BC,45,0)</f>
        <v>53430.83</v>
      </c>
      <c r="W36" s="2">
        <f>VLOOKUP($C36,'[10]for slip'!$F:$BC,48,0)</f>
        <v>34354.584590750004</v>
      </c>
    </row>
    <row r="37" spans="1:23" x14ac:dyDescent="0.25">
      <c r="A37" s="1">
        <v>36</v>
      </c>
      <c r="B37" s="2" t="s">
        <v>93</v>
      </c>
      <c r="C37" s="2" t="s">
        <v>94</v>
      </c>
      <c r="D37" s="2" t="str">
        <f>VLOOKUP($C37,'[10]for slip'!$F:$BC,3,0)</f>
        <v>Pelaksana</v>
      </c>
      <c r="E37" s="2" t="str">
        <f>VLOOKUP($C37,'[10]for slip'!$F:$BC,4,0)</f>
        <v>Prod. Stamping</v>
      </c>
      <c r="F37" s="2">
        <f>VLOOKUP($C37,'[10]for slip'!$F:$BC,14,0)</f>
        <v>5343083</v>
      </c>
      <c r="G37" s="2">
        <f>VLOOKUP($C37,'[10]for slip'!$F:$BC,15,0)</f>
        <v>0</v>
      </c>
      <c r="H37" s="2">
        <f>VLOOKUP($C37,'[10]for slip'!$F:$BC,16,0)</f>
        <v>0</v>
      </c>
      <c r="I37" s="2">
        <f>VLOOKUP($C37,'[10]for slip'!$F:$BC,17,0)</f>
        <v>0</v>
      </c>
      <c r="J37" s="2">
        <f>VLOOKUP($C37,'[10]for slip'!$F:$BC,27,0)</f>
        <v>0</v>
      </c>
      <c r="K37" s="2">
        <f>VLOOKUP($C37,'[10]for slip'!$F:$BC,31,0)</f>
        <v>0</v>
      </c>
      <c r="L37" s="2">
        <f>VLOOKUP($C37,'[10]for slip'!$F:$BC,35,0)</f>
        <v>0</v>
      </c>
      <c r="M37" s="2">
        <f>VLOOKUP($C37,'[10]for slip'!$F:$BC,36,0)</f>
        <v>0</v>
      </c>
      <c r="N37" s="2">
        <f>VLOOKUP($C37,'[10]for slip'!$F:$BC,37,0)</f>
        <v>0</v>
      </c>
      <c r="O37" s="2">
        <f>VLOOKUP($C37,'[10]for slip'!$F:$BC,38,0)</f>
        <v>0</v>
      </c>
      <c r="P37" s="2">
        <f>VLOOKUP($C37,'[10]for slip'!$F:$BC,39,0)</f>
        <v>38000</v>
      </c>
      <c r="Q37" s="2">
        <f>VLOOKUP($C37,'[10]for slip'!$F:$BC,40,0)</f>
        <v>31700</v>
      </c>
      <c r="R37" s="2">
        <f>VLOOKUP($C37,'[10]for slip'!$F:$BC,41,0)</f>
        <v>0</v>
      </c>
      <c r="S37" s="2">
        <f>VLOOKUP($C37,'[10]for slip'!$F:$BC,42,0)</f>
        <v>10000</v>
      </c>
      <c r="T37" s="2">
        <f>VLOOKUP($C37,'[10]for slip'!$F:$BC,43,0)</f>
        <v>53430.83</v>
      </c>
      <c r="U37" s="2">
        <f>VLOOKUP($C37,'[10]for slip'!$F:$BC,44,0)</f>
        <v>106861.66</v>
      </c>
      <c r="V37" s="2">
        <f>VLOOKUP($C37,'[10]for slip'!$F:$BC,45,0)</f>
        <v>53430.83</v>
      </c>
      <c r="W37" s="2">
        <f>VLOOKUP($C37,'[10]for slip'!$F:$BC,48,0)</f>
        <v>0</v>
      </c>
    </row>
    <row r="38" spans="1:23" x14ac:dyDescent="0.25">
      <c r="A38" s="1">
        <v>37</v>
      </c>
      <c r="B38" s="2" t="s">
        <v>95</v>
      </c>
      <c r="C38" s="2" t="s">
        <v>96</v>
      </c>
      <c r="D38" s="2" t="str">
        <f>VLOOKUP($C38,'[10]for slip'!$F:$BC,3,0)</f>
        <v>Pelaksana</v>
      </c>
      <c r="E38" s="2" t="str">
        <f>VLOOKUP($C38,'[10]for slip'!$F:$BC,4,0)</f>
        <v>Prod. Stamping</v>
      </c>
      <c r="F38" s="2">
        <f>VLOOKUP($C38,'[10]for slip'!$F:$BC,14,0)</f>
        <v>5343083</v>
      </c>
      <c r="G38" s="2">
        <f>VLOOKUP($C38,'[10]for slip'!$F:$BC,15,0)</f>
        <v>0</v>
      </c>
      <c r="H38" s="2">
        <f>VLOOKUP($C38,'[10]for slip'!$F:$BC,16,0)</f>
        <v>0</v>
      </c>
      <c r="I38" s="2">
        <f>VLOOKUP($C38,'[10]for slip'!$F:$BC,17,0)</f>
        <v>0</v>
      </c>
      <c r="J38" s="2">
        <f>VLOOKUP($C38,'[10]for slip'!$F:$BC,27,0)</f>
        <v>0</v>
      </c>
      <c r="K38" s="2">
        <f>VLOOKUP($C38,'[10]for slip'!$F:$BC,31,0)</f>
        <v>0</v>
      </c>
      <c r="L38" s="2">
        <f>VLOOKUP($C38,'[10]for slip'!$F:$BC,35,0)</f>
        <v>15604.584590750002</v>
      </c>
      <c r="M38" s="2">
        <f>VLOOKUP($C38,'[10]for slip'!$F:$BC,36,0)</f>
        <v>0</v>
      </c>
      <c r="N38" s="2">
        <f>VLOOKUP($C38,'[10]for slip'!$F:$BC,37,0)</f>
        <v>0</v>
      </c>
      <c r="O38" s="2">
        <f>VLOOKUP($C38,'[10]for slip'!$F:$BC,38,0)</f>
        <v>0</v>
      </c>
      <c r="P38" s="2">
        <f>VLOOKUP($C38,'[10]for slip'!$F:$BC,39,0)</f>
        <v>38000</v>
      </c>
      <c r="Q38" s="2">
        <f>VLOOKUP($C38,'[10]for slip'!$F:$BC,40,0)</f>
        <v>31700</v>
      </c>
      <c r="R38" s="2">
        <f>VLOOKUP($C38,'[10]for slip'!$F:$BC,41,0)</f>
        <v>0</v>
      </c>
      <c r="S38" s="2">
        <f>VLOOKUP($C38,'[10]for slip'!$F:$BC,42,0)</f>
        <v>10000</v>
      </c>
      <c r="T38" s="2">
        <f>VLOOKUP($C38,'[10]for slip'!$F:$BC,43,0)</f>
        <v>53430.83</v>
      </c>
      <c r="U38" s="2">
        <f>VLOOKUP($C38,'[10]for slip'!$F:$BC,44,0)</f>
        <v>106861.66</v>
      </c>
      <c r="V38" s="2">
        <f>VLOOKUP($C38,'[10]for slip'!$F:$BC,45,0)</f>
        <v>53430.83</v>
      </c>
      <c r="W38" s="2">
        <f>VLOOKUP($C38,'[10]for slip'!$F:$BC,48,0)</f>
        <v>15604.584590750002</v>
      </c>
    </row>
    <row r="39" spans="1:23" x14ac:dyDescent="0.25">
      <c r="A39" s="1">
        <v>38</v>
      </c>
      <c r="B39" s="2" t="s">
        <v>97</v>
      </c>
      <c r="C39" s="2" t="s">
        <v>98</v>
      </c>
      <c r="D39" s="2" t="str">
        <f>VLOOKUP($C39,'[10]for slip'!$F:$BC,3,0)</f>
        <v>Pelaksana</v>
      </c>
      <c r="E39" s="2" t="str">
        <f>VLOOKUP($C39,'[10]for slip'!$F:$BC,4,0)</f>
        <v>Prod. Stamping</v>
      </c>
      <c r="F39" s="2">
        <f>VLOOKUP($C39,'[10]for slip'!$F:$BC,14,0)</f>
        <v>5343083</v>
      </c>
      <c r="G39" s="2">
        <f>VLOOKUP($C39,'[10]for slip'!$F:$BC,15,0)</f>
        <v>0</v>
      </c>
      <c r="H39" s="2">
        <f>VLOOKUP($C39,'[10]for slip'!$F:$BC,16,0)</f>
        <v>0</v>
      </c>
      <c r="I39" s="2">
        <f>VLOOKUP($C39,'[10]for slip'!$F:$BC,17,0)</f>
        <v>0</v>
      </c>
      <c r="J39" s="2">
        <f>VLOOKUP($C39,'[10]for slip'!$F:$BC,27,0)</f>
        <v>0</v>
      </c>
      <c r="K39" s="2">
        <f>VLOOKUP($C39,'[10]for slip'!$F:$BC,31,0)</f>
        <v>0</v>
      </c>
      <c r="L39" s="2">
        <f>VLOOKUP($C39,'[10]for slip'!$F:$BC,35,0)</f>
        <v>0</v>
      </c>
      <c r="M39" s="2">
        <f>VLOOKUP($C39,'[10]for slip'!$F:$BC,36,0)</f>
        <v>0</v>
      </c>
      <c r="N39" s="2">
        <f>VLOOKUP($C39,'[10]for slip'!$F:$BC,37,0)</f>
        <v>0</v>
      </c>
      <c r="O39" s="2">
        <f>VLOOKUP($C39,'[10]for slip'!$F:$BC,38,0)</f>
        <v>0</v>
      </c>
      <c r="P39" s="2">
        <f>VLOOKUP($C39,'[10]for slip'!$F:$BC,39,0)</f>
        <v>38000</v>
      </c>
      <c r="Q39" s="2">
        <f>VLOOKUP($C39,'[10]for slip'!$F:$BC,40,0)</f>
        <v>31700</v>
      </c>
      <c r="R39" s="2">
        <f>VLOOKUP($C39,'[10]for slip'!$F:$BC,41,0)</f>
        <v>0</v>
      </c>
      <c r="S39" s="2">
        <f>VLOOKUP($C39,'[10]for slip'!$F:$BC,42,0)</f>
        <v>10000</v>
      </c>
      <c r="T39" s="2">
        <f>VLOOKUP($C39,'[10]for slip'!$F:$BC,43,0)</f>
        <v>53430.83</v>
      </c>
      <c r="U39" s="2">
        <f>VLOOKUP($C39,'[10]for slip'!$F:$BC,44,0)</f>
        <v>106861.66</v>
      </c>
      <c r="V39" s="2">
        <f>VLOOKUP($C39,'[10]for slip'!$F:$BC,45,0)</f>
        <v>53430.83</v>
      </c>
      <c r="W39" s="2">
        <f>VLOOKUP($C39,'[10]for slip'!$F:$BC,48,0)</f>
        <v>0</v>
      </c>
    </row>
    <row r="40" spans="1:23" x14ac:dyDescent="0.25">
      <c r="A40" s="1">
        <v>39</v>
      </c>
      <c r="B40" s="2" t="s">
        <v>99</v>
      </c>
      <c r="C40" s="2" t="s">
        <v>100</v>
      </c>
      <c r="D40" s="2" t="str">
        <f>VLOOKUP($C40,'[10]for slip'!$F:$BC,3,0)</f>
        <v>Pelaksana</v>
      </c>
      <c r="E40" s="2" t="str">
        <f>VLOOKUP($C40,'[10]for slip'!$F:$BC,4,0)</f>
        <v>Prod. Stamping</v>
      </c>
      <c r="F40" s="2">
        <f>VLOOKUP($C40,'[10]for slip'!$F:$BC,14,0)</f>
        <v>5343083</v>
      </c>
      <c r="G40" s="2">
        <f>VLOOKUP($C40,'[10]for slip'!$F:$BC,15,0)</f>
        <v>0</v>
      </c>
      <c r="H40" s="2">
        <f>VLOOKUP($C40,'[10]for slip'!$F:$BC,16,0)</f>
        <v>0</v>
      </c>
      <c r="I40" s="2">
        <f>VLOOKUP($C40,'[10]for slip'!$F:$BC,17,0)</f>
        <v>0</v>
      </c>
      <c r="J40" s="2">
        <f>VLOOKUP($C40,'[10]for slip'!$F:$BC,27,0)</f>
        <v>0</v>
      </c>
      <c r="K40" s="2">
        <f>VLOOKUP($C40,'[10]for slip'!$F:$BC,31,0)</f>
        <v>0</v>
      </c>
      <c r="L40" s="2">
        <f>VLOOKUP($C40,'[10]for slip'!$F:$BC,35,0)</f>
        <v>0</v>
      </c>
      <c r="M40" s="2">
        <f>VLOOKUP($C40,'[10]for slip'!$F:$BC,36,0)</f>
        <v>0</v>
      </c>
      <c r="N40" s="2">
        <f>VLOOKUP($C40,'[10]for slip'!$F:$BC,37,0)</f>
        <v>0</v>
      </c>
      <c r="O40" s="2">
        <f>VLOOKUP($C40,'[10]for slip'!$F:$BC,38,0)</f>
        <v>0</v>
      </c>
      <c r="P40" s="2">
        <f>VLOOKUP($C40,'[10]for slip'!$F:$BC,39,0)</f>
        <v>38000</v>
      </c>
      <c r="Q40" s="2">
        <f>VLOOKUP($C40,'[10]for slip'!$F:$BC,40,0)</f>
        <v>31700</v>
      </c>
      <c r="R40" s="2">
        <f>VLOOKUP($C40,'[10]for slip'!$F:$BC,41,0)</f>
        <v>0</v>
      </c>
      <c r="S40" s="2">
        <f>VLOOKUP($C40,'[10]for slip'!$F:$BC,42,0)</f>
        <v>0</v>
      </c>
      <c r="T40" s="2">
        <f>VLOOKUP($C40,'[10]for slip'!$F:$BC,43,0)</f>
        <v>53430.83</v>
      </c>
      <c r="U40" s="2">
        <f>VLOOKUP($C40,'[10]for slip'!$F:$BC,44,0)</f>
        <v>106861.66</v>
      </c>
      <c r="V40" s="2">
        <f>VLOOKUP($C40,'[10]for slip'!$F:$BC,45,0)</f>
        <v>53430.83</v>
      </c>
      <c r="W40" s="2">
        <f>VLOOKUP($C40,'[10]for slip'!$F:$BC,48,0)</f>
        <v>0</v>
      </c>
    </row>
    <row r="41" spans="1:23" x14ac:dyDescent="0.25">
      <c r="A41" s="1">
        <v>40</v>
      </c>
      <c r="B41" s="2" t="s">
        <v>101</v>
      </c>
      <c r="C41" s="2" t="s">
        <v>102</v>
      </c>
      <c r="D41" s="2" t="str">
        <f>VLOOKUP($C41,'[10]for slip'!$F:$BC,3,0)</f>
        <v>Pelaksana</v>
      </c>
      <c r="E41" s="2" t="str">
        <f>VLOOKUP($C41,'[10]for slip'!$F:$BC,4,0)</f>
        <v>Prod. Stamping</v>
      </c>
      <c r="F41" s="2">
        <f>VLOOKUP($C41,'[10]for slip'!$F:$BC,14,0)</f>
        <v>5343083</v>
      </c>
      <c r="G41" s="2">
        <f>VLOOKUP($C41,'[10]for slip'!$F:$BC,15,0)</f>
        <v>0</v>
      </c>
      <c r="H41" s="2">
        <f>VLOOKUP($C41,'[10]for slip'!$F:$BC,16,0)</f>
        <v>0</v>
      </c>
      <c r="I41" s="2">
        <f>VLOOKUP($C41,'[10]for slip'!$F:$BC,17,0)</f>
        <v>0</v>
      </c>
      <c r="J41" s="2">
        <f>VLOOKUP($C41,'[10]for slip'!$F:$BC,27,0)</f>
        <v>0</v>
      </c>
      <c r="K41" s="2">
        <f>VLOOKUP($C41,'[10]for slip'!$F:$BC,31,0)</f>
        <v>0</v>
      </c>
      <c r="L41" s="2">
        <f>VLOOKUP($C41,'[10]for slip'!$F:$BC,35,0)</f>
        <v>0</v>
      </c>
      <c r="M41" s="2">
        <f>VLOOKUP($C41,'[10]for slip'!$F:$BC,36,0)</f>
        <v>0</v>
      </c>
      <c r="N41" s="2">
        <f>VLOOKUP($C41,'[10]for slip'!$F:$BC,37,0)</f>
        <v>0</v>
      </c>
      <c r="O41" s="2">
        <f>VLOOKUP($C41,'[10]for slip'!$F:$BC,38,0)</f>
        <v>0</v>
      </c>
      <c r="P41" s="2">
        <f>VLOOKUP($C41,'[10]for slip'!$F:$BC,39,0)</f>
        <v>38000</v>
      </c>
      <c r="Q41" s="2">
        <f>VLOOKUP($C41,'[10]for slip'!$F:$BC,40,0)</f>
        <v>31700</v>
      </c>
      <c r="R41" s="2">
        <f>VLOOKUP($C41,'[10]for slip'!$F:$BC,41,0)</f>
        <v>0</v>
      </c>
      <c r="S41" s="2">
        <f>VLOOKUP($C41,'[10]for slip'!$F:$BC,42,0)</f>
        <v>0</v>
      </c>
      <c r="T41" s="2">
        <f>VLOOKUP($C41,'[10]for slip'!$F:$BC,43,0)</f>
        <v>53430.83</v>
      </c>
      <c r="U41" s="2">
        <f>VLOOKUP($C41,'[10]for slip'!$F:$BC,44,0)</f>
        <v>106861.66</v>
      </c>
      <c r="V41" s="2">
        <f>VLOOKUP($C41,'[10]for slip'!$F:$BC,45,0)</f>
        <v>53430.83</v>
      </c>
      <c r="W41" s="2">
        <f>VLOOKUP($C41,'[10]for slip'!$F:$BC,48,0)</f>
        <v>0</v>
      </c>
    </row>
    <row r="42" spans="1:23" x14ac:dyDescent="0.25">
      <c r="A42" s="1">
        <v>41</v>
      </c>
      <c r="B42" s="2" t="s">
        <v>103</v>
      </c>
      <c r="C42" s="2" t="s">
        <v>104</v>
      </c>
      <c r="D42" s="2" t="str">
        <f>VLOOKUP($C42,'[10]for slip'!$F:$BC,3,0)</f>
        <v>Pelaksana</v>
      </c>
      <c r="E42" s="2" t="str">
        <f>VLOOKUP($C42,'[10]for slip'!$F:$BC,4,0)</f>
        <v>Prod. Stamping</v>
      </c>
      <c r="F42" s="2">
        <f>VLOOKUP($C42,'[10]for slip'!$F:$BC,14,0)</f>
        <v>5343083</v>
      </c>
      <c r="G42" s="2">
        <f>VLOOKUP($C42,'[10]for slip'!$F:$BC,15,0)</f>
        <v>0</v>
      </c>
      <c r="H42" s="2">
        <f>VLOOKUP($C42,'[10]for slip'!$F:$BC,16,0)</f>
        <v>0</v>
      </c>
      <c r="I42" s="2">
        <f>VLOOKUP($C42,'[10]for slip'!$F:$BC,17,0)</f>
        <v>0</v>
      </c>
      <c r="J42" s="2">
        <f>VLOOKUP($C42,'[10]for slip'!$F:$BC,27,0)</f>
        <v>0</v>
      </c>
      <c r="K42" s="2">
        <f>VLOOKUP($C42,'[10]for slip'!$F:$BC,31,0)</f>
        <v>0</v>
      </c>
      <c r="L42" s="2">
        <f>VLOOKUP($C42,'[10]for slip'!$F:$BC,35,0)</f>
        <v>0</v>
      </c>
      <c r="M42" s="2">
        <f>VLOOKUP($C42,'[10]for slip'!$F:$BC,36,0)</f>
        <v>0</v>
      </c>
      <c r="N42" s="2">
        <f>VLOOKUP($C42,'[10]for slip'!$F:$BC,37,0)</f>
        <v>0</v>
      </c>
      <c r="O42" s="2">
        <f>VLOOKUP($C42,'[10]for slip'!$F:$BC,38,0)</f>
        <v>0</v>
      </c>
      <c r="P42" s="2">
        <f>VLOOKUP($C42,'[10]for slip'!$F:$BC,39,0)</f>
        <v>38000</v>
      </c>
      <c r="Q42" s="2">
        <f>VLOOKUP($C42,'[10]for slip'!$F:$BC,40,0)</f>
        <v>31700</v>
      </c>
      <c r="R42" s="2">
        <f>VLOOKUP($C42,'[10]for slip'!$F:$BC,41,0)</f>
        <v>0</v>
      </c>
      <c r="S42" s="2">
        <f>VLOOKUP($C42,'[10]for slip'!$F:$BC,42,0)</f>
        <v>0</v>
      </c>
      <c r="T42" s="2">
        <f>VLOOKUP($C42,'[10]for slip'!$F:$BC,43,0)</f>
        <v>53430.83</v>
      </c>
      <c r="U42" s="2">
        <f>VLOOKUP($C42,'[10]for slip'!$F:$BC,44,0)</f>
        <v>106861.66</v>
      </c>
      <c r="V42" s="2">
        <f>VLOOKUP($C42,'[10]for slip'!$F:$BC,45,0)</f>
        <v>53430.83</v>
      </c>
      <c r="W42" s="2">
        <f>VLOOKUP($C42,'[10]for slip'!$F:$BC,48,0)</f>
        <v>0</v>
      </c>
    </row>
    <row r="43" spans="1:23" x14ac:dyDescent="0.25">
      <c r="A43" s="1">
        <v>42</v>
      </c>
      <c r="B43" s="2" t="s">
        <v>105</v>
      </c>
      <c r="C43" s="2" t="s">
        <v>106</v>
      </c>
      <c r="D43" s="2" t="str">
        <f>VLOOKUP($C43,'[10]for slip'!$F:$BC,3,0)</f>
        <v>Pelaksana</v>
      </c>
      <c r="E43" s="2" t="str">
        <f>VLOOKUP($C43,'[10]for slip'!$F:$BC,4,0)</f>
        <v>Prod. Stamping</v>
      </c>
      <c r="F43" s="2">
        <f>VLOOKUP($C43,'[10]for slip'!$F:$BC,14,0)</f>
        <v>5343083</v>
      </c>
      <c r="G43" s="2">
        <f>VLOOKUP($C43,'[10]for slip'!$F:$BC,15,0)</f>
        <v>0</v>
      </c>
      <c r="H43" s="2">
        <f>VLOOKUP($C43,'[10]for slip'!$F:$BC,16,0)</f>
        <v>0</v>
      </c>
      <c r="I43" s="2">
        <f>VLOOKUP($C43,'[10]for slip'!$F:$BC,17,0)</f>
        <v>0</v>
      </c>
      <c r="J43" s="2">
        <f>VLOOKUP($C43,'[10]for slip'!$F:$BC,27,0)</f>
        <v>0</v>
      </c>
      <c r="K43" s="2">
        <f>VLOOKUP($C43,'[10]for slip'!$F:$BC,31,0)</f>
        <v>0</v>
      </c>
      <c r="L43" s="2">
        <f>VLOOKUP($C43,'[10]for slip'!$F:$BC,35,0)</f>
        <v>34354.584590750004</v>
      </c>
      <c r="M43" s="2">
        <f>VLOOKUP($C43,'[10]for slip'!$F:$BC,36,0)</f>
        <v>0</v>
      </c>
      <c r="N43" s="2">
        <f>VLOOKUP($C43,'[10]for slip'!$F:$BC,37,0)</f>
        <v>0</v>
      </c>
      <c r="O43" s="2">
        <f>VLOOKUP($C43,'[10]for slip'!$F:$BC,38,0)</f>
        <v>0</v>
      </c>
      <c r="P43" s="2">
        <f>VLOOKUP($C43,'[10]for slip'!$F:$BC,39,0)</f>
        <v>0</v>
      </c>
      <c r="Q43" s="2">
        <f>VLOOKUP($C43,'[10]for slip'!$F:$BC,40,0)</f>
        <v>31700</v>
      </c>
      <c r="R43" s="2">
        <f>VLOOKUP($C43,'[10]for slip'!$F:$BC,41,0)</f>
        <v>0</v>
      </c>
      <c r="S43" s="2">
        <f>VLOOKUP($C43,'[10]for slip'!$F:$BC,42,0)</f>
        <v>10000</v>
      </c>
      <c r="T43" s="2">
        <f>VLOOKUP($C43,'[10]for slip'!$F:$BC,43,0)</f>
        <v>53430.83</v>
      </c>
      <c r="U43" s="2">
        <f>VLOOKUP($C43,'[10]for slip'!$F:$BC,44,0)</f>
        <v>106861.66</v>
      </c>
      <c r="V43" s="2">
        <f>VLOOKUP($C43,'[10]for slip'!$F:$BC,45,0)</f>
        <v>53430.83</v>
      </c>
      <c r="W43" s="2">
        <f>VLOOKUP($C43,'[10]for slip'!$F:$BC,48,0)</f>
        <v>34354.584590750004</v>
      </c>
    </row>
    <row r="44" spans="1:23" x14ac:dyDescent="0.25">
      <c r="A44" s="1">
        <v>43</v>
      </c>
      <c r="B44" s="2" t="s">
        <v>107</v>
      </c>
      <c r="C44" s="2" t="s">
        <v>108</v>
      </c>
      <c r="D44" s="2" t="str">
        <f>VLOOKUP($C44,'[10]for slip'!$F:$BC,3,0)</f>
        <v>Pelaksana</v>
      </c>
      <c r="E44" s="2" t="str">
        <f>VLOOKUP($C44,'[10]for slip'!$F:$BC,4,0)</f>
        <v>Prod. Stamping</v>
      </c>
      <c r="F44" s="2">
        <f>VLOOKUP($C44,'[10]for slip'!$F:$BC,14,0)</f>
        <v>5343083</v>
      </c>
      <c r="G44" s="2">
        <f>VLOOKUP($C44,'[10]for slip'!$F:$BC,15,0)</f>
        <v>0</v>
      </c>
      <c r="H44" s="2">
        <f>VLOOKUP($C44,'[10]for slip'!$F:$BC,16,0)</f>
        <v>0</v>
      </c>
      <c r="I44" s="2">
        <f>VLOOKUP($C44,'[10]for slip'!$F:$BC,17,0)</f>
        <v>0</v>
      </c>
      <c r="J44" s="2">
        <f>VLOOKUP($C44,'[10]for slip'!$F:$BC,27,0)</f>
        <v>0</v>
      </c>
      <c r="K44" s="2">
        <f>VLOOKUP($C44,'[10]for slip'!$F:$BC,31,0)</f>
        <v>0</v>
      </c>
      <c r="L44" s="2">
        <f>VLOOKUP($C44,'[10]for slip'!$F:$BC,35,0)</f>
        <v>34354.584590750004</v>
      </c>
      <c r="M44" s="2">
        <f>VLOOKUP($C44,'[10]for slip'!$F:$BC,36,0)</f>
        <v>0</v>
      </c>
      <c r="N44" s="2">
        <f>VLOOKUP($C44,'[10]for slip'!$F:$BC,37,0)</f>
        <v>0</v>
      </c>
      <c r="O44" s="2">
        <f>VLOOKUP($C44,'[10]for slip'!$F:$BC,38,0)</f>
        <v>0</v>
      </c>
      <c r="P44" s="2">
        <f>VLOOKUP($C44,'[10]for slip'!$F:$BC,39,0)</f>
        <v>0</v>
      </c>
      <c r="Q44" s="2">
        <f>VLOOKUP($C44,'[10]for slip'!$F:$BC,40,0)</f>
        <v>31700</v>
      </c>
      <c r="R44" s="2">
        <f>VLOOKUP($C44,'[10]for slip'!$F:$BC,41,0)</f>
        <v>0</v>
      </c>
      <c r="S44" s="2">
        <f>VLOOKUP($C44,'[10]for slip'!$F:$BC,42,0)</f>
        <v>10000</v>
      </c>
      <c r="T44" s="2">
        <f>VLOOKUP($C44,'[10]for slip'!$F:$BC,43,0)</f>
        <v>53430.83</v>
      </c>
      <c r="U44" s="2">
        <f>VLOOKUP($C44,'[10]for slip'!$F:$BC,44,0)</f>
        <v>106861.66</v>
      </c>
      <c r="V44" s="2">
        <f>VLOOKUP($C44,'[10]for slip'!$F:$BC,45,0)</f>
        <v>53430.83</v>
      </c>
      <c r="W44" s="2">
        <f>VLOOKUP($C44,'[10]for slip'!$F:$BC,48,0)</f>
        <v>34354.584590750004</v>
      </c>
    </row>
    <row r="45" spans="1:23" x14ac:dyDescent="0.25">
      <c r="A45" s="1">
        <v>44</v>
      </c>
      <c r="B45" s="2" t="s">
        <v>109</v>
      </c>
      <c r="C45" s="2" t="s">
        <v>110</v>
      </c>
      <c r="D45" s="2" t="str">
        <f>VLOOKUP($C45,'[10]for slip'!$F:$BC,3,0)</f>
        <v>Pelaksana</v>
      </c>
      <c r="E45" s="2" t="str">
        <f>VLOOKUP($C45,'[10]for slip'!$F:$BC,4,0)</f>
        <v>Prod. Stamping</v>
      </c>
      <c r="F45" s="2">
        <f>VLOOKUP($C45,'[10]for slip'!$F:$BC,14,0)</f>
        <v>5343083</v>
      </c>
      <c r="G45" s="2">
        <f>VLOOKUP($C45,'[10]for slip'!$F:$BC,15,0)</f>
        <v>0</v>
      </c>
      <c r="H45" s="2">
        <f>VLOOKUP($C45,'[10]for slip'!$F:$BC,16,0)</f>
        <v>0</v>
      </c>
      <c r="I45" s="2">
        <f>VLOOKUP($C45,'[10]for slip'!$F:$BC,17,0)</f>
        <v>0</v>
      </c>
      <c r="J45" s="2">
        <f>VLOOKUP($C45,'[10]for slip'!$F:$BC,27,0)</f>
        <v>0</v>
      </c>
      <c r="K45" s="2">
        <f>VLOOKUP($C45,'[10]for slip'!$F:$BC,31,0)</f>
        <v>0</v>
      </c>
      <c r="L45" s="2">
        <f>VLOOKUP($C45,'[10]for slip'!$F:$BC,35,0)</f>
        <v>34354.584590750004</v>
      </c>
      <c r="M45" s="2">
        <f>VLOOKUP($C45,'[10]for slip'!$F:$BC,36,0)</f>
        <v>0</v>
      </c>
      <c r="N45" s="2">
        <f>VLOOKUP($C45,'[10]for slip'!$F:$BC,37,0)</f>
        <v>0</v>
      </c>
      <c r="O45" s="2">
        <f>VLOOKUP($C45,'[10]for slip'!$F:$BC,38,0)</f>
        <v>0</v>
      </c>
      <c r="P45" s="2">
        <f>VLOOKUP($C45,'[10]for slip'!$F:$BC,39,0)</f>
        <v>0</v>
      </c>
      <c r="Q45" s="2">
        <f>VLOOKUP($C45,'[10]for slip'!$F:$BC,40,0)</f>
        <v>31700</v>
      </c>
      <c r="R45" s="2">
        <f>VLOOKUP($C45,'[10]for slip'!$F:$BC,41,0)</f>
        <v>0</v>
      </c>
      <c r="S45" s="2">
        <f>VLOOKUP($C45,'[10]for slip'!$F:$BC,42,0)</f>
        <v>10000</v>
      </c>
      <c r="T45" s="2">
        <f>VLOOKUP($C45,'[10]for slip'!$F:$BC,43,0)</f>
        <v>53430.83</v>
      </c>
      <c r="U45" s="2">
        <f>VLOOKUP($C45,'[10]for slip'!$F:$BC,44,0)</f>
        <v>106861.66</v>
      </c>
      <c r="V45" s="2">
        <f>VLOOKUP($C45,'[10]for slip'!$F:$BC,45,0)</f>
        <v>53430.83</v>
      </c>
      <c r="W45" s="2">
        <f>VLOOKUP($C45,'[10]for slip'!$F:$BC,48,0)</f>
        <v>34354.584590750004</v>
      </c>
    </row>
    <row r="46" spans="1:23" x14ac:dyDescent="0.25">
      <c r="A46" s="1">
        <v>45</v>
      </c>
      <c r="B46" s="2" t="s">
        <v>111</v>
      </c>
      <c r="C46" s="2" t="s">
        <v>112</v>
      </c>
      <c r="D46" s="2" t="str">
        <f>VLOOKUP($C46,'[10]for slip'!$F:$BC,3,0)</f>
        <v>Pelaksana</v>
      </c>
      <c r="E46" s="2" t="str">
        <f>VLOOKUP($C46,'[10]for slip'!$F:$BC,4,0)</f>
        <v>Prod. Stamping</v>
      </c>
      <c r="F46" s="2">
        <f>VLOOKUP($C46,'[10]for slip'!$F:$BC,14,0)</f>
        <v>5343083</v>
      </c>
      <c r="G46" s="2">
        <f>VLOOKUP($C46,'[10]for slip'!$F:$BC,15,0)</f>
        <v>0</v>
      </c>
      <c r="H46" s="2">
        <f>VLOOKUP($C46,'[10]for slip'!$F:$BC,16,0)</f>
        <v>0</v>
      </c>
      <c r="I46" s="2">
        <f>VLOOKUP($C46,'[10]for slip'!$F:$BC,17,0)</f>
        <v>0</v>
      </c>
      <c r="J46" s="2">
        <f>VLOOKUP($C46,'[10]for slip'!$F:$BC,27,0)</f>
        <v>0</v>
      </c>
      <c r="K46" s="2">
        <f>VLOOKUP($C46,'[10]for slip'!$F:$BC,31,0)</f>
        <v>0</v>
      </c>
      <c r="L46" s="2">
        <f>VLOOKUP($C46,'[10]for slip'!$F:$BC,35,0)</f>
        <v>0</v>
      </c>
      <c r="M46" s="2">
        <f>VLOOKUP($C46,'[10]for slip'!$F:$BC,36,0)</f>
        <v>0</v>
      </c>
      <c r="N46" s="2">
        <f>VLOOKUP($C46,'[10]for slip'!$F:$BC,37,0)</f>
        <v>0</v>
      </c>
      <c r="O46" s="2">
        <f>VLOOKUP($C46,'[10]for slip'!$F:$BC,38,0)</f>
        <v>0</v>
      </c>
      <c r="P46" s="2">
        <f>VLOOKUP($C46,'[10]for slip'!$F:$BC,39,0)</f>
        <v>0</v>
      </c>
      <c r="Q46" s="2">
        <f>VLOOKUP($C46,'[10]for slip'!$F:$BC,40,0)</f>
        <v>31700</v>
      </c>
      <c r="R46" s="2">
        <f>VLOOKUP($C46,'[10]for slip'!$F:$BC,41,0)</f>
        <v>0</v>
      </c>
      <c r="S46" s="2">
        <f>VLOOKUP($C46,'[10]for slip'!$F:$BC,42,0)</f>
        <v>10000</v>
      </c>
      <c r="T46" s="2">
        <f>VLOOKUP($C46,'[10]for slip'!$F:$BC,43,0)</f>
        <v>53430.83</v>
      </c>
      <c r="U46" s="2">
        <f>VLOOKUP($C46,'[10]for slip'!$F:$BC,44,0)</f>
        <v>106861.66</v>
      </c>
      <c r="V46" s="2">
        <f>VLOOKUP($C46,'[10]for slip'!$F:$BC,45,0)</f>
        <v>53430.83</v>
      </c>
      <c r="W46" s="2">
        <f>VLOOKUP($C46,'[10]for slip'!$F:$BC,48,0)</f>
        <v>0</v>
      </c>
    </row>
    <row r="47" spans="1:23" x14ac:dyDescent="0.25">
      <c r="A47" s="1">
        <v>46</v>
      </c>
      <c r="B47" s="2" t="s">
        <v>113</v>
      </c>
      <c r="C47" s="2" t="s">
        <v>114</v>
      </c>
      <c r="D47" s="2" t="str">
        <f>VLOOKUP($C47,'[10]for slip'!$F:$BC,3,0)</f>
        <v>Pelaksana</v>
      </c>
      <c r="E47" s="2" t="str">
        <f>VLOOKUP($C47,'[10]for slip'!$F:$BC,4,0)</f>
        <v>Prod. Stamping</v>
      </c>
      <c r="F47" s="2">
        <f>VLOOKUP($C47,'[10]for slip'!$F:$BC,14,0)</f>
        <v>5343083</v>
      </c>
      <c r="G47" s="2">
        <f>VLOOKUP($C47,'[10]for slip'!$F:$BC,15,0)</f>
        <v>0</v>
      </c>
      <c r="H47" s="2">
        <f>VLOOKUP($C47,'[10]for slip'!$F:$BC,16,0)</f>
        <v>0</v>
      </c>
      <c r="I47" s="2">
        <f>VLOOKUP($C47,'[10]for slip'!$F:$BC,17,0)</f>
        <v>0</v>
      </c>
      <c r="J47" s="2">
        <f>VLOOKUP($C47,'[10]for slip'!$F:$BC,27,0)</f>
        <v>0</v>
      </c>
      <c r="K47" s="2">
        <f>VLOOKUP($C47,'[10]for slip'!$F:$BC,31,0)</f>
        <v>0</v>
      </c>
      <c r="L47" s="2">
        <f>VLOOKUP($C47,'[10]for slip'!$F:$BC,35,0)</f>
        <v>15604.584590750002</v>
      </c>
      <c r="M47" s="2">
        <f>VLOOKUP($C47,'[10]for slip'!$F:$BC,36,0)</f>
        <v>0</v>
      </c>
      <c r="N47" s="2">
        <f>VLOOKUP($C47,'[10]for slip'!$F:$BC,37,0)</f>
        <v>0</v>
      </c>
      <c r="O47" s="2">
        <f>VLOOKUP($C47,'[10]for slip'!$F:$BC,38,0)</f>
        <v>0</v>
      </c>
      <c r="P47" s="2">
        <f>VLOOKUP($C47,'[10]for slip'!$F:$BC,39,0)</f>
        <v>38000</v>
      </c>
      <c r="Q47" s="2">
        <f>VLOOKUP($C47,'[10]for slip'!$F:$BC,40,0)</f>
        <v>31700</v>
      </c>
      <c r="R47" s="2">
        <f>VLOOKUP($C47,'[10]for slip'!$F:$BC,41,0)</f>
        <v>0</v>
      </c>
      <c r="S47" s="2">
        <f>VLOOKUP($C47,'[10]for slip'!$F:$BC,42,0)</f>
        <v>10000</v>
      </c>
      <c r="T47" s="2">
        <f>VLOOKUP($C47,'[10]for slip'!$F:$BC,43,0)</f>
        <v>53430.83</v>
      </c>
      <c r="U47" s="2">
        <f>VLOOKUP($C47,'[10]for slip'!$F:$BC,44,0)</f>
        <v>106861.66</v>
      </c>
      <c r="V47" s="2">
        <f>VLOOKUP($C47,'[10]for slip'!$F:$BC,45,0)</f>
        <v>53430.83</v>
      </c>
      <c r="W47" s="2">
        <f>VLOOKUP($C47,'[10]for slip'!$F:$BC,48,0)</f>
        <v>15604.584590750002</v>
      </c>
    </row>
    <row r="48" spans="1:23" x14ac:dyDescent="0.25">
      <c r="A48" s="1">
        <v>47</v>
      </c>
      <c r="B48" s="2" t="s">
        <v>115</v>
      </c>
      <c r="C48" s="2" t="s">
        <v>116</v>
      </c>
      <c r="D48" s="2" t="str">
        <f>VLOOKUP($C48,'[10]for slip'!$F:$BC,3,0)</f>
        <v>Pelaksana</v>
      </c>
      <c r="E48" s="2" t="str">
        <f>VLOOKUP($C48,'[10]for slip'!$F:$BC,4,0)</f>
        <v>Prod. Stamping</v>
      </c>
      <c r="F48" s="2">
        <f>VLOOKUP($C48,'[10]for slip'!$F:$BC,14,0)</f>
        <v>5343083</v>
      </c>
      <c r="G48" s="2">
        <f>VLOOKUP($C48,'[10]for slip'!$F:$BC,15,0)</f>
        <v>0</v>
      </c>
      <c r="H48" s="2">
        <f>VLOOKUP($C48,'[10]for slip'!$F:$BC,16,0)</f>
        <v>0</v>
      </c>
      <c r="I48" s="2">
        <f>VLOOKUP($C48,'[10]for slip'!$F:$BC,17,0)</f>
        <v>0</v>
      </c>
      <c r="J48" s="2">
        <f>VLOOKUP($C48,'[10]for slip'!$F:$BC,27,0)</f>
        <v>0</v>
      </c>
      <c r="K48" s="2">
        <f>VLOOKUP($C48,'[10]for slip'!$F:$BC,31,0)</f>
        <v>0</v>
      </c>
      <c r="L48" s="2">
        <f>VLOOKUP($C48,'[10]for slip'!$F:$BC,35,0)</f>
        <v>15604.584590750002</v>
      </c>
      <c r="M48" s="2">
        <f>VLOOKUP($C48,'[10]for slip'!$F:$BC,36,0)</f>
        <v>0</v>
      </c>
      <c r="N48" s="2">
        <f>VLOOKUP($C48,'[10]for slip'!$F:$BC,37,0)</f>
        <v>0</v>
      </c>
      <c r="O48" s="2">
        <f>VLOOKUP($C48,'[10]for slip'!$F:$BC,38,0)</f>
        <v>0</v>
      </c>
      <c r="P48" s="2">
        <f>VLOOKUP($C48,'[10]for slip'!$F:$BC,39,0)</f>
        <v>0</v>
      </c>
      <c r="Q48" s="2">
        <f>VLOOKUP($C48,'[10]for slip'!$F:$BC,40,0)</f>
        <v>31700</v>
      </c>
      <c r="R48" s="2">
        <f>VLOOKUP($C48,'[10]for slip'!$F:$BC,41,0)</f>
        <v>0</v>
      </c>
      <c r="S48" s="2">
        <f>VLOOKUP($C48,'[10]for slip'!$F:$BC,42,0)</f>
        <v>0</v>
      </c>
      <c r="T48" s="2">
        <f>VLOOKUP($C48,'[10]for slip'!$F:$BC,43,0)</f>
        <v>53430.83</v>
      </c>
      <c r="U48" s="2">
        <f>VLOOKUP($C48,'[10]for slip'!$F:$BC,44,0)</f>
        <v>106861.66</v>
      </c>
      <c r="V48" s="2">
        <f>VLOOKUP($C48,'[10]for slip'!$F:$BC,45,0)</f>
        <v>53430.83</v>
      </c>
      <c r="W48" s="2">
        <f>VLOOKUP($C48,'[10]for slip'!$F:$BC,48,0)</f>
        <v>15604.584590750002</v>
      </c>
    </row>
    <row r="49" spans="1:23" x14ac:dyDescent="0.25">
      <c r="A49" s="1">
        <v>48</v>
      </c>
      <c r="B49" s="2" t="s">
        <v>117</v>
      </c>
      <c r="C49" s="2" t="s">
        <v>118</v>
      </c>
      <c r="D49" s="2" t="str">
        <f>VLOOKUP($C49,'[10]for slip'!$F:$BC,3,0)</f>
        <v>Pelaksana</v>
      </c>
      <c r="E49" s="2" t="str">
        <f>VLOOKUP($C49,'[10]for slip'!$F:$BC,4,0)</f>
        <v>Prod. Stamping</v>
      </c>
      <c r="F49" s="2">
        <f>VLOOKUP($C49,'[10]for slip'!$F:$BC,14,0)</f>
        <v>5343083</v>
      </c>
      <c r="G49" s="2">
        <f>VLOOKUP($C49,'[10]for slip'!$F:$BC,15,0)</f>
        <v>0</v>
      </c>
      <c r="H49" s="2">
        <f>VLOOKUP($C49,'[10]for slip'!$F:$BC,16,0)</f>
        <v>0</v>
      </c>
      <c r="I49" s="2">
        <f>VLOOKUP($C49,'[10]for slip'!$F:$BC,17,0)</f>
        <v>0</v>
      </c>
      <c r="J49" s="2">
        <f>VLOOKUP($C49,'[10]for slip'!$F:$BC,27,0)</f>
        <v>0</v>
      </c>
      <c r="K49" s="2">
        <f>VLOOKUP($C49,'[10]for slip'!$F:$BC,31,0)</f>
        <v>0</v>
      </c>
      <c r="L49" s="2">
        <f>VLOOKUP($C49,'[10]for slip'!$F:$BC,35,0)</f>
        <v>34354.584590750004</v>
      </c>
      <c r="M49" s="2">
        <f>VLOOKUP($C49,'[10]for slip'!$F:$BC,36,0)</f>
        <v>0</v>
      </c>
      <c r="N49" s="2">
        <f>VLOOKUP($C49,'[10]for slip'!$F:$BC,37,0)</f>
        <v>0</v>
      </c>
      <c r="O49" s="2">
        <f>VLOOKUP($C49,'[10]for slip'!$F:$BC,38,0)</f>
        <v>0</v>
      </c>
      <c r="P49" s="2">
        <f>VLOOKUP($C49,'[10]for slip'!$F:$BC,39,0)</f>
        <v>0</v>
      </c>
      <c r="Q49" s="2">
        <f>VLOOKUP($C49,'[10]for slip'!$F:$BC,40,0)</f>
        <v>31700</v>
      </c>
      <c r="R49" s="2">
        <f>VLOOKUP($C49,'[10]for slip'!$F:$BC,41,0)</f>
        <v>0</v>
      </c>
      <c r="S49" s="2">
        <f>VLOOKUP($C49,'[10]for slip'!$F:$BC,42,0)</f>
        <v>10000</v>
      </c>
      <c r="T49" s="2">
        <f>VLOOKUP($C49,'[10]for slip'!$F:$BC,43,0)</f>
        <v>53430.83</v>
      </c>
      <c r="U49" s="2">
        <f>VLOOKUP($C49,'[10]for slip'!$F:$BC,44,0)</f>
        <v>106861.66</v>
      </c>
      <c r="V49" s="2">
        <f>VLOOKUP($C49,'[10]for slip'!$F:$BC,45,0)</f>
        <v>53430.83</v>
      </c>
      <c r="W49" s="2">
        <f>VLOOKUP($C49,'[10]for slip'!$F:$BC,48,0)</f>
        <v>34354.584590750004</v>
      </c>
    </row>
    <row r="50" spans="1:23" x14ac:dyDescent="0.25">
      <c r="A50" s="1">
        <v>49</v>
      </c>
      <c r="B50" s="2" t="s">
        <v>119</v>
      </c>
      <c r="C50" s="2" t="s">
        <v>120</v>
      </c>
      <c r="D50" s="2" t="str">
        <f>VLOOKUP($C50,'[10]for slip'!$F:$BC,3,0)</f>
        <v>Pelaksana</v>
      </c>
      <c r="E50" s="2" t="str">
        <f>VLOOKUP($C50,'[10]for slip'!$F:$BC,4,0)</f>
        <v>Prod. Stamping</v>
      </c>
      <c r="F50" s="2">
        <f>VLOOKUP($C50,'[10]for slip'!$F:$BC,14,0)</f>
        <v>5343083</v>
      </c>
      <c r="G50" s="2">
        <f>VLOOKUP($C50,'[10]for slip'!$F:$BC,15,0)</f>
        <v>0</v>
      </c>
      <c r="H50" s="2">
        <f>VLOOKUP($C50,'[10]for slip'!$F:$BC,16,0)</f>
        <v>0</v>
      </c>
      <c r="I50" s="2">
        <f>VLOOKUP($C50,'[10]for slip'!$F:$BC,17,0)</f>
        <v>0</v>
      </c>
      <c r="J50" s="2">
        <f>VLOOKUP($C50,'[10]for slip'!$F:$BC,27,0)</f>
        <v>0</v>
      </c>
      <c r="K50" s="2">
        <f>VLOOKUP($C50,'[10]for slip'!$F:$BC,31,0)</f>
        <v>0</v>
      </c>
      <c r="L50" s="2">
        <f>VLOOKUP($C50,'[10]for slip'!$F:$BC,35,0)</f>
        <v>34354.584590750004</v>
      </c>
      <c r="M50" s="2">
        <f>VLOOKUP($C50,'[10]for slip'!$F:$BC,36,0)</f>
        <v>0</v>
      </c>
      <c r="N50" s="2">
        <f>VLOOKUP($C50,'[10]for slip'!$F:$BC,37,0)</f>
        <v>0</v>
      </c>
      <c r="O50" s="2">
        <f>VLOOKUP($C50,'[10]for slip'!$F:$BC,38,0)</f>
        <v>0</v>
      </c>
      <c r="P50" s="2">
        <f>VLOOKUP($C50,'[10]for slip'!$F:$BC,39,0)</f>
        <v>0</v>
      </c>
      <c r="Q50" s="2">
        <f>VLOOKUP($C50,'[10]for slip'!$F:$BC,40,0)</f>
        <v>31700</v>
      </c>
      <c r="R50" s="2">
        <f>VLOOKUP($C50,'[10]for slip'!$F:$BC,41,0)</f>
        <v>0</v>
      </c>
      <c r="S50" s="2">
        <f>VLOOKUP($C50,'[10]for slip'!$F:$BC,42,0)</f>
        <v>10000</v>
      </c>
      <c r="T50" s="2">
        <f>VLOOKUP($C50,'[10]for slip'!$F:$BC,43,0)</f>
        <v>53430.83</v>
      </c>
      <c r="U50" s="2">
        <f>VLOOKUP($C50,'[10]for slip'!$F:$BC,44,0)</f>
        <v>106861.66</v>
      </c>
      <c r="V50" s="2">
        <f>VLOOKUP($C50,'[10]for slip'!$F:$BC,45,0)</f>
        <v>53430.83</v>
      </c>
      <c r="W50" s="2">
        <f>VLOOKUP($C50,'[10]for slip'!$F:$BC,48,0)</f>
        <v>34354.584590750004</v>
      </c>
    </row>
    <row r="51" spans="1:23" x14ac:dyDescent="0.25">
      <c r="A51" s="1">
        <v>50</v>
      </c>
      <c r="B51" s="2" t="s">
        <v>121</v>
      </c>
      <c r="C51" s="2" t="s">
        <v>122</v>
      </c>
      <c r="D51" s="2" t="str">
        <f>VLOOKUP($C51,'[10]for slip'!$F:$BC,3,0)</f>
        <v>Pelaksana</v>
      </c>
      <c r="E51" s="2" t="str">
        <f>VLOOKUP($C51,'[10]for slip'!$F:$BC,4,0)</f>
        <v>Prod. Stamping</v>
      </c>
      <c r="F51" s="2">
        <f>VLOOKUP($C51,'[10]for slip'!$F:$BC,14,0)</f>
        <v>5343083</v>
      </c>
      <c r="G51" s="2">
        <f>VLOOKUP($C51,'[10]for slip'!$F:$BC,15,0)</f>
        <v>0</v>
      </c>
      <c r="H51" s="2">
        <f>VLOOKUP($C51,'[10]for slip'!$F:$BC,16,0)</f>
        <v>0</v>
      </c>
      <c r="I51" s="2">
        <f>VLOOKUP($C51,'[10]for slip'!$F:$BC,17,0)</f>
        <v>0</v>
      </c>
      <c r="J51" s="2">
        <f>VLOOKUP($C51,'[10]for slip'!$F:$BC,27,0)</f>
        <v>0</v>
      </c>
      <c r="K51" s="2">
        <f>VLOOKUP($C51,'[10]for slip'!$F:$BC,31,0)</f>
        <v>0</v>
      </c>
      <c r="L51" s="2">
        <f>VLOOKUP($C51,'[10]for slip'!$F:$BC,35,0)</f>
        <v>34354.584590750004</v>
      </c>
      <c r="M51" s="2">
        <f>VLOOKUP($C51,'[10]for slip'!$F:$BC,36,0)</f>
        <v>0</v>
      </c>
      <c r="N51" s="2">
        <f>VLOOKUP($C51,'[10]for slip'!$F:$BC,37,0)</f>
        <v>0</v>
      </c>
      <c r="O51" s="2">
        <f>VLOOKUP($C51,'[10]for slip'!$F:$BC,38,0)</f>
        <v>0</v>
      </c>
      <c r="P51" s="2">
        <f>VLOOKUP($C51,'[10]for slip'!$F:$BC,39,0)</f>
        <v>38000</v>
      </c>
      <c r="Q51" s="2">
        <f>VLOOKUP($C51,'[10]for slip'!$F:$BC,40,0)</f>
        <v>31700</v>
      </c>
      <c r="R51" s="2">
        <f>VLOOKUP($C51,'[10]for slip'!$F:$BC,41,0)</f>
        <v>0</v>
      </c>
      <c r="S51" s="2">
        <f>VLOOKUP($C51,'[10]for slip'!$F:$BC,42,0)</f>
        <v>0</v>
      </c>
      <c r="T51" s="2">
        <f>VLOOKUP($C51,'[10]for slip'!$F:$BC,43,0)</f>
        <v>53430.83</v>
      </c>
      <c r="U51" s="2">
        <f>VLOOKUP($C51,'[10]for slip'!$F:$BC,44,0)</f>
        <v>106861.66</v>
      </c>
      <c r="V51" s="2">
        <f>VLOOKUP($C51,'[10]for slip'!$F:$BC,45,0)</f>
        <v>53430.83</v>
      </c>
      <c r="W51" s="2">
        <f>VLOOKUP($C51,'[10]for slip'!$F:$BC,48,0)</f>
        <v>34354.584590750004</v>
      </c>
    </row>
    <row r="52" spans="1:23" x14ac:dyDescent="0.25">
      <c r="A52" s="1">
        <v>51</v>
      </c>
      <c r="B52" s="2" t="s">
        <v>123</v>
      </c>
      <c r="C52" s="2" t="s">
        <v>124</v>
      </c>
      <c r="D52" s="2" t="str">
        <f>VLOOKUP($C52,'[10]for slip'!$F:$BC,3,0)</f>
        <v>Pelaksana</v>
      </c>
      <c r="E52" s="2" t="str">
        <f>VLOOKUP($C52,'[10]for slip'!$F:$BC,4,0)</f>
        <v>Prod. Stamping</v>
      </c>
      <c r="F52" s="2">
        <f>VLOOKUP($C52,'[10]for slip'!$F:$BC,14,0)</f>
        <v>5343083</v>
      </c>
      <c r="G52" s="2">
        <f>VLOOKUP($C52,'[10]for slip'!$F:$BC,15,0)</f>
        <v>0</v>
      </c>
      <c r="H52" s="2">
        <f>VLOOKUP($C52,'[10]for slip'!$F:$BC,16,0)</f>
        <v>0</v>
      </c>
      <c r="I52" s="2">
        <f>VLOOKUP($C52,'[10]for slip'!$F:$BC,17,0)</f>
        <v>0</v>
      </c>
      <c r="J52" s="2">
        <f>VLOOKUP($C52,'[10]for slip'!$F:$BC,27,0)</f>
        <v>0</v>
      </c>
      <c r="K52" s="2">
        <f>VLOOKUP($C52,'[10]for slip'!$F:$BC,31,0)</f>
        <v>0</v>
      </c>
      <c r="L52" s="2">
        <f>VLOOKUP($C52,'[10]for slip'!$F:$BC,35,0)</f>
        <v>34354.584590750004</v>
      </c>
      <c r="M52" s="2">
        <f>VLOOKUP($C52,'[10]for slip'!$F:$BC,36,0)</f>
        <v>0</v>
      </c>
      <c r="N52" s="2">
        <f>VLOOKUP($C52,'[10]for slip'!$F:$BC,37,0)</f>
        <v>0</v>
      </c>
      <c r="O52" s="2">
        <f>VLOOKUP($C52,'[10]for slip'!$F:$BC,38,0)</f>
        <v>0</v>
      </c>
      <c r="P52" s="2">
        <f>VLOOKUP($C52,'[10]for slip'!$F:$BC,39,0)</f>
        <v>38000</v>
      </c>
      <c r="Q52" s="2">
        <f>VLOOKUP($C52,'[10]for slip'!$F:$BC,40,0)</f>
        <v>31700</v>
      </c>
      <c r="R52" s="2">
        <f>VLOOKUP($C52,'[10]for slip'!$F:$BC,41,0)</f>
        <v>0</v>
      </c>
      <c r="S52" s="2">
        <f>VLOOKUP($C52,'[10]for slip'!$F:$BC,42,0)</f>
        <v>10000</v>
      </c>
      <c r="T52" s="2">
        <f>VLOOKUP($C52,'[10]for slip'!$F:$BC,43,0)</f>
        <v>53430.83</v>
      </c>
      <c r="U52" s="2">
        <f>VLOOKUP($C52,'[10]for slip'!$F:$BC,44,0)</f>
        <v>106861.66</v>
      </c>
      <c r="V52" s="2">
        <f>VLOOKUP($C52,'[10]for slip'!$F:$BC,45,0)</f>
        <v>53430.83</v>
      </c>
      <c r="W52" s="2">
        <f>VLOOKUP($C52,'[10]for slip'!$F:$BC,48,0)</f>
        <v>34354.584590750004</v>
      </c>
    </row>
    <row r="53" spans="1:23" x14ac:dyDescent="0.25">
      <c r="A53" s="1">
        <v>52</v>
      </c>
      <c r="B53" s="2" t="s">
        <v>125</v>
      </c>
      <c r="C53" s="2" t="s">
        <v>126</v>
      </c>
      <c r="D53" s="2" t="str">
        <f>VLOOKUP($C53,'[10]for slip'!$F:$BC,3,0)</f>
        <v>Pelaksana</v>
      </c>
      <c r="E53" s="2" t="str">
        <f>VLOOKUP($C53,'[10]for slip'!$F:$BC,4,0)</f>
        <v>Prod. Stamping</v>
      </c>
      <c r="F53" s="2">
        <f>VLOOKUP($C53,'[10]for slip'!$F:$BC,14,0)</f>
        <v>5343083</v>
      </c>
      <c r="G53" s="2">
        <f>VLOOKUP($C53,'[10]for slip'!$F:$BC,15,0)</f>
        <v>0</v>
      </c>
      <c r="H53" s="2">
        <f>VLOOKUP($C53,'[10]for slip'!$F:$BC,16,0)</f>
        <v>0</v>
      </c>
      <c r="I53" s="2">
        <f>VLOOKUP($C53,'[10]for slip'!$F:$BC,17,0)</f>
        <v>0</v>
      </c>
      <c r="J53" s="2">
        <f>VLOOKUP($C53,'[10]for slip'!$F:$BC,27,0)</f>
        <v>0</v>
      </c>
      <c r="K53" s="2">
        <f>VLOOKUP($C53,'[10]for slip'!$F:$BC,31,0)</f>
        <v>0</v>
      </c>
      <c r="L53" s="2">
        <f>VLOOKUP($C53,'[10]for slip'!$F:$BC,35,0)</f>
        <v>0</v>
      </c>
      <c r="M53" s="2">
        <f>VLOOKUP($C53,'[10]for slip'!$F:$BC,36,0)</f>
        <v>0</v>
      </c>
      <c r="N53" s="2">
        <f>VLOOKUP($C53,'[10]for slip'!$F:$BC,37,0)</f>
        <v>0</v>
      </c>
      <c r="O53" s="2">
        <f>VLOOKUP($C53,'[10]for slip'!$F:$BC,38,0)</f>
        <v>0</v>
      </c>
      <c r="P53" s="2">
        <f>VLOOKUP($C53,'[10]for slip'!$F:$BC,39,0)</f>
        <v>0</v>
      </c>
      <c r="Q53" s="2">
        <f>VLOOKUP($C53,'[10]for slip'!$F:$BC,40,0)</f>
        <v>31700</v>
      </c>
      <c r="R53" s="2">
        <f>VLOOKUP($C53,'[10]for slip'!$F:$BC,41,0)</f>
        <v>0</v>
      </c>
      <c r="S53" s="2">
        <f>VLOOKUP($C53,'[10]for slip'!$F:$BC,42,0)</f>
        <v>10000</v>
      </c>
      <c r="T53" s="2">
        <f>VLOOKUP($C53,'[10]for slip'!$F:$BC,43,0)</f>
        <v>53430.83</v>
      </c>
      <c r="U53" s="2">
        <f>VLOOKUP($C53,'[10]for slip'!$F:$BC,44,0)</f>
        <v>106861.66</v>
      </c>
      <c r="V53" s="2">
        <f>VLOOKUP($C53,'[10]for slip'!$F:$BC,45,0)</f>
        <v>53430.83</v>
      </c>
      <c r="W53" s="2">
        <f>VLOOKUP($C53,'[10]for slip'!$F:$BC,48,0)</f>
        <v>0</v>
      </c>
    </row>
    <row r="54" spans="1:23" x14ac:dyDescent="0.25">
      <c r="A54" s="1">
        <v>53</v>
      </c>
      <c r="B54" s="2" t="s">
        <v>127</v>
      </c>
      <c r="C54" s="2" t="s">
        <v>128</v>
      </c>
      <c r="D54" s="2" t="str">
        <f>VLOOKUP($C54,'[10]for slip'!$F:$BC,3,0)</f>
        <v>Pelaksana</v>
      </c>
      <c r="E54" s="2" t="str">
        <f>VLOOKUP($C54,'[10]for slip'!$F:$BC,4,0)</f>
        <v>Prod. Stamping</v>
      </c>
      <c r="F54" s="2">
        <f>VLOOKUP($C54,'[10]for slip'!$F:$BC,14,0)</f>
        <v>5343083</v>
      </c>
      <c r="G54" s="2">
        <f>VLOOKUP($C54,'[10]for slip'!$F:$BC,15,0)</f>
        <v>0</v>
      </c>
      <c r="H54" s="2">
        <f>VLOOKUP($C54,'[10]for slip'!$F:$BC,16,0)</f>
        <v>0</v>
      </c>
      <c r="I54" s="2">
        <f>VLOOKUP($C54,'[10]for slip'!$F:$BC,17,0)</f>
        <v>0</v>
      </c>
      <c r="J54" s="2">
        <f>VLOOKUP($C54,'[10]for slip'!$F:$BC,27,0)</f>
        <v>0</v>
      </c>
      <c r="K54" s="2">
        <f>VLOOKUP($C54,'[10]for slip'!$F:$BC,31,0)</f>
        <v>0</v>
      </c>
      <c r="L54" s="2">
        <f>VLOOKUP($C54,'[10]for slip'!$F:$BC,35,0)</f>
        <v>0</v>
      </c>
      <c r="M54" s="2">
        <f>VLOOKUP($C54,'[10]for slip'!$F:$BC,36,0)</f>
        <v>0</v>
      </c>
      <c r="N54" s="2">
        <f>VLOOKUP($C54,'[10]for slip'!$F:$BC,37,0)</f>
        <v>0</v>
      </c>
      <c r="O54" s="2">
        <f>VLOOKUP($C54,'[10]for slip'!$F:$BC,38,0)</f>
        <v>0</v>
      </c>
      <c r="P54" s="2">
        <f>VLOOKUP($C54,'[10]for slip'!$F:$BC,39,0)</f>
        <v>0</v>
      </c>
      <c r="Q54" s="2">
        <f>VLOOKUP($C54,'[10]for slip'!$F:$BC,40,0)</f>
        <v>31700</v>
      </c>
      <c r="R54" s="2">
        <f>VLOOKUP($C54,'[10]for slip'!$F:$BC,41,0)</f>
        <v>0</v>
      </c>
      <c r="S54" s="2">
        <f>VLOOKUP($C54,'[10]for slip'!$F:$BC,42,0)</f>
        <v>0</v>
      </c>
      <c r="T54" s="2">
        <f>VLOOKUP($C54,'[10]for slip'!$F:$BC,43,0)</f>
        <v>53430.83</v>
      </c>
      <c r="U54" s="2">
        <f>VLOOKUP($C54,'[10]for slip'!$F:$BC,44,0)</f>
        <v>106861.66</v>
      </c>
      <c r="V54" s="2">
        <f>VLOOKUP($C54,'[10]for slip'!$F:$BC,45,0)</f>
        <v>53430.83</v>
      </c>
      <c r="W54" s="2">
        <f>VLOOKUP($C54,'[10]for slip'!$F:$BC,48,0)</f>
        <v>0</v>
      </c>
    </row>
    <row r="55" spans="1:23" x14ac:dyDescent="0.25">
      <c r="A55" s="1">
        <v>54</v>
      </c>
      <c r="B55" s="2" t="s">
        <v>129</v>
      </c>
      <c r="C55" s="2" t="s">
        <v>130</v>
      </c>
      <c r="D55" s="2" t="str">
        <f>VLOOKUP($C55,'[10]for slip'!$F:$BC,3,0)</f>
        <v>Pelaksana</v>
      </c>
      <c r="E55" s="2" t="str">
        <f>VLOOKUP($C55,'[10]for slip'!$F:$BC,4,0)</f>
        <v>Prod. Stamping</v>
      </c>
      <c r="F55" s="2">
        <f>VLOOKUP($C55,'[10]for slip'!$F:$BC,14,0)</f>
        <v>5343083</v>
      </c>
      <c r="G55" s="2">
        <f>VLOOKUP($C55,'[10]for slip'!$F:$BC,15,0)</f>
        <v>0</v>
      </c>
      <c r="H55" s="2">
        <f>VLOOKUP($C55,'[10]for slip'!$F:$BC,16,0)</f>
        <v>0</v>
      </c>
      <c r="I55" s="2">
        <f>VLOOKUP($C55,'[10]for slip'!$F:$BC,17,0)</f>
        <v>0</v>
      </c>
      <c r="J55" s="2">
        <f>VLOOKUP($C55,'[10]for slip'!$F:$BC,27,0)</f>
        <v>0</v>
      </c>
      <c r="K55" s="2">
        <f>VLOOKUP($C55,'[10]for slip'!$F:$BC,31,0)</f>
        <v>0</v>
      </c>
      <c r="L55" s="2">
        <f>VLOOKUP($C55,'[10]for slip'!$F:$BC,35,0)</f>
        <v>0</v>
      </c>
      <c r="M55" s="2">
        <f>VLOOKUP($C55,'[10]for slip'!$F:$BC,36,0)</f>
        <v>0</v>
      </c>
      <c r="N55" s="2">
        <f>VLOOKUP($C55,'[10]for slip'!$F:$BC,37,0)</f>
        <v>0</v>
      </c>
      <c r="O55" s="2">
        <f>VLOOKUP($C55,'[10]for slip'!$F:$BC,38,0)</f>
        <v>0</v>
      </c>
      <c r="P55" s="2">
        <f>VLOOKUP($C55,'[10]for slip'!$F:$BC,39,0)</f>
        <v>38000</v>
      </c>
      <c r="Q55" s="2">
        <f>VLOOKUP($C55,'[10]for slip'!$F:$BC,40,0)</f>
        <v>31700</v>
      </c>
      <c r="R55" s="2">
        <f>VLOOKUP($C55,'[10]for slip'!$F:$BC,41,0)</f>
        <v>0</v>
      </c>
      <c r="S55" s="2">
        <f>VLOOKUP($C55,'[10]for slip'!$F:$BC,42,0)</f>
        <v>10000</v>
      </c>
      <c r="T55" s="2">
        <f>VLOOKUP($C55,'[10]for slip'!$F:$BC,43,0)</f>
        <v>53430.83</v>
      </c>
      <c r="U55" s="2">
        <f>VLOOKUP($C55,'[10]for slip'!$F:$BC,44,0)</f>
        <v>106861.66</v>
      </c>
      <c r="V55" s="2">
        <f>VLOOKUP($C55,'[10]for slip'!$F:$BC,45,0)</f>
        <v>53430.83</v>
      </c>
      <c r="W55" s="2">
        <f>VLOOKUP($C55,'[10]for slip'!$F:$BC,48,0)</f>
        <v>0</v>
      </c>
    </row>
    <row r="56" spans="1:23" x14ac:dyDescent="0.25">
      <c r="A56" s="1">
        <v>55</v>
      </c>
      <c r="B56" s="2" t="s">
        <v>131</v>
      </c>
      <c r="C56" s="2" t="s">
        <v>132</v>
      </c>
      <c r="D56" s="2" t="str">
        <f>VLOOKUP($C56,'[10]for slip'!$F:$BC,3,0)</f>
        <v>Pelaksana</v>
      </c>
      <c r="E56" s="2" t="str">
        <f>VLOOKUP($C56,'[10]for slip'!$F:$BC,4,0)</f>
        <v>Prod. Stamping</v>
      </c>
      <c r="F56" s="2">
        <f>VLOOKUP($C56,'[10]for slip'!$F:$BC,14,0)</f>
        <v>5343083</v>
      </c>
      <c r="G56" s="2">
        <f>VLOOKUP($C56,'[10]for slip'!$F:$BC,15,0)</f>
        <v>0</v>
      </c>
      <c r="H56" s="2">
        <f>VLOOKUP($C56,'[10]for slip'!$F:$BC,16,0)</f>
        <v>0</v>
      </c>
      <c r="I56" s="2">
        <f>VLOOKUP($C56,'[10]for slip'!$F:$BC,17,0)</f>
        <v>0</v>
      </c>
      <c r="J56" s="2">
        <f>VLOOKUP($C56,'[10]for slip'!$F:$BC,27,0)</f>
        <v>0</v>
      </c>
      <c r="K56" s="2">
        <f>VLOOKUP($C56,'[10]for slip'!$F:$BC,31,0)</f>
        <v>0</v>
      </c>
      <c r="L56" s="2">
        <f>VLOOKUP($C56,'[10]for slip'!$F:$BC,35,0)</f>
        <v>0</v>
      </c>
      <c r="M56" s="2">
        <f>VLOOKUP($C56,'[10]for slip'!$F:$BC,36,0)</f>
        <v>0</v>
      </c>
      <c r="N56" s="2">
        <f>VLOOKUP($C56,'[10]for slip'!$F:$BC,37,0)</f>
        <v>0</v>
      </c>
      <c r="O56" s="2">
        <f>VLOOKUP($C56,'[10]for slip'!$F:$BC,38,0)</f>
        <v>0</v>
      </c>
      <c r="P56" s="2">
        <f>VLOOKUP($C56,'[10]for slip'!$F:$BC,39,0)</f>
        <v>38000</v>
      </c>
      <c r="Q56" s="2">
        <f>VLOOKUP($C56,'[10]for slip'!$F:$BC,40,0)</f>
        <v>31700</v>
      </c>
      <c r="R56" s="2">
        <f>VLOOKUP($C56,'[10]for slip'!$F:$BC,41,0)</f>
        <v>0</v>
      </c>
      <c r="S56" s="2">
        <f>VLOOKUP($C56,'[10]for slip'!$F:$BC,42,0)</f>
        <v>10000</v>
      </c>
      <c r="T56" s="2">
        <f>VLOOKUP($C56,'[10]for slip'!$F:$BC,43,0)</f>
        <v>53430.83</v>
      </c>
      <c r="U56" s="2">
        <f>VLOOKUP($C56,'[10]for slip'!$F:$BC,44,0)</f>
        <v>106861.66</v>
      </c>
      <c r="V56" s="2">
        <f>VLOOKUP($C56,'[10]for slip'!$F:$BC,45,0)</f>
        <v>53430.83</v>
      </c>
      <c r="W56" s="2">
        <f>VLOOKUP($C56,'[10]for slip'!$F:$BC,48,0)</f>
        <v>0</v>
      </c>
    </row>
    <row r="57" spans="1:23" x14ac:dyDescent="0.25">
      <c r="A57" s="1">
        <v>56</v>
      </c>
      <c r="B57" s="2" t="s">
        <v>133</v>
      </c>
      <c r="C57" s="2" t="s">
        <v>134</v>
      </c>
      <c r="D57" s="2" t="str">
        <f>VLOOKUP($C57,'[10]for slip'!$F:$BC,3,0)</f>
        <v>Pelaksana</v>
      </c>
      <c r="E57" s="2" t="str">
        <f>VLOOKUP($C57,'[10]for slip'!$F:$BC,4,0)</f>
        <v>Prod. Stamping</v>
      </c>
      <c r="F57" s="2">
        <f>VLOOKUP($C57,'[10]for slip'!$F:$BC,14,0)</f>
        <v>5343083</v>
      </c>
      <c r="G57" s="2">
        <f>VLOOKUP($C57,'[10]for slip'!$F:$BC,15,0)</f>
        <v>0</v>
      </c>
      <c r="H57" s="2">
        <f>VLOOKUP($C57,'[10]for slip'!$F:$BC,16,0)</f>
        <v>0</v>
      </c>
      <c r="I57" s="2">
        <f>VLOOKUP($C57,'[10]for slip'!$F:$BC,17,0)</f>
        <v>0</v>
      </c>
      <c r="J57" s="2">
        <f>VLOOKUP($C57,'[10]for slip'!$F:$BC,27,0)</f>
        <v>0</v>
      </c>
      <c r="K57" s="2">
        <f>VLOOKUP($C57,'[10]for slip'!$F:$BC,31,0)</f>
        <v>0</v>
      </c>
      <c r="L57" s="2">
        <f>VLOOKUP($C57,'[10]for slip'!$F:$BC,35,0)</f>
        <v>0</v>
      </c>
      <c r="M57" s="2">
        <f>VLOOKUP($C57,'[10]for slip'!$F:$BC,36,0)</f>
        <v>0</v>
      </c>
      <c r="N57" s="2">
        <f>VLOOKUP($C57,'[10]for slip'!$F:$BC,37,0)</f>
        <v>0</v>
      </c>
      <c r="O57" s="2">
        <f>VLOOKUP($C57,'[10]for slip'!$F:$BC,38,0)</f>
        <v>0</v>
      </c>
      <c r="P57" s="2">
        <f>VLOOKUP($C57,'[10]for slip'!$F:$BC,39,0)</f>
        <v>38000</v>
      </c>
      <c r="Q57" s="2">
        <f>VLOOKUP($C57,'[10]for slip'!$F:$BC,40,0)</f>
        <v>31700</v>
      </c>
      <c r="R57" s="2">
        <f>VLOOKUP($C57,'[10]for slip'!$F:$BC,41,0)</f>
        <v>0</v>
      </c>
      <c r="S57" s="2">
        <f>VLOOKUP($C57,'[10]for slip'!$F:$BC,42,0)</f>
        <v>10000</v>
      </c>
      <c r="T57" s="2">
        <f>VLOOKUP($C57,'[10]for slip'!$F:$BC,43,0)</f>
        <v>53430.83</v>
      </c>
      <c r="U57" s="2">
        <f>VLOOKUP($C57,'[10]for slip'!$F:$BC,44,0)</f>
        <v>106861.66</v>
      </c>
      <c r="V57" s="2">
        <f>VLOOKUP($C57,'[10]for slip'!$F:$BC,45,0)</f>
        <v>53430.83</v>
      </c>
      <c r="W57" s="2">
        <f>VLOOKUP($C57,'[10]for slip'!$F:$BC,48,0)</f>
        <v>0</v>
      </c>
    </row>
    <row r="58" spans="1:23" x14ac:dyDescent="0.25">
      <c r="A58" s="1">
        <v>57</v>
      </c>
      <c r="B58" s="2" t="s">
        <v>135</v>
      </c>
      <c r="C58" s="2" t="s">
        <v>136</v>
      </c>
      <c r="D58" s="2" t="str">
        <f>VLOOKUP($C58,'[10]for slip'!$F:$BC,3,0)</f>
        <v>Pelaksana</v>
      </c>
      <c r="E58" s="2" t="str">
        <f>VLOOKUP($C58,'[10]for slip'!$F:$BC,4,0)</f>
        <v>Prod. Stamping</v>
      </c>
      <c r="F58" s="2">
        <f>VLOOKUP($C58,'[10]for slip'!$F:$BC,14,0)</f>
        <v>5343083</v>
      </c>
      <c r="G58" s="2">
        <f>VLOOKUP($C58,'[10]for slip'!$F:$BC,15,0)</f>
        <v>0</v>
      </c>
      <c r="H58" s="2">
        <f>VLOOKUP($C58,'[10]for slip'!$F:$BC,16,0)</f>
        <v>0</v>
      </c>
      <c r="I58" s="2">
        <f>VLOOKUP($C58,'[10]for slip'!$F:$BC,17,0)</f>
        <v>0</v>
      </c>
      <c r="J58" s="2">
        <f>VLOOKUP($C58,'[10]for slip'!$F:$BC,27,0)</f>
        <v>0</v>
      </c>
      <c r="K58" s="2">
        <f>VLOOKUP($C58,'[10]for slip'!$F:$BC,31,0)</f>
        <v>0</v>
      </c>
      <c r="L58" s="2">
        <f>VLOOKUP($C58,'[10]for slip'!$F:$BC,35,0)</f>
        <v>34354.584590750004</v>
      </c>
      <c r="M58" s="2">
        <f>VLOOKUP($C58,'[10]for slip'!$F:$BC,36,0)</f>
        <v>0</v>
      </c>
      <c r="N58" s="2">
        <f>VLOOKUP($C58,'[10]for slip'!$F:$BC,37,0)</f>
        <v>0</v>
      </c>
      <c r="O58" s="2">
        <f>VLOOKUP($C58,'[10]for slip'!$F:$BC,38,0)</f>
        <v>0</v>
      </c>
      <c r="P58" s="2">
        <f>VLOOKUP($C58,'[10]for slip'!$F:$BC,39,0)</f>
        <v>38000</v>
      </c>
      <c r="Q58" s="2">
        <f>VLOOKUP($C58,'[10]for slip'!$F:$BC,40,0)</f>
        <v>31700</v>
      </c>
      <c r="R58" s="2">
        <f>VLOOKUP($C58,'[10]for slip'!$F:$BC,41,0)</f>
        <v>0</v>
      </c>
      <c r="S58" s="2">
        <f>VLOOKUP($C58,'[10]for slip'!$F:$BC,42,0)</f>
        <v>0</v>
      </c>
      <c r="T58" s="2">
        <f>VLOOKUP($C58,'[10]for slip'!$F:$BC,43,0)</f>
        <v>53430.83</v>
      </c>
      <c r="U58" s="2">
        <f>VLOOKUP($C58,'[10]for slip'!$F:$BC,44,0)</f>
        <v>106861.66</v>
      </c>
      <c r="V58" s="2">
        <f>VLOOKUP($C58,'[10]for slip'!$F:$BC,45,0)</f>
        <v>53430.83</v>
      </c>
      <c r="W58" s="2">
        <f>VLOOKUP($C58,'[10]for slip'!$F:$BC,48,0)</f>
        <v>34354.584590750004</v>
      </c>
    </row>
    <row r="59" spans="1:23" x14ac:dyDescent="0.25">
      <c r="A59" s="1">
        <v>58</v>
      </c>
      <c r="B59" s="2" t="s">
        <v>137</v>
      </c>
      <c r="C59" s="2" t="s">
        <v>138</v>
      </c>
      <c r="D59" s="2" t="str">
        <f>VLOOKUP($C59,'[10]for slip'!$F:$BC,3,0)</f>
        <v>Pelaksana</v>
      </c>
      <c r="E59" s="2" t="str">
        <f>VLOOKUP($C59,'[10]for slip'!$F:$BC,4,0)</f>
        <v>Prod. Stamping</v>
      </c>
      <c r="F59" s="2">
        <f>VLOOKUP($C59,'[10]for slip'!$F:$BC,14,0)</f>
        <v>5343083</v>
      </c>
      <c r="G59" s="2">
        <f>VLOOKUP($C59,'[10]for slip'!$F:$BC,15,0)</f>
        <v>0</v>
      </c>
      <c r="H59" s="2">
        <f>VLOOKUP($C59,'[10]for slip'!$F:$BC,16,0)</f>
        <v>0</v>
      </c>
      <c r="I59" s="2">
        <f>VLOOKUP($C59,'[10]for slip'!$F:$BC,17,0)</f>
        <v>0</v>
      </c>
      <c r="J59" s="2">
        <f>VLOOKUP($C59,'[10]for slip'!$F:$BC,27,0)</f>
        <v>0</v>
      </c>
      <c r="K59" s="2">
        <f>VLOOKUP($C59,'[10]for slip'!$F:$BC,31,0)</f>
        <v>0</v>
      </c>
      <c r="L59" s="2">
        <f>VLOOKUP($C59,'[10]for slip'!$F:$BC,35,0)</f>
        <v>34354.584590750004</v>
      </c>
      <c r="M59" s="2">
        <f>VLOOKUP($C59,'[10]for slip'!$F:$BC,36,0)</f>
        <v>0</v>
      </c>
      <c r="N59" s="2">
        <f>VLOOKUP($C59,'[10]for slip'!$F:$BC,37,0)</f>
        <v>0</v>
      </c>
      <c r="O59" s="2">
        <f>VLOOKUP($C59,'[10]for slip'!$F:$BC,38,0)</f>
        <v>0</v>
      </c>
      <c r="P59" s="2">
        <f>VLOOKUP($C59,'[10]for slip'!$F:$BC,39,0)</f>
        <v>38000</v>
      </c>
      <c r="Q59" s="2">
        <f>VLOOKUP($C59,'[10]for slip'!$F:$BC,40,0)</f>
        <v>31700</v>
      </c>
      <c r="R59" s="2">
        <f>VLOOKUP($C59,'[10]for slip'!$F:$BC,41,0)</f>
        <v>0</v>
      </c>
      <c r="S59" s="2">
        <f>VLOOKUP($C59,'[10]for slip'!$F:$BC,42,0)</f>
        <v>0</v>
      </c>
      <c r="T59" s="2">
        <f>VLOOKUP($C59,'[10]for slip'!$F:$BC,43,0)</f>
        <v>53430.83</v>
      </c>
      <c r="U59" s="2">
        <f>VLOOKUP($C59,'[10]for slip'!$F:$BC,44,0)</f>
        <v>106861.66</v>
      </c>
      <c r="V59" s="2">
        <f>VLOOKUP($C59,'[10]for slip'!$F:$BC,45,0)</f>
        <v>53430.83</v>
      </c>
      <c r="W59" s="2">
        <f>VLOOKUP($C59,'[10]for slip'!$F:$BC,48,0)</f>
        <v>34354.584590750004</v>
      </c>
    </row>
    <row r="60" spans="1:23" x14ac:dyDescent="0.25">
      <c r="A60" s="1">
        <v>59</v>
      </c>
      <c r="B60" s="2" t="s">
        <v>139</v>
      </c>
      <c r="C60" s="2" t="s">
        <v>140</v>
      </c>
      <c r="D60" s="2" t="str">
        <f>VLOOKUP($C60,'[10]for slip'!$F:$BC,3,0)</f>
        <v>Pelaksana</v>
      </c>
      <c r="E60" s="2" t="str">
        <f>VLOOKUP($C60,'[10]for slip'!$F:$BC,4,0)</f>
        <v>Prod. Stamping</v>
      </c>
      <c r="F60" s="2">
        <f>VLOOKUP($C60,'[10]for slip'!$F:$BC,14,0)</f>
        <v>5343083</v>
      </c>
      <c r="G60" s="2">
        <f>VLOOKUP($C60,'[10]for slip'!$F:$BC,15,0)</f>
        <v>0</v>
      </c>
      <c r="H60" s="2">
        <f>VLOOKUP($C60,'[10]for slip'!$F:$BC,16,0)</f>
        <v>0</v>
      </c>
      <c r="I60" s="2">
        <f>VLOOKUP($C60,'[10]for slip'!$F:$BC,17,0)</f>
        <v>0</v>
      </c>
      <c r="J60" s="2">
        <f>VLOOKUP($C60,'[10]for slip'!$F:$BC,27,0)</f>
        <v>0</v>
      </c>
      <c r="K60" s="2">
        <f>VLOOKUP($C60,'[10]for slip'!$F:$BC,31,0)</f>
        <v>0</v>
      </c>
      <c r="L60" s="2">
        <f>VLOOKUP($C60,'[10]for slip'!$F:$BC,35,0)</f>
        <v>0</v>
      </c>
      <c r="M60" s="2">
        <f>VLOOKUP($C60,'[10]for slip'!$F:$BC,36,0)</f>
        <v>0</v>
      </c>
      <c r="N60" s="2">
        <f>VLOOKUP($C60,'[10]for slip'!$F:$BC,37,0)</f>
        <v>0</v>
      </c>
      <c r="O60" s="2">
        <f>VLOOKUP($C60,'[10]for slip'!$F:$BC,38,0)</f>
        <v>0</v>
      </c>
      <c r="P60" s="2">
        <f>VLOOKUP($C60,'[10]for slip'!$F:$BC,39,0)</f>
        <v>38000</v>
      </c>
      <c r="Q60" s="2">
        <f>VLOOKUP($C60,'[10]for slip'!$F:$BC,40,0)</f>
        <v>31700</v>
      </c>
      <c r="R60" s="2">
        <f>VLOOKUP($C60,'[10]for slip'!$F:$BC,41,0)</f>
        <v>0</v>
      </c>
      <c r="S60" s="2">
        <f>VLOOKUP($C60,'[10]for slip'!$F:$BC,42,0)</f>
        <v>0</v>
      </c>
      <c r="T60" s="2">
        <f>VLOOKUP($C60,'[10]for slip'!$F:$BC,43,0)</f>
        <v>53430.83</v>
      </c>
      <c r="U60" s="2">
        <f>VLOOKUP($C60,'[10]for slip'!$F:$BC,44,0)</f>
        <v>106861.66</v>
      </c>
      <c r="V60" s="2">
        <f>VLOOKUP($C60,'[10]for slip'!$F:$BC,45,0)</f>
        <v>53430.83</v>
      </c>
      <c r="W60" s="2">
        <f>VLOOKUP($C60,'[10]for slip'!$F:$BC,48,0)</f>
        <v>0</v>
      </c>
    </row>
    <row r="61" spans="1:23" x14ac:dyDescent="0.25">
      <c r="A61" s="1">
        <v>60</v>
      </c>
      <c r="B61" s="2" t="s">
        <v>141</v>
      </c>
      <c r="C61" s="2" t="s">
        <v>142</v>
      </c>
      <c r="D61" s="2" t="str">
        <f>VLOOKUP($C61,'[10]for slip'!$F:$BC,3,0)</f>
        <v>Pelaksana</v>
      </c>
      <c r="E61" s="2" t="str">
        <f>VLOOKUP($C61,'[10]for slip'!$F:$BC,4,0)</f>
        <v>Prod. Stamping</v>
      </c>
      <c r="F61" s="2">
        <f>VLOOKUP($C61,'[10]for slip'!$F:$BC,14,0)</f>
        <v>5343083</v>
      </c>
      <c r="G61" s="2">
        <f>VLOOKUP($C61,'[10]for slip'!$F:$BC,15,0)</f>
        <v>0</v>
      </c>
      <c r="H61" s="2">
        <f>VLOOKUP($C61,'[10]for slip'!$F:$BC,16,0)</f>
        <v>0</v>
      </c>
      <c r="I61" s="2">
        <f>VLOOKUP($C61,'[10]for slip'!$F:$BC,17,0)</f>
        <v>0</v>
      </c>
      <c r="J61" s="2">
        <f>VLOOKUP($C61,'[10]for slip'!$F:$BC,27,0)</f>
        <v>0</v>
      </c>
      <c r="K61" s="2">
        <f>VLOOKUP($C61,'[10]for slip'!$F:$BC,31,0)</f>
        <v>0</v>
      </c>
      <c r="L61" s="2">
        <f>VLOOKUP($C61,'[10]for slip'!$F:$BC,35,0)</f>
        <v>15604.584590750002</v>
      </c>
      <c r="M61" s="2">
        <f>VLOOKUP($C61,'[10]for slip'!$F:$BC,36,0)</f>
        <v>0</v>
      </c>
      <c r="N61" s="2">
        <f>VLOOKUP($C61,'[10]for slip'!$F:$BC,37,0)</f>
        <v>0</v>
      </c>
      <c r="O61" s="2">
        <f>VLOOKUP($C61,'[10]for slip'!$F:$BC,38,0)</f>
        <v>0</v>
      </c>
      <c r="P61" s="2">
        <f>VLOOKUP($C61,'[10]for slip'!$F:$BC,39,0)</f>
        <v>0</v>
      </c>
      <c r="Q61" s="2">
        <f>VLOOKUP($C61,'[10]for slip'!$F:$BC,40,0)</f>
        <v>31700</v>
      </c>
      <c r="R61" s="2">
        <f>VLOOKUP($C61,'[10]for slip'!$F:$BC,41,0)</f>
        <v>0</v>
      </c>
      <c r="S61" s="2">
        <f>VLOOKUP($C61,'[10]for slip'!$F:$BC,42,0)</f>
        <v>0</v>
      </c>
      <c r="T61" s="2">
        <f>VLOOKUP($C61,'[10]for slip'!$F:$BC,43,0)</f>
        <v>53430.83</v>
      </c>
      <c r="U61" s="2">
        <f>VLOOKUP($C61,'[10]for slip'!$F:$BC,44,0)</f>
        <v>106861.66</v>
      </c>
      <c r="V61" s="2">
        <f>VLOOKUP($C61,'[10]for slip'!$F:$BC,45,0)</f>
        <v>53430.83</v>
      </c>
      <c r="W61" s="2">
        <f>VLOOKUP($C61,'[10]for slip'!$F:$BC,48,0)</f>
        <v>15604.584590750002</v>
      </c>
    </row>
    <row r="62" spans="1:23" x14ac:dyDescent="0.25">
      <c r="A62" s="1">
        <v>61</v>
      </c>
      <c r="B62" s="2" t="s">
        <v>143</v>
      </c>
      <c r="C62" s="2" t="s">
        <v>144</v>
      </c>
      <c r="D62" s="2" t="str">
        <f>VLOOKUP($C62,'[10]for slip'!$F:$BC,3,0)</f>
        <v>Pelaksana</v>
      </c>
      <c r="E62" s="2" t="str">
        <f>VLOOKUP($C62,'[10]for slip'!$F:$BC,4,0)</f>
        <v>Prod. Stamping</v>
      </c>
      <c r="F62" s="2">
        <f>VLOOKUP($C62,'[10]for slip'!$F:$BC,14,0)</f>
        <v>5343083</v>
      </c>
      <c r="G62" s="2">
        <f>VLOOKUP($C62,'[10]for slip'!$F:$BC,15,0)</f>
        <v>0</v>
      </c>
      <c r="H62" s="2">
        <f>VLOOKUP($C62,'[10]for slip'!$F:$BC,16,0)</f>
        <v>0</v>
      </c>
      <c r="I62" s="2">
        <f>VLOOKUP($C62,'[10]for slip'!$F:$BC,17,0)</f>
        <v>0</v>
      </c>
      <c r="J62" s="2">
        <f>VLOOKUP($C62,'[10]for slip'!$F:$BC,27,0)</f>
        <v>0</v>
      </c>
      <c r="K62" s="2">
        <f>VLOOKUP($C62,'[10]for slip'!$F:$BC,31,0)</f>
        <v>0</v>
      </c>
      <c r="L62" s="2">
        <f>VLOOKUP($C62,'[10]for slip'!$F:$BC,35,0)</f>
        <v>0</v>
      </c>
      <c r="M62" s="2">
        <f>VLOOKUP($C62,'[10]for slip'!$F:$BC,36,0)</f>
        <v>0</v>
      </c>
      <c r="N62" s="2">
        <f>VLOOKUP($C62,'[10]for slip'!$F:$BC,37,0)</f>
        <v>0</v>
      </c>
      <c r="O62" s="2">
        <f>VLOOKUP($C62,'[10]for slip'!$F:$BC,38,0)</f>
        <v>0</v>
      </c>
      <c r="P62" s="2">
        <f>VLOOKUP($C62,'[10]for slip'!$F:$BC,39,0)</f>
        <v>38000</v>
      </c>
      <c r="Q62" s="2">
        <f>VLOOKUP($C62,'[10]for slip'!$F:$BC,40,0)</f>
        <v>31700</v>
      </c>
      <c r="R62" s="2">
        <f>VLOOKUP($C62,'[10]for slip'!$F:$BC,41,0)</f>
        <v>0</v>
      </c>
      <c r="S62" s="2">
        <f>VLOOKUP($C62,'[10]for slip'!$F:$BC,42,0)</f>
        <v>0</v>
      </c>
      <c r="T62" s="2">
        <f>VLOOKUP($C62,'[10]for slip'!$F:$BC,43,0)</f>
        <v>53430.83</v>
      </c>
      <c r="U62" s="2">
        <f>VLOOKUP($C62,'[10]for slip'!$F:$BC,44,0)</f>
        <v>106861.66</v>
      </c>
      <c r="V62" s="2">
        <f>VLOOKUP($C62,'[10]for slip'!$F:$BC,45,0)</f>
        <v>53430.83</v>
      </c>
      <c r="W62" s="2">
        <f>VLOOKUP($C62,'[10]for slip'!$F:$BC,48,0)</f>
        <v>0</v>
      </c>
    </row>
    <row r="63" spans="1:23" x14ac:dyDescent="0.25">
      <c r="A63" s="1">
        <v>62</v>
      </c>
      <c r="B63" s="2" t="s">
        <v>145</v>
      </c>
      <c r="C63" s="2" t="s">
        <v>146</v>
      </c>
      <c r="D63" s="2" t="str">
        <f>VLOOKUP($C63,'[10]for slip'!$F:$BC,3,0)</f>
        <v>Pelaksana</v>
      </c>
      <c r="E63" s="2" t="str">
        <f>VLOOKUP($C63,'[10]for slip'!$F:$BC,4,0)</f>
        <v>Prod. Stamping</v>
      </c>
      <c r="F63" s="2">
        <f>VLOOKUP($C63,'[10]for slip'!$F:$BC,14,0)</f>
        <v>5343083</v>
      </c>
      <c r="G63" s="2">
        <f>VLOOKUP($C63,'[10]for slip'!$F:$BC,15,0)</f>
        <v>0</v>
      </c>
      <c r="H63" s="2">
        <f>VLOOKUP($C63,'[10]for slip'!$F:$BC,16,0)</f>
        <v>0</v>
      </c>
      <c r="I63" s="2">
        <f>VLOOKUP($C63,'[10]for slip'!$F:$BC,17,0)</f>
        <v>0</v>
      </c>
      <c r="J63" s="2">
        <f>VLOOKUP($C63,'[10]for slip'!$F:$BC,27,0)</f>
        <v>0</v>
      </c>
      <c r="K63" s="2">
        <f>VLOOKUP($C63,'[10]for slip'!$F:$BC,31,0)</f>
        <v>0</v>
      </c>
      <c r="L63" s="2">
        <f>VLOOKUP($C63,'[10]for slip'!$F:$BC,35,0)</f>
        <v>0</v>
      </c>
      <c r="M63" s="2">
        <f>VLOOKUP($C63,'[10]for slip'!$F:$BC,36,0)</f>
        <v>0</v>
      </c>
      <c r="N63" s="2">
        <f>VLOOKUP($C63,'[10]for slip'!$F:$BC,37,0)</f>
        <v>0</v>
      </c>
      <c r="O63" s="2">
        <f>VLOOKUP($C63,'[10]for slip'!$F:$BC,38,0)</f>
        <v>0</v>
      </c>
      <c r="P63" s="2">
        <f>VLOOKUP($C63,'[10]for slip'!$F:$BC,39,0)</f>
        <v>38000</v>
      </c>
      <c r="Q63" s="2">
        <f>VLOOKUP($C63,'[10]for slip'!$F:$BC,40,0)</f>
        <v>31700</v>
      </c>
      <c r="R63" s="2">
        <f>VLOOKUP($C63,'[10]for slip'!$F:$BC,41,0)</f>
        <v>0</v>
      </c>
      <c r="S63" s="2">
        <f>VLOOKUP($C63,'[10]for slip'!$F:$BC,42,0)</f>
        <v>10000</v>
      </c>
      <c r="T63" s="2">
        <f>VLOOKUP($C63,'[10]for slip'!$F:$BC,43,0)</f>
        <v>53430.83</v>
      </c>
      <c r="U63" s="2">
        <f>VLOOKUP($C63,'[10]for slip'!$F:$BC,44,0)</f>
        <v>106861.66</v>
      </c>
      <c r="V63" s="2">
        <f>VLOOKUP($C63,'[10]for slip'!$F:$BC,45,0)</f>
        <v>53430.83</v>
      </c>
      <c r="W63" s="2">
        <f>VLOOKUP($C63,'[10]for slip'!$F:$BC,48,0)</f>
        <v>0</v>
      </c>
    </row>
    <row r="64" spans="1:23" x14ac:dyDescent="0.25">
      <c r="A64" s="1">
        <v>63</v>
      </c>
      <c r="B64" s="2" t="s">
        <v>147</v>
      </c>
      <c r="C64" s="2" t="s">
        <v>148</v>
      </c>
      <c r="D64" s="2" t="str">
        <f>VLOOKUP($C64,'[10]for slip'!$F:$BC,3,0)</f>
        <v>Pelaksana</v>
      </c>
      <c r="E64" s="2" t="str">
        <f>VLOOKUP($C64,'[10]for slip'!$F:$BC,4,0)</f>
        <v>Prod. Stamping</v>
      </c>
      <c r="F64" s="2">
        <f>VLOOKUP($C64,'[10]for slip'!$F:$BC,14,0)</f>
        <v>5343083</v>
      </c>
      <c r="G64" s="2">
        <f>VLOOKUP($C64,'[10]for slip'!$F:$BC,15,0)</f>
        <v>0</v>
      </c>
      <c r="H64" s="2">
        <f>VLOOKUP($C64,'[10]for slip'!$F:$BC,16,0)</f>
        <v>0</v>
      </c>
      <c r="I64" s="2">
        <f>VLOOKUP($C64,'[10]for slip'!$F:$BC,17,0)</f>
        <v>0</v>
      </c>
      <c r="J64" s="2">
        <f>VLOOKUP($C64,'[10]for slip'!$F:$BC,27,0)</f>
        <v>0</v>
      </c>
      <c r="K64" s="2">
        <f>VLOOKUP($C64,'[10]for slip'!$F:$BC,31,0)</f>
        <v>0</v>
      </c>
      <c r="L64" s="2">
        <f>VLOOKUP($C64,'[10]for slip'!$F:$BC,35,0)</f>
        <v>34354.584590750004</v>
      </c>
      <c r="M64" s="2">
        <f>VLOOKUP($C64,'[10]for slip'!$F:$BC,36,0)</f>
        <v>0</v>
      </c>
      <c r="N64" s="2">
        <f>VLOOKUP($C64,'[10]for slip'!$F:$BC,37,0)</f>
        <v>0</v>
      </c>
      <c r="O64" s="2">
        <f>VLOOKUP($C64,'[10]for slip'!$F:$BC,38,0)</f>
        <v>0</v>
      </c>
      <c r="P64" s="2">
        <f>VLOOKUP($C64,'[10]for slip'!$F:$BC,39,0)</f>
        <v>38000</v>
      </c>
      <c r="Q64" s="2">
        <f>VLOOKUP($C64,'[10]for slip'!$F:$BC,40,0)</f>
        <v>31700</v>
      </c>
      <c r="R64" s="2">
        <f>VLOOKUP($C64,'[10]for slip'!$F:$BC,41,0)</f>
        <v>0</v>
      </c>
      <c r="S64" s="2">
        <f>VLOOKUP($C64,'[10]for slip'!$F:$BC,42,0)</f>
        <v>0</v>
      </c>
      <c r="T64" s="2">
        <f>VLOOKUP($C64,'[10]for slip'!$F:$BC,43,0)</f>
        <v>53430.83</v>
      </c>
      <c r="U64" s="2">
        <f>VLOOKUP($C64,'[10]for slip'!$F:$BC,44,0)</f>
        <v>106861.66</v>
      </c>
      <c r="V64" s="2">
        <f>VLOOKUP($C64,'[10]for slip'!$F:$BC,45,0)</f>
        <v>53430.83</v>
      </c>
      <c r="W64" s="2">
        <f>VLOOKUP($C64,'[10]for slip'!$F:$BC,48,0)</f>
        <v>34354.584590750004</v>
      </c>
    </row>
    <row r="65" spans="1:23" x14ac:dyDescent="0.25">
      <c r="A65" s="1">
        <v>64</v>
      </c>
      <c r="B65" s="2" t="s">
        <v>149</v>
      </c>
      <c r="C65" s="2" t="s">
        <v>150</v>
      </c>
      <c r="D65" s="2" t="str">
        <f>VLOOKUP($C65,'[10]for slip'!$F:$BC,3,0)</f>
        <v>Pelaksana</v>
      </c>
      <c r="E65" s="2" t="str">
        <f>VLOOKUP($C65,'[10]for slip'!$F:$BC,4,0)</f>
        <v>Prod. Stamping</v>
      </c>
      <c r="F65" s="2">
        <f>VLOOKUP($C65,'[10]for slip'!$F:$BC,14,0)</f>
        <v>5343083</v>
      </c>
      <c r="G65" s="2">
        <f>VLOOKUP($C65,'[10]for slip'!$F:$BC,15,0)</f>
        <v>0</v>
      </c>
      <c r="H65" s="2">
        <f>VLOOKUP($C65,'[10]for slip'!$F:$BC,16,0)</f>
        <v>0</v>
      </c>
      <c r="I65" s="2">
        <f>VLOOKUP($C65,'[10]for slip'!$F:$BC,17,0)</f>
        <v>0</v>
      </c>
      <c r="J65" s="2">
        <f>VLOOKUP($C65,'[10]for slip'!$F:$BC,27,0)</f>
        <v>0</v>
      </c>
      <c r="K65" s="2">
        <f>VLOOKUP($C65,'[10]for slip'!$F:$BC,31,0)</f>
        <v>0</v>
      </c>
      <c r="L65" s="2">
        <f>VLOOKUP($C65,'[10]for slip'!$F:$BC,35,0)</f>
        <v>34354.584590750004</v>
      </c>
      <c r="M65" s="2">
        <f>VLOOKUP($C65,'[10]for slip'!$F:$BC,36,0)</f>
        <v>0</v>
      </c>
      <c r="N65" s="2">
        <f>VLOOKUP($C65,'[10]for slip'!$F:$BC,37,0)</f>
        <v>0</v>
      </c>
      <c r="O65" s="2">
        <f>VLOOKUP($C65,'[10]for slip'!$F:$BC,38,0)</f>
        <v>0</v>
      </c>
      <c r="P65" s="2">
        <f>VLOOKUP($C65,'[10]for slip'!$F:$BC,39,0)</f>
        <v>38000</v>
      </c>
      <c r="Q65" s="2">
        <f>VLOOKUP($C65,'[10]for slip'!$F:$BC,40,0)</f>
        <v>31700</v>
      </c>
      <c r="R65" s="2">
        <f>VLOOKUP($C65,'[10]for slip'!$F:$BC,41,0)</f>
        <v>0</v>
      </c>
      <c r="S65" s="2">
        <f>VLOOKUP($C65,'[10]for slip'!$F:$BC,42,0)</f>
        <v>10000</v>
      </c>
      <c r="T65" s="2">
        <f>VLOOKUP($C65,'[10]for slip'!$F:$BC,43,0)</f>
        <v>53430.83</v>
      </c>
      <c r="U65" s="2">
        <f>VLOOKUP($C65,'[10]for slip'!$F:$BC,44,0)</f>
        <v>106861.66</v>
      </c>
      <c r="V65" s="2">
        <f>VLOOKUP($C65,'[10]for slip'!$F:$BC,45,0)</f>
        <v>53430.83</v>
      </c>
      <c r="W65" s="2">
        <f>VLOOKUP($C65,'[10]for slip'!$F:$BC,48,0)</f>
        <v>34354.584590750004</v>
      </c>
    </row>
    <row r="66" spans="1:23" x14ac:dyDescent="0.25">
      <c r="A66" s="1">
        <v>65</v>
      </c>
      <c r="B66" s="2" t="s">
        <v>151</v>
      </c>
      <c r="C66" s="2" t="s">
        <v>152</v>
      </c>
      <c r="D66" s="2" t="str">
        <f>VLOOKUP($C66,'[10]for slip'!$F:$BC,3,0)</f>
        <v>Pelaksana</v>
      </c>
      <c r="E66" s="2" t="str">
        <f>VLOOKUP($C66,'[10]for slip'!$F:$BC,4,0)</f>
        <v>Prod. Stamping</v>
      </c>
      <c r="F66" s="2">
        <f>VLOOKUP($C66,'[10]for slip'!$F:$BC,14,0)</f>
        <v>5343083</v>
      </c>
      <c r="G66" s="2">
        <f>VLOOKUP($C66,'[10]for slip'!$F:$BC,15,0)</f>
        <v>0</v>
      </c>
      <c r="H66" s="2">
        <f>VLOOKUP($C66,'[10]for slip'!$F:$BC,16,0)</f>
        <v>0</v>
      </c>
      <c r="I66" s="2">
        <f>VLOOKUP($C66,'[10]for slip'!$F:$BC,17,0)</f>
        <v>0</v>
      </c>
      <c r="J66" s="2">
        <f>VLOOKUP($C66,'[10]for slip'!$F:$BC,27,0)</f>
        <v>0</v>
      </c>
      <c r="K66" s="2">
        <f>VLOOKUP($C66,'[10]for slip'!$F:$BC,31,0)</f>
        <v>0</v>
      </c>
      <c r="L66" s="2">
        <f>VLOOKUP($C66,'[10]for slip'!$F:$BC,35,0)</f>
        <v>34354.584590750004</v>
      </c>
      <c r="M66" s="2">
        <f>VLOOKUP($C66,'[10]for slip'!$F:$BC,36,0)</f>
        <v>0</v>
      </c>
      <c r="N66" s="2">
        <f>VLOOKUP($C66,'[10]for slip'!$F:$BC,37,0)</f>
        <v>0</v>
      </c>
      <c r="O66" s="2">
        <f>VLOOKUP($C66,'[10]for slip'!$F:$BC,38,0)</f>
        <v>0</v>
      </c>
      <c r="P66" s="2">
        <f>VLOOKUP($C66,'[10]for slip'!$F:$BC,39,0)</f>
        <v>38000</v>
      </c>
      <c r="Q66" s="2">
        <f>VLOOKUP($C66,'[10]for slip'!$F:$BC,40,0)</f>
        <v>31700</v>
      </c>
      <c r="R66" s="2">
        <f>VLOOKUP($C66,'[10]for slip'!$F:$BC,41,0)</f>
        <v>0</v>
      </c>
      <c r="S66" s="2">
        <f>VLOOKUP($C66,'[10]for slip'!$F:$BC,42,0)</f>
        <v>0</v>
      </c>
      <c r="T66" s="2">
        <f>VLOOKUP($C66,'[10]for slip'!$F:$BC,43,0)</f>
        <v>53430.83</v>
      </c>
      <c r="U66" s="2">
        <f>VLOOKUP($C66,'[10]for slip'!$F:$BC,44,0)</f>
        <v>106861.66</v>
      </c>
      <c r="V66" s="2">
        <f>VLOOKUP($C66,'[10]for slip'!$F:$BC,45,0)</f>
        <v>53430.83</v>
      </c>
      <c r="W66" s="2">
        <f>VLOOKUP($C66,'[10]for slip'!$F:$BC,48,0)</f>
        <v>34354.584590750004</v>
      </c>
    </row>
    <row r="67" spans="1:23" x14ac:dyDescent="0.25">
      <c r="A67" s="1">
        <v>66</v>
      </c>
      <c r="B67" s="2" t="s">
        <v>153</v>
      </c>
      <c r="C67" s="2" t="s">
        <v>154</v>
      </c>
      <c r="D67" s="2" t="str">
        <f>VLOOKUP($C67,'[10]for slip'!$F:$BC,3,0)</f>
        <v>Pelaksana</v>
      </c>
      <c r="E67" s="2" t="str">
        <f>VLOOKUP($C67,'[10]for slip'!$F:$BC,4,0)</f>
        <v>Prod. Stamping</v>
      </c>
      <c r="F67" s="2">
        <f>VLOOKUP($C67,'[10]for slip'!$F:$BC,14,0)</f>
        <v>5343083</v>
      </c>
      <c r="G67" s="2">
        <f>VLOOKUP($C67,'[10]for slip'!$F:$BC,15,0)</f>
        <v>0</v>
      </c>
      <c r="H67" s="2">
        <f>VLOOKUP($C67,'[10]for slip'!$F:$BC,16,0)</f>
        <v>0</v>
      </c>
      <c r="I67" s="2">
        <f>VLOOKUP($C67,'[10]for slip'!$F:$BC,17,0)</f>
        <v>0</v>
      </c>
      <c r="J67" s="2">
        <f>VLOOKUP($C67,'[10]for slip'!$F:$BC,27,0)</f>
        <v>0</v>
      </c>
      <c r="K67" s="2">
        <f>VLOOKUP($C67,'[10]for slip'!$F:$BC,31,0)</f>
        <v>0</v>
      </c>
      <c r="L67" s="2">
        <f>VLOOKUP($C67,'[10]for slip'!$F:$BC,35,0)</f>
        <v>34354.584590750004</v>
      </c>
      <c r="M67" s="2">
        <f>VLOOKUP($C67,'[10]for slip'!$F:$BC,36,0)</f>
        <v>0</v>
      </c>
      <c r="N67" s="2">
        <f>VLOOKUP($C67,'[10]for slip'!$F:$BC,37,0)</f>
        <v>0</v>
      </c>
      <c r="O67" s="2">
        <f>VLOOKUP($C67,'[10]for slip'!$F:$BC,38,0)</f>
        <v>0</v>
      </c>
      <c r="P67" s="2">
        <f>VLOOKUP($C67,'[10]for slip'!$F:$BC,39,0)</f>
        <v>38000</v>
      </c>
      <c r="Q67" s="2">
        <f>VLOOKUP($C67,'[10]for slip'!$F:$BC,40,0)</f>
        <v>31700</v>
      </c>
      <c r="R67" s="2">
        <f>VLOOKUP($C67,'[10]for slip'!$F:$BC,41,0)</f>
        <v>0</v>
      </c>
      <c r="S67" s="2">
        <f>VLOOKUP($C67,'[10]for slip'!$F:$BC,42,0)</f>
        <v>0</v>
      </c>
      <c r="T67" s="2">
        <f>VLOOKUP($C67,'[10]for slip'!$F:$BC,43,0)</f>
        <v>53430.83</v>
      </c>
      <c r="U67" s="2">
        <f>VLOOKUP($C67,'[10]for slip'!$F:$BC,44,0)</f>
        <v>106861.66</v>
      </c>
      <c r="V67" s="2">
        <f>VLOOKUP($C67,'[10]for slip'!$F:$BC,45,0)</f>
        <v>53430.83</v>
      </c>
      <c r="W67" s="2">
        <f>VLOOKUP($C67,'[10]for slip'!$F:$BC,48,0)</f>
        <v>34354.584590750004</v>
      </c>
    </row>
    <row r="68" spans="1:23" x14ac:dyDescent="0.25">
      <c r="A68" s="1">
        <v>67</v>
      </c>
      <c r="B68" s="2" t="s">
        <v>155</v>
      </c>
      <c r="C68" s="2" t="s">
        <v>156</v>
      </c>
      <c r="D68" s="2" t="str">
        <f>VLOOKUP($C68,'[10]for slip'!$F:$BC,3,0)</f>
        <v>Pelaksana</v>
      </c>
      <c r="E68" s="2" t="str">
        <f>VLOOKUP($C68,'[10]for slip'!$F:$BC,4,0)</f>
        <v>Prod. Stamping</v>
      </c>
      <c r="F68" s="2">
        <f>VLOOKUP($C68,'[10]for slip'!$F:$BC,14,0)</f>
        <v>5343083</v>
      </c>
      <c r="G68" s="2">
        <f>VLOOKUP($C68,'[10]for slip'!$F:$BC,15,0)</f>
        <v>0</v>
      </c>
      <c r="H68" s="2">
        <f>VLOOKUP($C68,'[10]for slip'!$F:$BC,16,0)</f>
        <v>0</v>
      </c>
      <c r="I68" s="2">
        <f>VLOOKUP($C68,'[10]for slip'!$F:$BC,17,0)</f>
        <v>0</v>
      </c>
      <c r="J68" s="2">
        <f>VLOOKUP($C68,'[10]for slip'!$F:$BC,27,0)</f>
        <v>0</v>
      </c>
      <c r="K68" s="2">
        <f>VLOOKUP($C68,'[10]for slip'!$F:$BC,31,0)</f>
        <v>0</v>
      </c>
      <c r="L68" s="2">
        <f>VLOOKUP($C68,'[10]for slip'!$F:$BC,35,0)</f>
        <v>15604.584590750002</v>
      </c>
      <c r="M68" s="2">
        <f>VLOOKUP($C68,'[10]for slip'!$F:$BC,36,0)</f>
        <v>0</v>
      </c>
      <c r="N68" s="2">
        <f>VLOOKUP($C68,'[10]for slip'!$F:$BC,37,0)</f>
        <v>0</v>
      </c>
      <c r="O68" s="2">
        <f>VLOOKUP($C68,'[10]for slip'!$F:$BC,38,0)</f>
        <v>0</v>
      </c>
      <c r="P68" s="2">
        <f>VLOOKUP($C68,'[10]for slip'!$F:$BC,39,0)</f>
        <v>0</v>
      </c>
      <c r="Q68" s="2">
        <f>VLOOKUP($C68,'[10]for slip'!$F:$BC,40,0)</f>
        <v>31700</v>
      </c>
      <c r="R68" s="2">
        <f>VLOOKUP($C68,'[10]for slip'!$F:$BC,41,0)</f>
        <v>0</v>
      </c>
      <c r="S68" s="2">
        <f>VLOOKUP($C68,'[10]for slip'!$F:$BC,42,0)</f>
        <v>0</v>
      </c>
      <c r="T68" s="2">
        <f>VLOOKUP($C68,'[10]for slip'!$F:$BC,43,0)</f>
        <v>53430.83</v>
      </c>
      <c r="U68" s="2">
        <f>VLOOKUP($C68,'[10]for slip'!$F:$BC,44,0)</f>
        <v>106861.66</v>
      </c>
      <c r="V68" s="2">
        <f>VLOOKUP($C68,'[10]for slip'!$F:$BC,45,0)</f>
        <v>53430.83</v>
      </c>
      <c r="W68" s="2">
        <f>VLOOKUP($C68,'[10]for slip'!$F:$BC,48,0)</f>
        <v>15604.584590750002</v>
      </c>
    </row>
    <row r="69" spans="1:23" x14ac:dyDescent="0.25">
      <c r="A69" s="1">
        <v>68</v>
      </c>
      <c r="B69" s="2" t="s">
        <v>157</v>
      </c>
      <c r="C69" s="2" t="s">
        <v>158</v>
      </c>
      <c r="D69" s="2" t="str">
        <f>VLOOKUP($C69,'[10]for slip'!$F:$BC,3,0)</f>
        <v>Pelaksana</v>
      </c>
      <c r="E69" s="2" t="str">
        <f>VLOOKUP($C69,'[10]for slip'!$F:$BC,4,0)</f>
        <v>Prod. Stamping</v>
      </c>
      <c r="F69" s="2">
        <f>VLOOKUP($C69,'[10]for slip'!$F:$BC,14,0)</f>
        <v>5343083</v>
      </c>
      <c r="G69" s="2">
        <f>VLOOKUP($C69,'[10]for slip'!$F:$BC,15,0)</f>
        <v>0</v>
      </c>
      <c r="H69" s="2">
        <f>VLOOKUP($C69,'[10]for slip'!$F:$BC,16,0)</f>
        <v>0</v>
      </c>
      <c r="I69" s="2">
        <f>VLOOKUP($C69,'[10]for slip'!$F:$BC,17,0)</f>
        <v>0</v>
      </c>
      <c r="J69" s="2">
        <f>VLOOKUP($C69,'[10]for slip'!$F:$BC,27,0)</f>
        <v>0</v>
      </c>
      <c r="K69" s="2">
        <f>VLOOKUP($C69,'[10]for slip'!$F:$BC,31,0)</f>
        <v>0</v>
      </c>
      <c r="L69" s="2">
        <f>VLOOKUP($C69,'[10]for slip'!$F:$BC,35,0)</f>
        <v>0</v>
      </c>
      <c r="M69" s="2">
        <f>VLOOKUP($C69,'[10]for slip'!$F:$BC,36,0)</f>
        <v>0</v>
      </c>
      <c r="N69" s="2">
        <f>VLOOKUP($C69,'[10]for slip'!$F:$BC,37,0)</f>
        <v>0</v>
      </c>
      <c r="O69" s="2">
        <f>VLOOKUP($C69,'[10]for slip'!$F:$BC,38,0)</f>
        <v>0</v>
      </c>
      <c r="P69" s="2">
        <f>VLOOKUP($C69,'[10]for slip'!$F:$BC,39,0)</f>
        <v>38000</v>
      </c>
      <c r="Q69" s="2">
        <f>VLOOKUP($C69,'[10]for slip'!$F:$BC,40,0)</f>
        <v>31700</v>
      </c>
      <c r="R69" s="2">
        <f>VLOOKUP($C69,'[10]for slip'!$F:$BC,41,0)</f>
        <v>0</v>
      </c>
      <c r="S69" s="2">
        <f>VLOOKUP($C69,'[10]for slip'!$F:$BC,42,0)</f>
        <v>0</v>
      </c>
      <c r="T69" s="2">
        <f>VLOOKUP($C69,'[10]for slip'!$F:$BC,43,0)</f>
        <v>53430.83</v>
      </c>
      <c r="U69" s="2">
        <f>VLOOKUP($C69,'[10]for slip'!$F:$BC,44,0)</f>
        <v>106861.66</v>
      </c>
      <c r="V69" s="2">
        <f>VLOOKUP($C69,'[10]for slip'!$F:$BC,45,0)</f>
        <v>53430.83</v>
      </c>
      <c r="W69" s="2">
        <f>VLOOKUP($C69,'[10]for slip'!$F:$BC,48,0)</f>
        <v>0</v>
      </c>
    </row>
    <row r="70" spans="1:23" x14ac:dyDescent="0.25">
      <c r="A70" s="1">
        <v>69</v>
      </c>
      <c r="B70" s="2" t="s">
        <v>159</v>
      </c>
      <c r="C70" s="2" t="s">
        <v>160</v>
      </c>
      <c r="D70" s="2" t="str">
        <f>VLOOKUP($C70,'[10]for slip'!$F:$BC,3,0)</f>
        <v>Pelaksana</v>
      </c>
      <c r="E70" s="2" t="str">
        <f>VLOOKUP($C70,'[10]for slip'!$F:$BC,4,0)</f>
        <v>Prod. Stamping</v>
      </c>
      <c r="F70" s="2">
        <f>VLOOKUP($C70,'[10]for slip'!$F:$BC,14,0)</f>
        <v>5343083</v>
      </c>
      <c r="G70" s="2">
        <f>VLOOKUP($C70,'[10]for slip'!$F:$BC,15,0)</f>
        <v>0</v>
      </c>
      <c r="H70" s="2">
        <f>VLOOKUP($C70,'[10]for slip'!$F:$BC,16,0)</f>
        <v>0</v>
      </c>
      <c r="I70" s="2">
        <f>VLOOKUP($C70,'[10]for slip'!$F:$BC,17,0)</f>
        <v>0</v>
      </c>
      <c r="J70" s="2">
        <f>VLOOKUP($C70,'[10]for slip'!$F:$BC,27,0)</f>
        <v>0</v>
      </c>
      <c r="K70" s="2">
        <f>VLOOKUP($C70,'[10]for slip'!$F:$BC,31,0)</f>
        <v>0</v>
      </c>
      <c r="L70" s="2">
        <f>VLOOKUP($C70,'[10]for slip'!$F:$BC,35,0)</f>
        <v>0</v>
      </c>
      <c r="M70" s="2">
        <f>VLOOKUP($C70,'[10]for slip'!$F:$BC,36,0)</f>
        <v>0</v>
      </c>
      <c r="N70" s="2">
        <f>VLOOKUP($C70,'[10]for slip'!$F:$BC,37,0)</f>
        <v>0</v>
      </c>
      <c r="O70" s="2">
        <f>VLOOKUP($C70,'[10]for slip'!$F:$BC,38,0)</f>
        <v>0</v>
      </c>
      <c r="P70" s="2">
        <f>VLOOKUP($C70,'[10]for slip'!$F:$BC,39,0)</f>
        <v>38000</v>
      </c>
      <c r="Q70" s="2">
        <f>VLOOKUP($C70,'[10]for slip'!$F:$BC,40,0)</f>
        <v>31700</v>
      </c>
      <c r="R70" s="2">
        <f>VLOOKUP($C70,'[10]for slip'!$F:$BC,41,0)</f>
        <v>0</v>
      </c>
      <c r="S70" s="2">
        <f>VLOOKUP($C70,'[10]for slip'!$F:$BC,42,0)</f>
        <v>0</v>
      </c>
      <c r="T70" s="2">
        <f>VLOOKUP($C70,'[10]for slip'!$F:$BC,43,0)</f>
        <v>53430.83</v>
      </c>
      <c r="U70" s="2">
        <f>VLOOKUP($C70,'[10]for slip'!$F:$BC,44,0)</f>
        <v>106861.66</v>
      </c>
      <c r="V70" s="2">
        <f>VLOOKUP($C70,'[10]for slip'!$F:$BC,45,0)</f>
        <v>53430.83</v>
      </c>
      <c r="W70" s="2">
        <f>VLOOKUP($C70,'[10]for slip'!$F:$BC,48,0)</f>
        <v>0</v>
      </c>
    </row>
    <row r="71" spans="1:23" x14ac:dyDescent="0.25">
      <c r="A71" s="1">
        <v>70</v>
      </c>
      <c r="B71" s="2" t="s">
        <v>161</v>
      </c>
      <c r="C71" s="2" t="s">
        <v>162</v>
      </c>
      <c r="D71" s="2" t="str">
        <f>VLOOKUP($C71,'[10]for slip'!$F:$BC,3,0)</f>
        <v>Pelaksana</v>
      </c>
      <c r="E71" s="2" t="str">
        <f>VLOOKUP($C71,'[10]for slip'!$F:$BC,4,0)</f>
        <v>Prod. Stamping</v>
      </c>
      <c r="F71" s="2">
        <f>VLOOKUP($C71,'[10]for slip'!$F:$BC,14,0)</f>
        <v>5343083</v>
      </c>
      <c r="G71" s="2">
        <f>VLOOKUP($C71,'[10]for slip'!$F:$BC,15,0)</f>
        <v>0</v>
      </c>
      <c r="H71" s="2">
        <f>VLOOKUP($C71,'[10]for slip'!$F:$BC,16,0)</f>
        <v>0</v>
      </c>
      <c r="I71" s="2">
        <f>VLOOKUP($C71,'[10]for slip'!$F:$BC,17,0)</f>
        <v>0</v>
      </c>
      <c r="J71" s="2">
        <f>VLOOKUP($C71,'[10]for slip'!$F:$BC,27,0)</f>
        <v>0</v>
      </c>
      <c r="K71" s="2">
        <f>VLOOKUP($C71,'[10]for slip'!$F:$BC,31,0)</f>
        <v>0</v>
      </c>
      <c r="L71" s="2">
        <f>VLOOKUP($C71,'[10]for slip'!$F:$BC,35,0)</f>
        <v>34354.584590750004</v>
      </c>
      <c r="M71" s="2">
        <f>VLOOKUP($C71,'[10]for slip'!$F:$BC,36,0)</f>
        <v>0</v>
      </c>
      <c r="N71" s="2">
        <f>VLOOKUP($C71,'[10]for slip'!$F:$BC,37,0)</f>
        <v>0</v>
      </c>
      <c r="O71" s="2">
        <f>VLOOKUP($C71,'[10]for slip'!$F:$BC,38,0)</f>
        <v>0</v>
      </c>
      <c r="P71" s="2">
        <f>VLOOKUP($C71,'[10]for slip'!$F:$BC,39,0)</f>
        <v>0</v>
      </c>
      <c r="Q71" s="2">
        <f>VLOOKUP($C71,'[10]for slip'!$F:$BC,40,0)</f>
        <v>31700</v>
      </c>
      <c r="R71" s="2">
        <f>VLOOKUP($C71,'[10]for slip'!$F:$BC,41,0)</f>
        <v>0</v>
      </c>
      <c r="S71" s="2">
        <f>VLOOKUP($C71,'[10]for slip'!$F:$BC,42,0)</f>
        <v>10000</v>
      </c>
      <c r="T71" s="2">
        <f>VLOOKUP($C71,'[10]for slip'!$F:$BC,43,0)</f>
        <v>53430.83</v>
      </c>
      <c r="U71" s="2">
        <f>VLOOKUP($C71,'[10]for slip'!$F:$BC,44,0)</f>
        <v>106861.66</v>
      </c>
      <c r="V71" s="2">
        <f>VLOOKUP($C71,'[10]for slip'!$F:$BC,45,0)</f>
        <v>53430.83</v>
      </c>
      <c r="W71" s="2">
        <f>VLOOKUP($C71,'[10]for slip'!$F:$BC,48,0)</f>
        <v>34354.584590750004</v>
      </c>
    </row>
    <row r="72" spans="1:23" x14ac:dyDescent="0.25">
      <c r="A72" s="1">
        <v>71</v>
      </c>
      <c r="B72" s="2" t="s">
        <v>163</v>
      </c>
      <c r="C72" s="2" t="s">
        <v>164</v>
      </c>
      <c r="D72" s="2" t="str">
        <f>VLOOKUP($C72,'[10]for slip'!$F:$BC,3,0)</f>
        <v>Pelaksana</v>
      </c>
      <c r="E72" s="2" t="str">
        <f>VLOOKUP($C72,'[10]for slip'!$F:$BC,4,0)</f>
        <v>Prod. Stamping</v>
      </c>
      <c r="F72" s="2">
        <f>VLOOKUP($C72,'[10]for slip'!$F:$BC,14,0)</f>
        <v>5343083</v>
      </c>
      <c r="G72" s="2">
        <f>VLOOKUP($C72,'[10]for slip'!$F:$BC,15,0)</f>
        <v>0</v>
      </c>
      <c r="H72" s="2">
        <f>VLOOKUP($C72,'[10]for slip'!$F:$BC,16,0)</f>
        <v>0</v>
      </c>
      <c r="I72" s="2">
        <f>VLOOKUP($C72,'[10]for slip'!$F:$BC,17,0)</f>
        <v>0</v>
      </c>
      <c r="J72" s="2">
        <f>VLOOKUP($C72,'[10]for slip'!$F:$BC,27,0)</f>
        <v>0</v>
      </c>
      <c r="K72" s="2">
        <f>VLOOKUP($C72,'[10]for slip'!$F:$BC,31,0)</f>
        <v>0</v>
      </c>
      <c r="L72" s="2">
        <f>VLOOKUP($C72,'[10]for slip'!$F:$BC,35,0)</f>
        <v>34354.584590750004</v>
      </c>
      <c r="M72" s="2">
        <f>VLOOKUP($C72,'[10]for slip'!$F:$BC,36,0)</f>
        <v>0</v>
      </c>
      <c r="N72" s="2">
        <f>VLOOKUP($C72,'[10]for slip'!$F:$BC,37,0)</f>
        <v>0</v>
      </c>
      <c r="O72" s="2">
        <f>VLOOKUP($C72,'[10]for slip'!$F:$BC,38,0)</f>
        <v>0</v>
      </c>
      <c r="P72" s="2">
        <f>VLOOKUP($C72,'[10]for slip'!$F:$BC,39,0)</f>
        <v>38000</v>
      </c>
      <c r="Q72" s="2">
        <f>VLOOKUP($C72,'[10]for slip'!$F:$BC,40,0)</f>
        <v>31700</v>
      </c>
      <c r="R72" s="2">
        <f>VLOOKUP($C72,'[10]for slip'!$F:$BC,41,0)</f>
        <v>0</v>
      </c>
      <c r="S72" s="2">
        <f>VLOOKUP($C72,'[10]for slip'!$F:$BC,42,0)</f>
        <v>0</v>
      </c>
      <c r="T72" s="2">
        <f>VLOOKUP($C72,'[10]for slip'!$F:$BC,43,0)</f>
        <v>53430.83</v>
      </c>
      <c r="U72" s="2">
        <f>VLOOKUP($C72,'[10]for slip'!$F:$BC,44,0)</f>
        <v>106861.66</v>
      </c>
      <c r="V72" s="2">
        <f>VLOOKUP($C72,'[10]for slip'!$F:$BC,45,0)</f>
        <v>53430.83</v>
      </c>
      <c r="W72" s="2">
        <f>VLOOKUP($C72,'[10]for slip'!$F:$BC,48,0)</f>
        <v>34354.584590750004</v>
      </c>
    </row>
    <row r="73" spans="1:23" x14ac:dyDescent="0.25">
      <c r="A73" s="1">
        <v>72</v>
      </c>
      <c r="B73" s="2" t="s">
        <v>165</v>
      </c>
      <c r="C73" s="2" t="s">
        <v>166</v>
      </c>
      <c r="D73" s="2" t="str">
        <f>VLOOKUP($C73,'[10]for slip'!$F:$BC,3,0)</f>
        <v>Pelaksana</v>
      </c>
      <c r="E73" s="2" t="str">
        <f>VLOOKUP($C73,'[10]for slip'!$F:$BC,4,0)</f>
        <v>Prod. Stamping</v>
      </c>
      <c r="F73" s="2">
        <f>VLOOKUP($C73,'[10]for slip'!$F:$BC,14,0)</f>
        <v>5343083</v>
      </c>
      <c r="G73" s="2">
        <f>VLOOKUP($C73,'[10]for slip'!$F:$BC,15,0)</f>
        <v>0</v>
      </c>
      <c r="H73" s="2">
        <f>VLOOKUP($C73,'[10]for slip'!$F:$BC,16,0)</f>
        <v>0</v>
      </c>
      <c r="I73" s="2">
        <f>VLOOKUP($C73,'[10]for slip'!$F:$BC,17,0)</f>
        <v>0</v>
      </c>
      <c r="J73" s="2">
        <f>VLOOKUP($C73,'[10]for slip'!$F:$BC,27,0)</f>
        <v>0</v>
      </c>
      <c r="K73" s="2">
        <f>VLOOKUP($C73,'[10]for slip'!$F:$BC,31,0)</f>
        <v>0</v>
      </c>
      <c r="L73" s="2">
        <f>VLOOKUP($C73,'[10]for slip'!$F:$BC,35,0)</f>
        <v>0</v>
      </c>
      <c r="M73" s="2">
        <f>VLOOKUP($C73,'[10]for slip'!$F:$BC,36,0)</f>
        <v>0</v>
      </c>
      <c r="N73" s="2">
        <f>VLOOKUP($C73,'[10]for slip'!$F:$BC,37,0)</f>
        <v>0</v>
      </c>
      <c r="O73" s="2">
        <f>VLOOKUP($C73,'[10]for slip'!$F:$BC,38,0)</f>
        <v>0</v>
      </c>
      <c r="P73" s="2">
        <f>VLOOKUP($C73,'[10]for slip'!$F:$BC,39,0)</f>
        <v>38000</v>
      </c>
      <c r="Q73" s="2">
        <f>VLOOKUP($C73,'[10]for slip'!$F:$BC,40,0)</f>
        <v>0</v>
      </c>
      <c r="R73" s="2">
        <f>VLOOKUP($C73,'[10]for slip'!$F:$BC,41,0)</f>
        <v>0</v>
      </c>
      <c r="S73" s="2">
        <f>VLOOKUP($C73,'[10]for slip'!$F:$BC,42,0)</f>
        <v>0</v>
      </c>
      <c r="T73" s="2">
        <f>VLOOKUP($C73,'[10]for slip'!$F:$BC,43,0)</f>
        <v>53430.83</v>
      </c>
      <c r="U73" s="2">
        <f>VLOOKUP($C73,'[10]for slip'!$F:$BC,44,0)</f>
        <v>106861.66</v>
      </c>
      <c r="V73" s="2">
        <f>VLOOKUP($C73,'[10]for slip'!$F:$BC,45,0)</f>
        <v>53430.83</v>
      </c>
      <c r="W73" s="2">
        <f>VLOOKUP($C73,'[10]for slip'!$F:$BC,48,0)</f>
        <v>0</v>
      </c>
    </row>
    <row r="74" spans="1:23" x14ac:dyDescent="0.25">
      <c r="A74" s="1">
        <v>73</v>
      </c>
      <c r="B74" s="2" t="s">
        <v>167</v>
      </c>
      <c r="C74" s="2" t="s">
        <v>168</v>
      </c>
      <c r="D74" s="2" t="str">
        <f>VLOOKUP($C74,'[10]for slip'!$F:$BC,3,0)</f>
        <v>Pelaksana</v>
      </c>
      <c r="E74" s="2" t="str">
        <f>VLOOKUP($C74,'[10]for slip'!$F:$BC,4,0)</f>
        <v>Prod. Stamping</v>
      </c>
      <c r="F74" s="2">
        <f>VLOOKUP($C74,'[10]for slip'!$F:$BC,14,0)</f>
        <v>5343083</v>
      </c>
      <c r="G74" s="2">
        <f>VLOOKUP($C74,'[10]for slip'!$F:$BC,15,0)</f>
        <v>0</v>
      </c>
      <c r="H74" s="2">
        <f>VLOOKUP($C74,'[10]for slip'!$F:$BC,16,0)</f>
        <v>0</v>
      </c>
      <c r="I74" s="2">
        <f>VLOOKUP($C74,'[10]for slip'!$F:$BC,17,0)</f>
        <v>0</v>
      </c>
      <c r="J74" s="2">
        <f>VLOOKUP($C74,'[10]for slip'!$F:$BC,27,0)</f>
        <v>0</v>
      </c>
      <c r="K74" s="2">
        <f>VLOOKUP($C74,'[10]for slip'!$F:$BC,31,0)</f>
        <v>0</v>
      </c>
      <c r="L74" s="2">
        <f>VLOOKUP($C74,'[10]for slip'!$F:$BC,35,0)</f>
        <v>15604.584590750002</v>
      </c>
      <c r="M74" s="2">
        <f>VLOOKUP($C74,'[10]for slip'!$F:$BC,36,0)</f>
        <v>0</v>
      </c>
      <c r="N74" s="2">
        <f>VLOOKUP($C74,'[10]for slip'!$F:$BC,37,0)</f>
        <v>0</v>
      </c>
      <c r="O74" s="2">
        <f>VLOOKUP($C74,'[10]for slip'!$F:$BC,38,0)</f>
        <v>0</v>
      </c>
      <c r="P74" s="2">
        <f>VLOOKUP($C74,'[10]for slip'!$F:$BC,39,0)</f>
        <v>38000</v>
      </c>
      <c r="Q74" s="2">
        <f>VLOOKUP($C74,'[10]for slip'!$F:$BC,40,0)</f>
        <v>31700</v>
      </c>
      <c r="R74" s="2">
        <f>VLOOKUP($C74,'[10]for slip'!$F:$BC,41,0)</f>
        <v>0</v>
      </c>
      <c r="S74" s="2">
        <f>VLOOKUP($C74,'[10]for slip'!$F:$BC,42,0)</f>
        <v>0</v>
      </c>
      <c r="T74" s="2">
        <f>VLOOKUP($C74,'[10]for slip'!$F:$BC,43,0)</f>
        <v>53430.83</v>
      </c>
      <c r="U74" s="2">
        <f>VLOOKUP($C74,'[10]for slip'!$F:$BC,44,0)</f>
        <v>106861.66</v>
      </c>
      <c r="V74" s="2">
        <f>VLOOKUP($C74,'[10]for slip'!$F:$BC,45,0)</f>
        <v>53430.83</v>
      </c>
      <c r="W74" s="2">
        <f>VLOOKUP($C74,'[10]for slip'!$F:$BC,48,0)</f>
        <v>15604.584590750002</v>
      </c>
    </row>
    <row r="75" spans="1:23" x14ac:dyDescent="0.25">
      <c r="A75" s="1">
        <v>74</v>
      </c>
      <c r="B75" s="2" t="s">
        <v>169</v>
      </c>
      <c r="C75" s="2" t="s">
        <v>170</v>
      </c>
      <c r="D75" s="2" t="str">
        <f>VLOOKUP($C75,'[10]for slip'!$F:$BC,3,0)</f>
        <v>Pelaksana</v>
      </c>
      <c r="E75" s="2" t="str">
        <f>VLOOKUP($C75,'[10]for slip'!$F:$BC,4,0)</f>
        <v>Prod. Stamping</v>
      </c>
      <c r="F75" s="2">
        <f>VLOOKUP($C75,'[10]for slip'!$F:$BC,14,0)</f>
        <v>5343083</v>
      </c>
      <c r="G75" s="2">
        <f>VLOOKUP($C75,'[10]for slip'!$F:$BC,15,0)</f>
        <v>0</v>
      </c>
      <c r="H75" s="2">
        <f>VLOOKUP($C75,'[10]for slip'!$F:$BC,16,0)</f>
        <v>0</v>
      </c>
      <c r="I75" s="2">
        <f>VLOOKUP($C75,'[10]for slip'!$F:$BC,17,0)</f>
        <v>0</v>
      </c>
      <c r="J75" s="2">
        <f>VLOOKUP($C75,'[10]for slip'!$F:$BC,27,0)</f>
        <v>0</v>
      </c>
      <c r="K75" s="2">
        <f>VLOOKUP($C75,'[10]for slip'!$F:$BC,31,0)</f>
        <v>0</v>
      </c>
      <c r="L75" s="2">
        <f>VLOOKUP($C75,'[10]for slip'!$F:$BC,35,0)</f>
        <v>34354.584590750004</v>
      </c>
      <c r="M75" s="2">
        <f>VLOOKUP($C75,'[10]for slip'!$F:$BC,36,0)</f>
        <v>0</v>
      </c>
      <c r="N75" s="2">
        <f>VLOOKUP($C75,'[10]for slip'!$F:$BC,37,0)</f>
        <v>0</v>
      </c>
      <c r="O75" s="2">
        <f>VLOOKUP($C75,'[10]for slip'!$F:$BC,38,0)</f>
        <v>0</v>
      </c>
      <c r="P75" s="2">
        <f>VLOOKUP($C75,'[10]for slip'!$F:$BC,39,0)</f>
        <v>38000</v>
      </c>
      <c r="Q75" s="2">
        <f>VLOOKUP($C75,'[10]for slip'!$F:$BC,40,0)</f>
        <v>31700</v>
      </c>
      <c r="R75" s="2">
        <f>VLOOKUP($C75,'[10]for slip'!$F:$BC,41,0)</f>
        <v>0</v>
      </c>
      <c r="S75" s="2">
        <f>VLOOKUP($C75,'[10]for slip'!$F:$BC,42,0)</f>
        <v>0</v>
      </c>
      <c r="T75" s="2">
        <f>VLOOKUP($C75,'[10]for slip'!$F:$BC,43,0)</f>
        <v>53430.83</v>
      </c>
      <c r="U75" s="2">
        <f>VLOOKUP($C75,'[10]for slip'!$F:$BC,44,0)</f>
        <v>106861.66</v>
      </c>
      <c r="V75" s="2">
        <f>VLOOKUP($C75,'[10]for slip'!$F:$BC,45,0)</f>
        <v>53430.83</v>
      </c>
      <c r="W75" s="2">
        <f>VLOOKUP($C75,'[10]for slip'!$F:$BC,48,0)</f>
        <v>34354.584590750004</v>
      </c>
    </row>
    <row r="76" spans="1:23" x14ac:dyDescent="0.25">
      <c r="A76" s="1">
        <v>75</v>
      </c>
      <c r="B76" s="2" t="s">
        <v>171</v>
      </c>
      <c r="C76" s="2" t="s">
        <v>172</v>
      </c>
      <c r="D76" s="2" t="str">
        <f>VLOOKUP($C76,'[10]for slip'!$F:$BC,3,0)</f>
        <v>Pelaksana</v>
      </c>
      <c r="E76" s="2" t="str">
        <f>VLOOKUP($C76,'[10]for slip'!$F:$BC,4,0)</f>
        <v>Prod. Stamping</v>
      </c>
      <c r="F76" s="2">
        <f>VLOOKUP($C76,'[10]for slip'!$F:$BC,14,0)</f>
        <v>5343083</v>
      </c>
      <c r="G76" s="2">
        <f>VLOOKUP($C76,'[10]for slip'!$F:$BC,15,0)</f>
        <v>0</v>
      </c>
      <c r="H76" s="2">
        <f>VLOOKUP($C76,'[10]for slip'!$F:$BC,16,0)</f>
        <v>0</v>
      </c>
      <c r="I76" s="2">
        <f>VLOOKUP($C76,'[10]for slip'!$F:$BC,17,0)</f>
        <v>0</v>
      </c>
      <c r="J76" s="2">
        <f>VLOOKUP($C76,'[10]for slip'!$F:$BC,27,0)</f>
        <v>0</v>
      </c>
      <c r="K76" s="2">
        <f>VLOOKUP($C76,'[10]for slip'!$F:$BC,31,0)</f>
        <v>0</v>
      </c>
      <c r="L76" s="2">
        <f>VLOOKUP($C76,'[10]for slip'!$F:$BC,35,0)</f>
        <v>15604.584590750002</v>
      </c>
      <c r="M76" s="2">
        <f>VLOOKUP($C76,'[10]for slip'!$F:$BC,36,0)</f>
        <v>0</v>
      </c>
      <c r="N76" s="2">
        <f>VLOOKUP($C76,'[10]for slip'!$F:$BC,37,0)</f>
        <v>0</v>
      </c>
      <c r="O76" s="2">
        <f>VLOOKUP($C76,'[10]for slip'!$F:$BC,38,0)</f>
        <v>0</v>
      </c>
      <c r="P76" s="2">
        <f>VLOOKUP($C76,'[10]for slip'!$F:$BC,39,0)</f>
        <v>38000</v>
      </c>
      <c r="Q76" s="2">
        <f>VLOOKUP($C76,'[10]for slip'!$F:$BC,40,0)</f>
        <v>31700</v>
      </c>
      <c r="R76" s="2">
        <f>VLOOKUP($C76,'[10]for slip'!$F:$BC,41,0)</f>
        <v>0</v>
      </c>
      <c r="S76" s="2">
        <f>VLOOKUP($C76,'[10]for slip'!$F:$BC,42,0)</f>
        <v>0</v>
      </c>
      <c r="T76" s="2">
        <f>VLOOKUP($C76,'[10]for slip'!$F:$BC,43,0)</f>
        <v>53430.83</v>
      </c>
      <c r="U76" s="2">
        <f>VLOOKUP($C76,'[10]for slip'!$F:$BC,44,0)</f>
        <v>106861.66</v>
      </c>
      <c r="V76" s="2">
        <f>VLOOKUP($C76,'[10]for slip'!$F:$BC,45,0)</f>
        <v>53430.83</v>
      </c>
      <c r="W76" s="2">
        <f>VLOOKUP($C76,'[10]for slip'!$F:$BC,48,0)</f>
        <v>15604.584590750002</v>
      </c>
    </row>
    <row r="77" spans="1:23" x14ac:dyDescent="0.25">
      <c r="A77" s="1">
        <v>76</v>
      </c>
      <c r="B77" s="2" t="s">
        <v>173</v>
      </c>
      <c r="C77" s="2" t="s">
        <v>174</v>
      </c>
      <c r="D77" s="2" t="str">
        <f>VLOOKUP($C77,'[10]for slip'!$F:$BC,3,0)</f>
        <v>Pelaksana</v>
      </c>
      <c r="E77" s="2" t="str">
        <f>VLOOKUP($C77,'[10]for slip'!$F:$BC,4,0)</f>
        <v>Prod. Stamping</v>
      </c>
      <c r="F77" s="2">
        <f>VLOOKUP($C77,'[10]for slip'!$F:$BC,14,0)</f>
        <v>5343083</v>
      </c>
      <c r="G77" s="2">
        <f>VLOOKUP($C77,'[10]for slip'!$F:$BC,15,0)</f>
        <v>0</v>
      </c>
      <c r="H77" s="2">
        <f>VLOOKUP($C77,'[10]for slip'!$F:$BC,16,0)</f>
        <v>0</v>
      </c>
      <c r="I77" s="2">
        <f>VLOOKUP($C77,'[10]for slip'!$F:$BC,17,0)</f>
        <v>0</v>
      </c>
      <c r="J77" s="2">
        <f>VLOOKUP($C77,'[10]for slip'!$F:$BC,27,0)</f>
        <v>0</v>
      </c>
      <c r="K77" s="2">
        <f>VLOOKUP($C77,'[10]for slip'!$F:$BC,31,0)</f>
        <v>0</v>
      </c>
      <c r="L77" s="2">
        <f>VLOOKUP($C77,'[10]for slip'!$F:$BC,35,0)</f>
        <v>0</v>
      </c>
      <c r="M77" s="2">
        <f>VLOOKUP($C77,'[10]for slip'!$F:$BC,36,0)</f>
        <v>0</v>
      </c>
      <c r="N77" s="2">
        <f>VLOOKUP($C77,'[10]for slip'!$F:$BC,37,0)</f>
        <v>0</v>
      </c>
      <c r="O77" s="2">
        <f>VLOOKUP($C77,'[10]for slip'!$F:$BC,38,0)</f>
        <v>0</v>
      </c>
      <c r="P77" s="2">
        <f>VLOOKUP($C77,'[10]for slip'!$F:$BC,39,0)</f>
        <v>38000</v>
      </c>
      <c r="Q77" s="2">
        <f>VLOOKUP($C77,'[10]for slip'!$F:$BC,40,0)</f>
        <v>31700</v>
      </c>
      <c r="R77" s="2">
        <f>VLOOKUP($C77,'[10]for slip'!$F:$BC,41,0)</f>
        <v>0</v>
      </c>
      <c r="S77" s="2">
        <f>VLOOKUP($C77,'[10]for slip'!$F:$BC,42,0)</f>
        <v>10000</v>
      </c>
      <c r="T77" s="2">
        <f>VLOOKUP($C77,'[10]for slip'!$F:$BC,43,0)</f>
        <v>53430.83</v>
      </c>
      <c r="U77" s="2">
        <f>VLOOKUP($C77,'[10]for slip'!$F:$BC,44,0)</f>
        <v>106861.66</v>
      </c>
      <c r="V77" s="2">
        <f>VLOOKUP($C77,'[10]for slip'!$F:$BC,45,0)</f>
        <v>53430.83</v>
      </c>
      <c r="W77" s="2">
        <f>VLOOKUP($C77,'[10]for slip'!$F:$BC,48,0)</f>
        <v>0</v>
      </c>
    </row>
    <row r="78" spans="1:23" x14ac:dyDescent="0.25">
      <c r="A78" s="1">
        <v>77</v>
      </c>
      <c r="B78" s="2" t="s">
        <v>175</v>
      </c>
      <c r="C78" s="2" t="s">
        <v>176</v>
      </c>
      <c r="D78" s="2" t="str">
        <f>VLOOKUP($C78,'[10]for slip'!$F:$BC,3,0)</f>
        <v>Pelaksana</v>
      </c>
      <c r="E78" s="2" t="str">
        <f>VLOOKUP($C78,'[10]for slip'!$F:$BC,4,0)</f>
        <v>Prod. Stamping</v>
      </c>
      <c r="F78" s="2">
        <f>VLOOKUP($C78,'[10]for slip'!$F:$BC,14,0)</f>
        <v>5343083</v>
      </c>
      <c r="G78" s="2">
        <f>VLOOKUP($C78,'[10]for slip'!$F:$BC,15,0)</f>
        <v>0</v>
      </c>
      <c r="H78" s="2">
        <f>VLOOKUP($C78,'[10]for slip'!$F:$BC,16,0)</f>
        <v>0</v>
      </c>
      <c r="I78" s="2">
        <f>VLOOKUP($C78,'[10]for slip'!$F:$BC,17,0)</f>
        <v>0</v>
      </c>
      <c r="J78" s="2">
        <f>VLOOKUP($C78,'[10]for slip'!$F:$BC,27,0)</f>
        <v>0</v>
      </c>
      <c r="K78" s="2">
        <f>VLOOKUP($C78,'[10]for slip'!$F:$BC,31,0)</f>
        <v>0</v>
      </c>
      <c r="L78" s="2">
        <f>VLOOKUP($C78,'[10]for slip'!$F:$BC,35,0)</f>
        <v>0</v>
      </c>
      <c r="M78" s="2">
        <f>VLOOKUP($C78,'[10]for slip'!$F:$BC,36,0)</f>
        <v>0</v>
      </c>
      <c r="N78" s="2">
        <f>VLOOKUP($C78,'[10]for slip'!$F:$BC,37,0)</f>
        <v>0</v>
      </c>
      <c r="O78" s="2">
        <f>VLOOKUP($C78,'[10]for slip'!$F:$BC,38,0)</f>
        <v>0</v>
      </c>
      <c r="P78" s="2">
        <f>VLOOKUP($C78,'[10]for slip'!$F:$BC,39,0)</f>
        <v>38000</v>
      </c>
      <c r="Q78" s="2">
        <f>VLOOKUP($C78,'[10]for slip'!$F:$BC,40,0)</f>
        <v>31700</v>
      </c>
      <c r="R78" s="2">
        <f>VLOOKUP($C78,'[10]for slip'!$F:$BC,41,0)</f>
        <v>0</v>
      </c>
      <c r="S78" s="2">
        <f>VLOOKUP($C78,'[10]for slip'!$F:$BC,42,0)</f>
        <v>10000</v>
      </c>
      <c r="T78" s="2">
        <f>VLOOKUP($C78,'[10]for slip'!$F:$BC,43,0)</f>
        <v>53430.83</v>
      </c>
      <c r="U78" s="2">
        <f>VLOOKUP($C78,'[10]for slip'!$F:$BC,44,0)</f>
        <v>106861.66</v>
      </c>
      <c r="V78" s="2">
        <f>VLOOKUP($C78,'[10]for slip'!$F:$BC,45,0)</f>
        <v>53430.83</v>
      </c>
      <c r="W78" s="2">
        <f>VLOOKUP($C78,'[10]for slip'!$F:$BC,48,0)</f>
        <v>0</v>
      </c>
    </row>
    <row r="79" spans="1:23" x14ac:dyDescent="0.25">
      <c r="A79" s="1">
        <v>78</v>
      </c>
      <c r="B79" s="2" t="s">
        <v>177</v>
      </c>
      <c r="C79" s="2" t="s">
        <v>178</v>
      </c>
      <c r="D79" s="2" t="str">
        <f>VLOOKUP($C79,'[10]for slip'!$F:$BC,3,0)</f>
        <v>Pelaksana</v>
      </c>
      <c r="E79" s="2" t="str">
        <f>VLOOKUP($C79,'[10]for slip'!$F:$BC,4,0)</f>
        <v>Prod. Stamping</v>
      </c>
      <c r="F79" s="2">
        <f>VLOOKUP($C79,'[10]for slip'!$F:$BC,14,0)</f>
        <v>5343083</v>
      </c>
      <c r="G79" s="2">
        <f>VLOOKUP($C79,'[10]for slip'!$F:$BC,15,0)</f>
        <v>0</v>
      </c>
      <c r="H79" s="2">
        <f>VLOOKUP($C79,'[10]for slip'!$F:$BC,16,0)</f>
        <v>0</v>
      </c>
      <c r="I79" s="2">
        <f>VLOOKUP($C79,'[10]for slip'!$F:$BC,17,0)</f>
        <v>0</v>
      </c>
      <c r="J79" s="2">
        <f>VLOOKUP($C79,'[10]for slip'!$F:$BC,27,0)</f>
        <v>0</v>
      </c>
      <c r="K79" s="2">
        <f>VLOOKUP($C79,'[10]for slip'!$F:$BC,31,0)</f>
        <v>0</v>
      </c>
      <c r="L79" s="2">
        <f>VLOOKUP($C79,'[10]for slip'!$F:$BC,35,0)</f>
        <v>34354.584590750004</v>
      </c>
      <c r="M79" s="2">
        <f>VLOOKUP($C79,'[10]for slip'!$F:$BC,36,0)</f>
        <v>0</v>
      </c>
      <c r="N79" s="2">
        <f>VLOOKUP($C79,'[10]for slip'!$F:$BC,37,0)</f>
        <v>0</v>
      </c>
      <c r="O79" s="2">
        <f>VLOOKUP($C79,'[10]for slip'!$F:$BC,38,0)</f>
        <v>0</v>
      </c>
      <c r="P79" s="2">
        <f>VLOOKUP($C79,'[10]for slip'!$F:$BC,39,0)</f>
        <v>38000</v>
      </c>
      <c r="Q79" s="2">
        <f>VLOOKUP($C79,'[10]for slip'!$F:$BC,40,0)</f>
        <v>31700</v>
      </c>
      <c r="R79" s="2">
        <f>VLOOKUP($C79,'[10]for slip'!$F:$BC,41,0)</f>
        <v>0</v>
      </c>
      <c r="S79" s="2">
        <f>VLOOKUP($C79,'[10]for slip'!$F:$BC,42,0)</f>
        <v>0</v>
      </c>
      <c r="T79" s="2">
        <f>VLOOKUP($C79,'[10]for slip'!$F:$BC,43,0)</f>
        <v>53430.83</v>
      </c>
      <c r="U79" s="2">
        <f>VLOOKUP($C79,'[10]for slip'!$F:$BC,44,0)</f>
        <v>106861.66</v>
      </c>
      <c r="V79" s="2">
        <f>VLOOKUP($C79,'[10]for slip'!$F:$BC,45,0)</f>
        <v>53430.83</v>
      </c>
      <c r="W79" s="2">
        <f>VLOOKUP($C79,'[10]for slip'!$F:$BC,48,0)</f>
        <v>34354.584590750004</v>
      </c>
    </row>
    <row r="80" spans="1:23" x14ac:dyDescent="0.25">
      <c r="A80" s="1">
        <v>79</v>
      </c>
      <c r="B80" s="2" t="s">
        <v>179</v>
      </c>
      <c r="C80" s="2" t="s">
        <v>180</v>
      </c>
      <c r="D80" s="2" t="str">
        <f>VLOOKUP($C80,'[10]for slip'!$F:$BC,3,0)</f>
        <v>Pelaksana</v>
      </c>
      <c r="E80" s="2" t="str">
        <f>VLOOKUP($C80,'[10]for slip'!$F:$BC,4,0)</f>
        <v>Prod. Stamping</v>
      </c>
      <c r="F80" s="2">
        <f>VLOOKUP($C80,'[10]for slip'!$F:$BC,14,0)</f>
        <v>5343083</v>
      </c>
      <c r="G80" s="2">
        <f>VLOOKUP($C80,'[10]for slip'!$F:$BC,15,0)</f>
        <v>0</v>
      </c>
      <c r="H80" s="2">
        <f>VLOOKUP($C80,'[10]for slip'!$F:$BC,16,0)</f>
        <v>0</v>
      </c>
      <c r="I80" s="2">
        <f>VLOOKUP($C80,'[10]for slip'!$F:$BC,17,0)</f>
        <v>0</v>
      </c>
      <c r="J80" s="2">
        <f>VLOOKUP($C80,'[10]for slip'!$F:$BC,27,0)</f>
        <v>0</v>
      </c>
      <c r="K80" s="2">
        <f>VLOOKUP($C80,'[10]for slip'!$F:$BC,31,0)</f>
        <v>0</v>
      </c>
      <c r="L80" s="2">
        <f>VLOOKUP($C80,'[10]for slip'!$F:$BC,35,0)</f>
        <v>0</v>
      </c>
      <c r="M80" s="2">
        <f>VLOOKUP($C80,'[10]for slip'!$F:$BC,36,0)</f>
        <v>0</v>
      </c>
      <c r="N80" s="2">
        <f>VLOOKUP($C80,'[10]for slip'!$F:$BC,37,0)</f>
        <v>0</v>
      </c>
      <c r="O80" s="2">
        <f>VLOOKUP($C80,'[10]for slip'!$F:$BC,38,0)</f>
        <v>0</v>
      </c>
      <c r="P80" s="2">
        <f>VLOOKUP($C80,'[10]for slip'!$F:$BC,39,0)</f>
        <v>38000</v>
      </c>
      <c r="Q80" s="2">
        <f>VLOOKUP($C80,'[10]for slip'!$F:$BC,40,0)</f>
        <v>31700</v>
      </c>
      <c r="R80" s="2">
        <f>VLOOKUP($C80,'[10]for slip'!$F:$BC,41,0)</f>
        <v>0</v>
      </c>
      <c r="S80" s="2">
        <f>VLOOKUP($C80,'[10]for slip'!$F:$BC,42,0)</f>
        <v>0</v>
      </c>
      <c r="T80" s="2">
        <f>VLOOKUP($C80,'[10]for slip'!$F:$BC,43,0)</f>
        <v>53430.83</v>
      </c>
      <c r="U80" s="2">
        <f>VLOOKUP($C80,'[10]for slip'!$F:$BC,44,0)</f>
        <v>106861.66</v>
      </c>
      <c r="V80" s="2">
        <f>VLOOKUP($C80,'[10]for slip'!$F:$BC,45,0)</f>
        <v>53430.83</v>
      </c>
      <c r="W80" s="2">
        <f>VLOOKUP($C80,'[10]for slip'!$F:$BC,48,0)</f>
        <v>0</v>
      </c>
    </row>
    <row r="81" spans="1:23" x14ac:dyDescent="0.25">
      <c r="A81" s="1">
        <v>80</v>
      </c>
      <c r="B81" s="2" t="s">
        <v>181</v>
      </c>
      <c r="C81" s="2" t="s">
        <v>182</v>
      </c>
      <c r="D81" s="2" t="str">
        <f>VLOOKUP($C81,'[10]for slip'!$F:$BC,3,0)</f>
        <v>Pelaksana</v>
      </c>
      <c r="E81" s="2" t="str">
        <f>VLOOKUP($C81,'[10]for slip'!$F:$BC,4,0)</f>
        <v>Prod. Stamping</v>
      </c>
      <c r="F81" s="2">
        <f>VLOOKUP($C81,'[10]for slip'!$F:$BC,14,0)</f>
        <v>5343083</v>
      </c>
      <c r="G81" s="2">
        <f>VLOOKUP($C81,'[10]for slip'!$F:$BC,15,0)</f>
        <v>0</v>
      </c>
      <c r="H81" s="2">
        <f>VLOOKUP($C81,'[10]for slip'!$F:$BC,16,0)</f>
        <v>0</v>
      </c>
      <c r="I81" s="2">
        <f>VLOOKUP($C81,'[10]for slip'!$F:$BC,17,0)</f>
        <v>0</v>
      </c>
      <c r="J81" s="2">
        <f>VLOOKUP($C81,'[10]for slip'!$F:$BC,27,0)</f>
        <v>0</v>
      </c>
      <c r="K81" s="2">
        <f>VLOOKUP($C81,'[10]for slip'!$F:$BC,31,0)</f>
        <v>0</v>
      </c>
      <c r="L81" s="2">
        <f>VLOOKUP($C81,'[10]for slip'!$F:$BC,35,0)</f>
        <v>34354.584590750004</v>
      </c>
      <c r="M81" s="2">
        <f>VLOOKUP($C81,'[10]for slip'!$F:$BC,36,0)</f>
        <v>0</v>
      </c>
      <c r="N81" s="2">
        <f>VLOOKUP($C81,'[10]for slip'!$F:$BC,37,0)</f>
        <v>0</v>
      </c>
      <c r="O81" s="2">
        <f>VLOOKUP($C81,'[10]for slip'!$F:$BC,38,0)</f>
        <v>0</v>
      </c>
      <c r="P81" s="2">
        <f>VLOOKUP($C81,'[10]for slip'!$F:$BC,39,0)</f>
        <v>38000</v>
      </c>
      <c r="Q81" s="2">
        <f>VLOOKUP($C81,'[10]for slip'!$F:$BC,40,0)</f>
        <v>31700</v>
      </c>
      <c r="R81" s="2">
        <f>VLOOKUP($C81,'[10]for slip'!$F:$BC,41,0)</f>
        <v>0</v>
      </c>
      <c r="S81" s="2">
        <f>VLOOKUP($C81,'[10]for slip'!$F:$BC,42,0)</f>
        <v>0</v>
      </c>
      <c r="T81" s="2">
        <f>VLOOKUP($C81,'[10]for slip'!$F:$BC,43,0)</f>
        <v>53430.83</v>
      </c>
      <c r="U81" s="2">
        <f>VLOOKUP($C81,'[10]for slip'!$F:$BC,44,0)</f>
        <v>106861.66</v>
      </c>
      <c r="V81" s="2">
        <f>VLOOKUP($C81,'[10]for slip'!$F:$BC,45,0)</f>
        <v>53430.83</v>
      </c>
      <c r="W81" s="2">
        <f>VLOOKUP($C81,'[10]for slip'!$F:$BC,48,0)</f>
        <v>34354.584590750004</v>
      </c>
    </row>
    <row r="82" spans="1:23" x14ac:dyDescent="0.25">
      <c r="A82" s="1">
        <v>81</v>
      </c>
      <c r="B82" s="2" t="s">
        <v>183</v>
      </c>
      <c r="C82" s="2" t="s">
        <v>184</v>
      </c>
      <c r="D82" s="2" t="str">
        <f>VLOOKUP($C82,'[10]for slip'!$F:$BC,3,0)</f>
        <v>Pelaksana</v>
      </c>
      <c r="E82" s="2" t="str">
        <f>VLOOKUP($C82,'[10]for slip'!$F:$BC,4,0)</f>
        <v>Prod. Stamping</v>
      </c>
      <c r="F82" s="2">
        <f>VLOOKUP($C82,'[10]for slip'!$F:$BC,14,0)</f>
        <v>5343083</v>
      </c>
      <c r="G82" s="2">
        <f>VLOOKUP($C82,'[10]for slip'!$F:$BC,15,0)</f>
        <v>0</v>
      </c>
      <c r="H82" s="2">
        <f>VLOOKUP($C82,'[10]for slip'!$F:$BC,16,0)</f>
        <v>0</v>
      </c>
      <c r="I82" s="2">
        <f>VLOOKUP($C82,'[10]for slip'!$F:$BC,17,0)</f>
        <v>0</v>
      </c>
      <c r="J82" s="2">
        <f>VLOOKUP($C82,'[10]for slip'!$F:$BC,27,0)</f>
        <v>0</v>
      </c>
      <c r="K82" s="2">
        <f>VLOOKUP($C82,'[10]for slip'!$F:$BC,31,0)</f>
        <v>0</v>
      </c>
      <c r="L82" s="2">
        <f>VLOOKUP($C82,'[10]for slip'!$F:$BC,35,0)</f>
        <v>0</v>
      </c>
      <c r="M82" s="2">
        <f>VLOOKUP($C82,'[10]for slip'!$F:$BC,36,0)</f>
        <v>0</v>
      </c>
      <c r="N82" s="2">
        <f>VLOOKUP($C82,'[10]for slip'!$F:$BC,37,0)</f>
        <v>0</v>
      </c>
      <c r="O82" s="2">
        <f>VLOOKUP($C82,'[10]for slip'!$F:$BC,38,0)</f>
        <v>0</v>
      </c>
      <c r="P82" s="2">
        <f>VLOOKUP($C82,'[10]for slip'!$F:$BC,39,0)</f>
        <v>38000</v>
      </c>
      <c r="Q82" s="2">
        <f>VLOOKUP($C82,'[10]for slip'!$F:$BC,40,0)</f>
        <v>31700</v>
      </c>
      <c r="R82" s="2">
        <f>VLOOKUP($C82,'[10]for slip'!$F:$BC,41,0)</f>
        <v>0</v>
      </c>
      <c r="S82" s="2">
        <f>VLOOKUP($C82,'[10]for slip'!$F:$BC,42,0)</f>
        <v>0</v>
      </c>
      <c r="T82" s="2">
        <f>VLOOKUP($C82,'[10]for slip'!$F:$BC,43,0)</f>
        <v>53430.83</v>
      </c>
      <c r="U82" s="2">
        <f>VLOOKUP($C82,'[10]for slip'!$F:$BC,44,0)</f>
        <v>106861.66</v>
      </c>
      <c r="V82" s="2">
        <f>VLOOKUP($C82,'[10]for slip'!$F:$BC,45,0)</f>
        <v>53430.83</v>
      </c>
      <c r="W82" s="2">
        <f>VLOOKUP($C82,'[10]for slip'!$F:$BC,48,0)</f>
        <v>0</v>
      </c>
    </row>
    <row r="83" spans="1:23" x14ac:dyDescent="0.25">
      <c r="A83" s="1">
        <v>82</v>
      </c>
      <c r="B83" s="2" t="s">
        <v>185</v>
      </c>
      <c r="C83" s="2" t="s">
        <v>186</v>
      </c>
      <c r="D83" s="2" t="str">
        <f>VLOOKUP($C83,'[10]for slip'!$F:$BC,3,0)</f>
        <v>Pelaksana</v>
      </c>
      <c r="E83" s="2" t="str">
        <f>VLOOKUP($C83,'[10]for slip'!$F:$BC,4,0)</f>
        <v>Prod. Stamping</v>
      </c>
      <c r="F83" s="2">
        <f>VLOOKUP($C83,'[10]for slip'!$F:$BC,14,0)</f>
        <v>5343083</v>
      </c>
      <c r="G83" s="2">
        <f>VLOOKUP($C83,'[10]for slip'!$F:$BC,15,0)</f>
        <v>0</v>
      </c>
      <c r="H83" s="2">
        <f>VLOOKUP($C83,'[10]for slip'!$F:$BC,16,0)</f>
        <v>0</v>
      </c>
      <c r="I83" s="2">
        <f>VLOOKUP($C83,'[10]for slip'!$F:$BC,17,0)</f>
        <v>0</v>
      </c>
      <c r="J83" s="2">
        <f>VLOOKUP($C83,'[10]for slip'!$F:$BC,27,0)</f>
        <v>0</v>
      </c>
      <c r="K83" s="2">
        <f>VLOOKUP($C83,'[10]for slip'!$F:$BC,31,0)</f>
        <v>0</v>
      </c>
      <c r="L83" s="2">
        <f>VLOOKUP($C83,'[10]for slip'!$F:$BC,35,0)</f>
        <v>0</v>
      </c>
      <c r="M83" s="2">
        <f>VLOOKUP($C83,'[10]for slip'!$F:$BC,36,0)</f>
        <v>0</v>
      </c>
      <c r="N83" s="2">
        <f>VLOOKUP($C83,'[10]for slip'!$F:$BC,37,0)</f>
        <v>16</v>
      </c>
      <c r="O83" s="2">
        <f>VLOOKUP($C83,'[10]for slip'!$F:$BC,38,0)</f>
        <v>4070920</v>
      </c>
      <c r="P83" s="2">
        <f>VLOOKUP($C83,'[10]for slip'!$F:$BC,39,0)</f>
        <v>38000</v>
      </c>
      <c r="Q83" s="2">
        <f>VLOOKUP($C83,'[10]for slip'!$F:$BC,40,0)</f>
        <v>0</v>
      </c>
      <c r="R83" s="2">
        <f>VLOOKUP($C83,'[10]for slip'!$F:$BC,41,0)</f>
        <v>0</v>
      </c>
      <c r="S83" s="2">
        <f>VLOOKUP($C83,'[10]for slip'!$F:$BC,42,0)</f>
        <v>10000</v>
      </c>
      <c r="T83" s="2">
        <f>VLOOKUP($C83,'[10]for slip'!$F:$BC,43,0)</f>
        <v>53430.83</v>
      </c>
      <c r="U83" s="2">
        <f>VLOOKUP($C83,'[10]for slip'!$F:$BC,44,0)</f>
        <v>106861.66</v>
      </c>
      <c r="V83" s="2">
        <f>VLOOKUP($C83,'[10]for slip'!$F:$BC,45,0)</f>
        <v>53430.83</v>
      </c>
      <c r="W83" s="2">
        <f>VLOOKUP($C83,'[10]for slip'!$F:$BC,48,0)</f>
        <v>0</v>
      </c>
    </row>
    <row r="84" spans="1:23" x14ac:dyDescent="0.25">
      <c r="A84" s="1">
        <v>83</v>
      </c>
      <c r="B84" s="2" t="s">
        <v>187</v>
      </c>
      <c r="C84" s="2" t="s">
        <v>188</v>
      </c>
      <c r="D84" s="2" t="str">
        <f>VLOOKUP($C84,'[10]for slip'!$F:$BC,3,0)</f>
        <v>Pelaksana</v>
      </c>
      <c r="E84" s="2" t="str">
        <f>VLOOKUP($C84,'[10]for slip'!$F:$BC,4,0)</f>
        <v>Prod. Stamping</v>
      </c>
      <c r="F84" s="2">
        <f>VLOOKUP($C84,'[10]for slip'!$F:$BC,14,0)</f>
        <v>5343083</v>
      </c>
      <c r="G84" s="2">
        <f>VLOOKUP($C84,'[10]for slip'!$F:$BC,15,0)</f>
        <v>0</v>
      </c>
      <c r="H84" s="2">
        <f>VLOOKUP($C84,'[10]for slip'!$F:$BC,16,0)</f>
        <v>0</v>
      </c>
      <c r="I84" s="2">
        <f>VLOOKUP($C84,'[10]for slip'!$F:$BC,17,0)</f>
        <v>0</v>
      </c>
      <c r="J84" s="2">
        <f>VLOOKUP($C84,'[10]for slip'!$F:$BC,27,0)</f>
        <v>0</v>
      </c>
      <c r="K84" s="2">
        <f>VLOOKUP($C84,'[10]for slip'!$F:$BC,31,0)</f>
        <v>0</v>
      </c>
      <c r="L84" s="2">
        <f>VLOOKUP($C84,'[10]for slip'!$F:$BC,35,0)</f>
        <v>15604.584590750002</v>
      </c>
      <c r="M84" s="2">
        <f>VLOOKUP($C84,'[10]for slip'!$F:$BC,36,0)</f>
        <v>0</v>
      </c>
      <c r="N84" s="2">
        <f>VLOOKUP($C84,'[10]for slip'!$F:$BC,37,0)</f>
        <v>0</v>
      </c>
      <c r="O84" s="2">
        <f>VLOOKUP($C84,'[10]for slip'!$F:$BC,38,0)</f>
        <v>0</v>
      </c>
      <c r="P84" s="2">
        <f>VLOOKUP($C84,'[10]for slip'!$F:$BC,39,0)</f>
        <v>38000</v>
      </c>
      <c r="Q84" s="2">
        <f>VLOOKUP($C84,'[10]for slip'!$F:$BC,40,0)</f>
        <v>31700</v>
      </c>
      <c r="R84" s="2">
        <f>VLOOKUP($C84,'[10]for slip'!$F:$BC,41,0)</f>
        <v>0</v>
      </c>
      <c r="S84" s="2">
        <f>VLOOKUP($C84,'[10]for slip'!$F:$BC,42,0)</f>
        <v>0</v>
      </c>
      <c r="T84" s="2">
        <f>VLOOKUP($C84,'[10]for slip'!$F:$BC,43,0)</f>
        <v>53430.83</v>
      </c>
      <c r="U84" s="2">
        <f>VLOOKUP($C84,'[10]for slip'!$F:$BC,44,0)</f>
        <v>106861.66</v>
      </c>
      <c r="V84" s="2">
        <f>VLOOKUP($C84,'[10]for slip'!$F:$BC,45,0)</f>
        <v>53430.83</v>
      </c>
      <c r="W84" s="2">
        <f>VLOOKUP($C84,'[10]for slip'!$F:$BC,48,0)</f>
        <v>15604.584590750002</v>
      </c>
    </row>
    <row r="85" spans="1:23" x14ac:dyDescent="0.25">
      <c r="A85" s="1">
        <v>84</v>
      </c>
      <c r="B85" s="2" t="s">
        <v>189</v>
      </c>
      <c r="C85" s="2" t="s">
        <v>190</v>
      </c>
      <c r="D85" s="2" t="str">
        <f>VLOOKUP($C85,'[10]for slip'!$F:$BC,3,0)</f>
        <v>Pelaksana</v>
      </c>
      <c r="E85" s="2" t="str">
        <f>VLOOKUP($C85,'[10]for slip'!$F:$BC,4,0)</f>
        <v>Prod. Stamping</v>
      </c>
      <c r="F85" s="2">
        <f>VLOOKUP($C85,'[10]for slip'!$F:$BC,14,0)</f>
        <v>5343083</v>
      </c>
      <c r="G85" s="2">
        <f>VLOOKUP($C85,'[10]for slip'!$F:$BC,15,0)</f>
        <v>0</v>
      </c>
      <c r="H85" s="2">
        <f>VLOOKUP($C85,'[10]for slip'!$F:$BC,16,0)</f>
        <v>0</v>
      </c>
      <c r="I85" s="2">
        <f>VLOOKUP($C85,'[10]for slip'!$F:$BC,17,0)</f>
        <v>0</v>
      </c>
      <c r="J85" s="2">
        <f>VLOOKUP($C85,'[10]for slip'!$F:$BC,27,0)</f>
        <v>0</v>
      </c>
      <c r="K85" s="2">
        <f>VLOOKUP($C85,'[10]for slip'!$F:$BC,31,0)</f>
        <v>0</v>
      </c>
      <c r="L85" s="2">
        <f>VLOOKUP($C85,'[10]for slip'!$F:$BC,35,0)</f>
        <v>0</v>
      </c>
      <c r="M85" s="2">
        <f>VLOOKUP($C85,'[10]for slip'!$F:$BC,36,0)</f>
        <v>0</v>
      </c>
      <c r="N85" s="2">
        <f>VLOOKUP($C85,'[10]for slip'!$F:$BC,37,0)</f>
        <v>0</v>
      </c>
      <c r="O85" s="2">
        <f>VLOOKUP($C85,'[10]for slip'!$F:$BC,38,0)</f>
        <v>0</v>
      </c>
      <c r="P85" s="2">
        <f>VLOOKUP($C85,'[10]for slip'!$F:$BC,39,0)</f>
        <v>38000</v>
      </c>
      <c r="Q85" s="2">
        <f>VLOOKUP($C85,'[10]for slip'!$F:$BC,40,0)</f>
        <v>31700</v>
      </c>
      <c r="R85" s="2">
        <f>VLOOKUP($C85,'[10]for slip'!$F:$BC,41,0)</f>
        <v>0</v>
      </c>
      <c r="S85" s="2">
        <f>VLOOKUP($C85,'[10]for slip'!$F:$BC,42,0)</f>
        <v>0</v>
      </c>
      <c r="T85" s="2">
        <f>VLOOKUP($C85,'[10]for slip'!$F:$BC,43,0)</f>
        <v>53430.83</v>
      </c>
      <c r="U85" s="2">
        <f>VLOOKUP($C85,'[10]for slip'!$F:$BC,44,0)</f>
        <v>106861.66</v>
      </c>
      <c r="V85" s="2">
        <f>VLOOKUP($C85,'[10]for slip'!$F:$BC,45,0)</f>
        <v>53430.83</v>
      </c>
      <c r="W85" s="2">
        <f>VLOOKUP($C85,'[10]for slip'!$F:$BC,48,0)</f>
        <v>0</v>
      </c>
    </row>
    <row r="86" spans="1:23" x14ac:dyDescent="0.25">
      <c r="A86" s="1">
        <v>85</v>
      </c>
      <c r="B86" s="2" t="s">
        <v>191</v>
      </c>
      <c r="C86" s="2" t="s">
        <v>192</v>
      </c>
      <c r="D86" s="2" t="str">
        <f>VLOOKUP($C86,'[10]for slip'!$F:$BC,3,0)</f>
        <v>Pelaksana</v>
      </c>
      <c r="E86" s="2" t="str">
        <f>VLOOKUP($C86,'[10]for slip'!$F:$BC,4,0)</f>
        <v>Prod. Stamping</v>
      </c>
      <c r="F86" s="2">
        <f>VLOOKUP($C86,'[10]for slip'!$F:$BC,14,0)</f>
        <v>5343083</v>
      </c>
      <c r="G86" s="2">
        <f>VLOOKUP($C86,'[10]for slip'!$F:$BC,15,0)</f>
        <v>0</v>
      </c>
      <c r="H86" s="2">
        <f>VLOOKUP($C86,'[10]for slip'!$F:$BC,16,0)</f>
        <v>0</v>
      </c>
      <c r="I86" s="2">
        <f>VLOOKUP($C86,'[10]for slip'!$F:$BC,17,0)</f>
        <v>0</v>
      </c>
      <c r="J86" s="2">
        <f>VLOOKUP($C86,'[10]for slip'!$F:$BC,27,0)</f>
        <v>0</v>
      </c>
      <c r="K86" s="2">
        <f>VLOOKUP($C86,'[10]for slip'!$F:$BC,31,0)</f>
        <v>0</v>
      </c>
      <c r="L86" s="2">
        <f>VLOOKUP($C86,'[10]for slip'!$F:$BC,35,0)</f>
        <v>0</v>
      </c>
      <c r="M86" s="2">
        <f>VLOOKUP($C86,'[10]for slip'!$F:$BC,36,0)</f>
        <v>0</v>
      </c>
      <c r="N86" s="2">
        <f>VLOOKUP($C86,'[10]for slip'!$F:$BC,37,0)</f>
        <v>0</v>
      </c>
      <c r="O86" s="2">
        <f>VLOOKUP($C86,'[10]for slip'!$F:$BC,38,0)</f>
        <v>0</v>
      </c>
      <c r="P86" s="2">
        <f>VLOOKUP($C86,'[10]for slip'!$F:$BC,39,0)</f>
        <v>0</v>
      </c>
      <c r="Q86" s="2">
        <f>VLOOKUP($C86,'[10]for slip'!$F:$BC,40,0)</f>
        <v>31700</v>
      </c>
      <c r="R86" s="2">
        <f>VLOOKUP($C86,'[10]for slip'!$F:$BC,41,0)</f>
        <v>0</v>
      </c>
      <c r="S86" s="2">
        <f>VLOOKUP($C86,'[10]for slip'!$F:$BC,42,0)</f>
        <v>10000</v>
      </c>
      <c r="T86" s="2">
        <f>VLOOKUP($C86,'[10]for slip'!$F:$BC,43,0)</f>
        <v>53430.83</v>
      </c>
      <c r="U86" s="2">
        <f>VLOOKUP($C86,'[10]for slip'!$F:$BC,44,0)</f>
        <v>106861.66</v>
      </c>
      <c r="V86" s="2">
        <f>VLOOKUP($C86,'[10]for slip'!$F:$BC,45,0)</f>
        <v>53430.83</v>
      </c>
      <c r="W86" s="2">
        <f>VLOOKUP($C86,'[10]for slip'!$F:$BC,48,0)</f>
        <v>0</v>
      </c>
    </row>
    <row r="87" spans="1:23" x14ac:dyDescent="0.25">
      <c r="A87" s="1">
        <v>86</v>
      </c>
      <c r="B87" s="2" t="s">
        <v>193</v>
      </c>
      <c r="C87" s="2" t="s">
        <v>194</v>
      </c>
      <c r="D87" s="2" t="str">
        <f>VLOOKUP($C87,'[10]for slip'!$F:$BC,3,0)</f>
        <v>Pelaksana</v>
      </c>
      <c r="E87" s="2" t="str">
        <f>VLOOKUP($C87,'[10]for slip'!$F:$BC,4,0)</f>
        <v>Prod. Stamping</v>
      </c>
      <c r="F87" s="2">
        <f>VLOOKUP($C87,'[10]for slip'!$F:$BC,14,0)</f>
        <v>5343083</v>
      </c>
      <c r="G87" s="2">
        <f>VLOOKUP($C87,'[10]for slip'!$F:$BC,15,0)</f>
        <v>0</v>
      </c>
      <c r="H87" s="2">
        <f>VLOOKUP($C87,'[10]for slip'!$F:$BC,16,0)</f>
        <v>0</v>
      </c>
      <c r="I87" s="2">
        <f>VLOOKUP($C87,'[10]for slip'!$F:$BC,17,0)</f>
        <v>0</v>
      </c>
      <c r="J87" s="2">
        <f>VLOOKUP($C87,'[10]for slip'!$F:$BC,27,0)</f>
        <v>0</v>
      </c>
      <c r="K87" s="2">
        <f>VLOOKUP($C87,'[10]for slip'!$F:$BC,31,0)</f>
        <v>0</v>
      </c>
      <c r="L87" s="2">
        <f>VLOOKUP($C87,'[10]for slip'!$F:$BC,35,0)</f>
        <v>0</v>
      </c>
      <c r="M87" s="2">
        <f>VLOOKUP($C87,'[10]for slip'!$F:$BC,36,0)</f>
        <v>0</v>
      </c>
      <c r="N87" s="2">
        <f>VLOOKUP($C87,'[10]for slip'!$F:$BC,37,0)</f>
        <v>0</v>
      </c>
      <c r="O87" s="2">
        <f>VLOOKUP($C87,'[10]for slip'!$F:$BC,38,0)</f>
        <v>0</v>
      </c>
      <c r="P87" s="2">
        <f>VLOOKUP($C87,'[10]for slip'!$F:$BC,39,0)</f>
        <v>38000</v>
      </c>
      <c r="Q87" s="2">
        <f>VLOOKUP($C87,'[10]for slip'!$F:$BC,40,0)</f>
        <v>31700</v>
      </c>
      <c r="R87" s="2">
        <f>VLOOKUP($C87,'[10]for slip'!$F:$BC,41,0)</f>
        <v>0</v>
      </c>
      <c r="S87" s="2">
        <f>VLOOKUP($C87,'[10]for slip'!$F:$BC,42,0)</f>
        <v>0</v>
      </c>
      <c r="T87" s="2">
        <f>VLOOKUP($C87,'[10]for slip'!$F:$BC,43,0)</f>
        <v>53430.83</v>
      </c>
      <c r="U87" s="2">
        <f>VLOOKUP($C87,'[10]for slip'!$F:$BC,44,0)</f>
        <v>106861.66</v>
      </c>
      <c r="V87" s="2">
        <f>VLOOKUP($C87,'[10]for slip'!$F:$BC,45,0)</f>
        <v>53430.83</v>
      </c>
      <c r="W87" s="2">
        <f>VLOOKUP($C87,'[10]for slip'!$F:$BC,48,0)</f>
        <v>0</v>
      </c>
    </row>
    <row r="88" spans="1:23" x14ac:dyDescent="0.25">
      <c r="A88" s="1">
        <v>87</v>
      </c>
      <c r="B88" s="2" t="s">
        <v>195</v>
      </c>
      <c r="C88" s="2" t="s">
        <v>196</v>
      </c>
      <c r="D88" s="2" t="str">
        <f>VLOOKUP($C88,'[10]for slip'!$F:$BC,3,0)</f>
        <v>Pelaksana</v>
      </c>
      <c r="E88" s="2" t="str">
        <f>VLOOKUP($C88,'[10]for slip'!$F:$BC,4,0)</f>
        <v>Prod. Stamping</v>
      </c>
      <c r="F88" s="2">
        <f>VLOOKUP($C88,'[10]for slip'!$F:$BC,14,0)</f>
        <v>5343083</v>
      </c>
      <c r="G88" s="2">
        <f>VLOOKUP($C88,'[10]for slip'!$F:$BC,15,0)</f>
        <v>0</v>
      </c>
      <c r="H88" s="2">
        <f>VLOOKUP($C88,'[10]for slip'!$F:$BC,16,0)</f>
        <v>0</v>
      </c>
      <c r="I88" s="2">
        <f>VLOOKUP($C88,'[10]for slip'!$F:$BC,17,0)</f>
        <v>0</v>
      </c>
      <c r="J88" s="2">
        <f>VLOOKUP($C88,'[10]for slip'!$F:$BC,27,0)</f>
        <v>0</v>
      </c>
      <c r="K88" s="2">
        <f>VLOOKUP($C88,'[10]for slip'!$F:$BC,31,0)</f>
        <v>0</v>
      </c>
      <c r="L88" s="2">
        <f>VLOOKUP($C88,'[10]for slip'!$F:$BC,35,0)</f>
        <v>0</v>
      </c>
      <c r="M88" s="2">
        <f>VLOOKUP($C88,'[10]for slip'!$F:$BC,36,0)</f>
        <v>0</v>
      </c>
      <c r="N88" s="2">
        <f>VLOOKUP($C88,'[10]for slip'!$F:$BC,37,0)</f>
        <v>0</v>
      </c>
      <c r="O88" s="2">
        <f>VLOOKUP($C88,'[10]for slip'!$F:$BC,38,0)</f>
        <v>0</v>
      </c>
      <c r="P88" s="2">
        <f>VLOOKUP($C88,'[10]for slip'!$F:$BC,39,0)</f>
        <v>0</v>
      </c>
      <c r="Q88" s="2">
        <f>VLOOKUP($C88,'[10]for slip'!$F:$BC,40,0)</f>
        <v>31700</v>
      </c>
      <c r="R88" s="2">
        <f>VLOOKUP($C88,'[10]for slip'!$F:$BC,41,0)</f>
        <v>0</v>
      </c>
      <c r="S88" s="2">
        <f>VLOOKUP($C88,'[10]for slip'!$F:$BC,42,0)</f>
        <v>10000</v>
      </c>
      <c r="T88" s="2">
        <f>VLOOKUP($C88,'[10]for slip'!$F:$BC,43,0)</f>
        <v>53430.83</v>
      </c>
      <c r="U88" s="2">
        <f>VLOOKUP($C88,'[10]for slip'!$F:$BC,44,0)</f>
        <v>106861.66</v>
      </c>
      <c r="V88" s="2">
        <f>VLOOKUP($C88,'[10]for slip'!$F:$BC,45,0)</f>
        <v>53430.83</v>
      </c>
      <c r="W88" s="2">
        <f>VLOOKUP($C88,'[10]for slip'!$F:$BC,48,0)</f>
        <v>0</v>
      </c>
    </row>
    <row r="89" spans="1:23" x14ac:dyDescent="0.25">
      <c r="A89" s="1">
        <v>88</v>
      </c>
      <c r="B89" s="2" t="s">
        <v>197</v>
      </c>
      <c r="C89" s="2" t="s">
        <v>198</v>
      </c>
      <c r="D89" s="2" t="str">
        <f>VLOOKUP($C89,'[10]for slip'!$F:$BC,3,0)</f>
        <v>Pelaksana</v>
      </c>
      <c r="E89" s="2" t="str">
        <f>VLOOKUP($C89,'[10]for slip'!$F:$BC,4,0)</f>
        <v>Prod. Stamping</v>
      </c>
      <c r="F89" s="2">
        <f>VLOOKUP($C89,'[10]for slip'!$F:$BC,14,0)</f>
        <v>5343083</v>
      </c>
      <c r="G89" s="2">
        <f>VLOOKUP($C89,'[10]for slip'!$F:$BC,15,0)</f>
        <v>0</v>
      </c>
      <c r="H89" s="2">
        <f>VLOOKUP($C89,'[10]for slip'!$F:$BC,16,0)</f>
        <v>0</v>
      </c>
      <c r="I89" s="2">
        <f>VLOOKUP($C89,'[10]for slip'!$F:$BC,17,0)</f>
        <v>0</v>
      </c>
      <c r="J89" s="2">
        <f>VLOOKUP($C89,'[10]for slip'!$F:$BC,27,0)</f>
        <v>0</v>
      </c>
      <c r="K89" s="2">
        <f>VLOOKUP($C89,'[10]for slip'!$F:$BC,31,0)</f>
        <v>0</v>
      </c>
      <c r="L89" s="2">
        <f>VLOOKUP($C89,'[10]for slip'!$F:$BC,35,0)</f>
        <v>34354.584590750004</v>
      </c>
      <c r="M89" s="2">
        <f>VLOOKUP($C89,'[10]for slip'!$F:$BC,36,0)</f>
        <v>0</v>
      </c>
      <c r="N89" s="2">
        <f>VLOOKUP($C89,'[10]for slip'!$F:$BC,37,0)</f>
        <v>0</v>
      </c>
      <c r="O89" s="2">
        <f>VLOOKUP($C89,'[10]for slip'!$F:$BC,38,0)</f>
        <v>0</v>
      </c>
      <c r="P89" s="2">
        <f>VLOOKUP($C89,'[10]for slip'!$F:$BC,39,0)</f>
        <v>0</v>
      </c>
      <c r="Q89" s="2">
        <f>VLOOKUP($C89,'[10]for slip'!$F:$BC,40,0)</f>
        <v>31700</v>
      </c>
      <c r="R89" s="2">
        <f>VLOOKUP($C89,'[10]for slip'!$F:$BC,41,0)</f>
        <v>0</v>
      </c>
      <c r="S89" s="2">
        <f>VLOOKUP($C89,'[10]for slip'!$F:$BC,42,0)</f>
        <v>10000</v>
      </c>
      <c r="T89" s="2">
        <f>VLOOKUP($C89,'[10]for slip'!$F:$BC,43,0)</f>
        <v>53430.83</v>
      </c>
      <c r="U89" s="2">
        <f>VLOOKUP($C89,'[10]for slip'!$F:$BC,44,0)</f>
        <v>106861.66</v>
      </c>
      <c r="V89" s="2">
        <f>VLOOKUP($C89,'[10]for slip'!$F:$BC,45,0)</f>
        <v>53430.83</v>
      </c>
      <c r="W89" s="2">
        <f>VLOOKUP($C89,'[10]for slip'!$F:$BC,48,0)</f>
        <v>34354.584590750004</v>
      </c>
    </row>
    <row r="90" spans="1:23" x14ac:dyDescent="0.25">
      <c r="A90" s="1">
        <v>89</v>
      </c>
      <c r="B90" s="2" t="s">
        <v>199</v>
      </c>
      <c r="C90" s="2" t="s">
        <v>200</v>
      </c>
      <c r="D90" s="2" t="str">
        <f>VLOOKUP($C90,'[10]for slip'!$F:$BC,3,0)</f>
        <v>Pelaksana</v>
      </c>
      <c r="E90" s="2" t="str">
        <f>VLOOKUP($C90,'[10]for slip'!$F:$BC,4,0)</f>
        <v>Prod. Stamping</v>
      </c>
      <c r="F90" s="2">
        <f>VLOOKUP($C90,'[10]for slip'!$F:$BC,14,0)</f>
        <v>5343083</v>
      </c>
      <c r="G90" s="2">
        <f>VLOOKUP($C90,'[10]for slip'!$F:$BC,15,0)</f>
        <v>0</v>
      </c>
      <c r="H90" s="2">
        <f>VLOOKUP($C90,'[10]for slip'!$F:$BC,16,0)</f>
        <v>0</v>
      </c>
      <c r="I90" s="2">
        <f>VLOOKUP($C90,'[10]for slip'!$F:$BC,17,0)</f>
        <v>0</v>
      </c>
      <c r="J90" s="2">
        <f>VLOOKUP($C90,'[10]for slip'!$F:$BC,27,0)</f>
        <v>0</v>
      </c>
      <c r="K90" s="2">
        <f>VLOOKUP($C90,'[10]for slip'!$F:$BC,31,0)</f>
        <v>0</v>
      </c>
      <c r="L90" s="2">
        <f>VLOOKUP($C90,'[10]for slip'!$F:$BC,35,0)</f>
        <v>0</v>
      </c>
      <c r="M90" s="2">
        <f>VLOOKUP($C90,'[10]for slip'!$F:$BC,36,0)</f>
        <v>0</v>
      </c>
      <c r="N90" s="2">
        <f>VLOOKUP($C90,'[10]for slip'!$F:$BC,37,0)</f>
        <v>0</v>
      </c>
      <c r="O90" s="2">
        <f>VLOOKUP($C90,'[10]for slip'!$F:$BC,38,0)</f>
        <v>0</v>
      </c>
      <c r="P90" s="2">
        <f>VLOOKUP($C90,'[10]for slip'!$F:$BC,39,0)</f>
        <v>38000</v>
      </c>
      <c r="Q90" s="2">
        <f>VLOOKUP($C90,'[10]for slip'!$F:$BC,40,0)</f>
        <v>31700</v>
      </c>
      <c r="R90" s="2">
        <f>VLOOKUP($C90,'[10]for slip'!$F:$BC,41,0)</f>
        <v>0</v>
      </c>
      <c r="S90" s="2">
        <f>VLOOKUP($C90,'[10]for slip'!$F:$BC,42,0)</f>
        <v>0</v>
      </c>
      <c r="T90" s="2">
        <f>VLOOKUP($C90,'[10]for slip'!$F:$BC,43,0)</f>
        <v>53430.83</v>
      </c>
      <c r="U90" s="2">
        <f>VLOOKUP($C90,'[10]for slip'!$F:$BC,44,0)</f>
        <v>106861.66</v>
      </c>
      <c r="V90" s="2">
        <f>VLOOKUP($C90,'[10]for slip'!$F:$BC,45,0)</f>
        <v>53430.83</v>
      </c>
      <c r="W90" s="2">
        <f>VLOOKUP($C90,'[10]for slip'!$F:$BC,48,0)</f>
        <v>0</v>
      </c>
    </row>
    <row r="91" spans="1:23" x14ac:dyDescent="0.25">
      <c r="A91" s="1">
        <v>90</v>
      </c>
      <c r="B91" s="2" t="s">
        <v>201</v>
      </c>
      <c r="C91" s="2" t="s">
        <v>202</v>
      </c>
      <c r="D91" s="2" t="str">
        <f>VLOOKUP($C91,'[10]for slip'!$F:$BC,3,0)</f>
        <v>Pelaksana</v>
      </c>
      <c r="E91" s="2" t="str">
        <f>VLOOKUP($C91,'[10]for slip'!$F:$BC,4,0)</f>
        <v>Prod. Stamping</v>
      </c>
      <c r="F91" s="2">
        <f>VLOOKUP($C91,'[10]for slip'!$F:$BC,14,0)</f>
        <v>5343083</v>
      </c>
      <c r="G91" s="2">
        <f>VLOOKUP($C91,'[10]for slip'!$F:$BC,15,0)</f>
        <v>0</v>
      </c>
      <c r="H91" s="2">
        <f>VLOOKUP($C91,'[10]for slip'!$F:$BC,16,0)</f>
        <v>0</v>
      </c>
      <c r="I91" s="2">
        <f>VLOOKUP($C91,'[10]for slip'!$F:$BC,17,0)</f>
        <v>0</v>
      </c>
      <c r="J91" s="2">
        <f>VLOOKUP($C91,'[10]for slip'!$F:$BC,27,0)</f>
        <v>0</v>
      </c>
      <c r="K91" s="2">
        <f>VLOOKUP($C91,'[10]for slip'!$F:$BC,31,0)</f>
        <v>0</v>
      </c>
      <c r="L91" s="2">
        <f>VLOOKUP($C91,'[10]for slip'!$F:$BC,35,0)</f>
        <v>0</v>
      </c>
      <c r="M91" s="2">
        <f>VLOOKUP($C91,'[10]for slip'!$F:$BC,36,0)</f>
        <v>0</v>
      </c>
      <c r="N91" s="2">
        <f>VLOOKUP($C91,'[10]for slip'!$F:$BC,37,0)</f>
        <v>0</v>
      </c>
      <c r="O91" s="2">
        <f>VLOOKUP($C91,'[10]for slip'!$F:$BC,38,0)</f>
        <v>0</v>
      </c>
      <c r="P91" s="2">
        <f>VLOOKUP($C91,'[10]for slip'!$F:$BC,39,0)</f>
        <v>38000</v>
      </c>
      <c r="Q91" s="2">
        <f>VLOOKUP($C91,'[10]for slip'!$F:$BC,40,0)</f>
        <v>31700</v>
      </c>
      <c r="R91" s="2">
        <f>VLOOKUP($C91,'[10]for slip'!$F:$BC,41,0)</f>
        <v>0</v>
      </c>
      <c r="S91" s="2">
        <f>VLOOKUP($C91,'[10]for slip'!$F:$BC,42,0)</f>
        <v>10000</v>
      </c>
      <c r="T91" s="2">
        <f>VLOOKUP($C91,'[10]for slip'!$F:$BC,43,0)</f>
        <v>53430.83</v>
      </c>
      <c r="U91" s="2">
        <f>VLOOKUP($C91,'[10]for slip'!$F:$BC,44,0)</f>
        <v>106861.66</v>
      </c>
      <c r="V91" s="2">
        <f>VLOOKUP($C91,'[10]for slip'!$F:$BC,45,0)</f>
        <v>53430.83</v>
      </c>
      <c r="W91" s="2">
        <f>VLOOKUP($C91,'[10]for slip'!$F:$BC,48,0)</f>
        <v>0</v>
      </c>
    </row>
    <row r="92" spans="1:23" x14ac:dyDescent="0.25">
      <c r="A92" s="1">
        <v>91</v>
      </c>
      <c r="B92" s="2" t="s">
        <v>203</v>
      </c>
      <c r="C92" s="2" t="s">
        <v>204</v>
      </c>
      <c r="D92" s="2" t="str">
        <f>VLOOKUP($C92,'[10]for slip'!$F:$BC,3,0)</f>
        <v>Pelaksana</v>
      </c>
      <c r="E92" s="2" t="str">
        <f>VLOOKUP($C92,'[10]for slip'!$F:$BC,4,0)</f>
        <v>Prod. Stamping</v>
      </c>
      <c r="F92" s="2">
        <f>VLOOKUP($C92,'[10]for slip'!$F:$BC,14,0)</f>
        <v>5343083</v>
      </c>
      <c r="G92" s="2">
        <f>VLOOKUP($C92,'[10]for slip'!$F:$BC,15,0)</f>
        <v>0</v>
      </c>
      <c r="H92" s="2">
        <f>VLOOKUP($C92,'[10]for slip'!$F:$BC,16,0)</f>
        <v>0</v>
      </c>
      <c r="I92" s="2">
        <f>VLOOKUP($C92,'[10]for slip'!$F:$BC,17,0)</f>
        <v>0</v>
      </c>
      <c r="J92" s="2">
        <f>VLOOKUP($C92,'[10]for slip'!$F:$BC,27,0)</f>
        <v>0</v>
      </c>
      <c r="K92" s="2">
        <f>VLOOKUP($C92,'[10]for slip'!$F:$BC,31,0)</f>
        <v>0</v>
      </c>
      <c r="L92" s="2">
        <f>VLOOKUP($C92,'[10]for slip'!$F:$BC,35,0)</f>
        <v>0</v>
      </c>
      <c r="M92" s="2">
        <f>VLOOKUP($C92,'[10]for slip'!$F:$BC,36,0)</f>
        <v>0</v>
      </c>
      <c r="N92" s="2">
        <f>VLOOKUP($C92,'[10]for slip'!$F:$BC,37,0)</f>
        <v>0</v>
      </c>
      <c r="O92" s="2">
        <f>VLOOKUP($C92,'[10]for slip'!$F:$BC,38,0)</f>
        <v>0</v>
      </c>
      <c r="P92" s="2">
        <f>VLOOKUP($C92,'[10]for slip'!$F:$BC,39,0)</f>
        <v>38000</v>
      </c>
      <c r="Q92" s="2">
        <f>VLOOKUP($C92,'[10]for slip'!$F:$BC,40,0)</f>
        <v>31700</v>
      </c>
      <c r="R92" s="2">
        <f>VLOOKUP($C92,'[10]for slip'!$F:$BC,41,0)</f>
        <v>0</v>
      </c>
      <c r="S92" s="2">
        <f>VLOOKUP($C92,'[10]for slip'!$F:$BC,42,0)</f>
        <v>10000</v>
      </c>
      <c r="T92" s="2">
        <f>VLOOKUP($C92,'[10]for slip'!$F:$BC,43,0)</f>
        <v>53430.83</v>
      </c>
      <c r="U92" s="2">
        <f>VLOOKUP($C92,'[10]for slip'!$F:$BC,44,0)</f>
        <v>106861.66</v>
      </c>
      <c r="V92" s="2">
        <f>VLOOKUP($C92,'[10]for slip'!$F:$BC,45,0)</f>
        <v>53430.83</v>
      </c>
      <c r="W92" s="2">
        <f>VLOOKUP($C92,'[10]for slip'!$F:$BC,48,0)</f>
        <v>0</v>
      </c>
    </row>
    <row r="93" spans="1:23" x14ac:dyDescent="0.25">
      <c r="A93" s="1">
        <v>92</v>
      </c>
      <c r="B93" s="2" t="s">
        <v>205</v>
      </c>
      <c r="C93" s="2" t="s">
        <v>206</v>
      </c>
      <c r="D93" s="2" t="str">
        <f>VLOOKUP($C93,'[10]for slip'!$F:$BC,3,0)</f>
        <v>Pelaksana</v>
      </c>
      <c r="E93" s="2" t="str">
        <f>VLOOKUP($C93,'[10]for slip'!$F:$BC,4,0)</f>
        <v>Prod. Stamping</v>
      </c>
      <c r="F93" s="2">
        <f>VLOOKUP($C93,'[10]for slip'!$F:$BC,14,0)</f>
        <v>5343083</v>
      </c>
      <c r="G93" s="2">
        <f>VLOOKUP($C93,'[10]for slip'!$F:$BC,15,0)</f>
        <v>0</v>
      </c>
      <c r="H93" s="2">
        <f>VLOOKUP($C93,'[10]for slip'!$F:$BC,16,0)</f>
        <v>0</v>
      </c>
      <c r="I93" s="2">
        <f>VLOOKUP($C93,'[10]for slip'!$F:$BC,17,0)</f>
        <v>0</v>
      </c>
      <c r="J93" s="2">
        <f>VLOOKUP($C93,'[10]for slip'!$F:$BC,27,0)</f>
        <v>0</v>
      </c>
      <c r="K93" s="2">
        <f>VLOOKUP($C93,'[10]for slip'!$F:$BC,31,0)</f>
        <v>0</v>
      </c>
      <c r="L93" s="2">
        <f>VLOOKUP($C93,'[10]for slip'!$F:$BC,35,0)</f>
        <v>0</v>
      </c>
      <c r="M93" s="2">
        <f>VLOOKUP($C93,'[10]for slip'!$F:$BC,36,0)</f>
        <v>0</v>
      </c>
      <c r="N93" s="2">
        <f>VLOOKUP($C93,'[10]for slip'!$F:$BC,37,0)</f>
        <v>0</v>
      </c>
      <c r="O93" s="2">
        <f>VLOOKUP($C93,'[10]for slip'!$F:$BC,38,0)</f>
        <v>0</v>
      </c>
      <c r="P93" s="2">
        <f>VLOOKUP($C93,'[10]for slip'!$F:$BC,39,0)</f>
        <v>38000</v>
      </c>
      <c r="Q93" s="2">
        <f>VLOOKUP($C93,'[10]for slip'!$F:$BC,40,0)</f>
        <v>31700</v>
      </c>
      <c r="R93" s="2">
        <f>VLOOKUP($C93,'[10]for slip'!$F:$BC,41,0)</f>
        <v>0</v>
      </c>
      <c r="S93" s="2">
        <f>VLOOKUP($C93,'[10]for slip'!$F:$BC,42,0)</f>
        <v>0</v>
      </c>
      <c r="T93" s="2">
        <f>VLOOKUP($C93,'[10]for slip'!$F:$BC,43,0)</f>
        <v>53430.83</v>
      </c>
      <c r="U93" s="2">
        <f>VLOOKUP($C93,'[10]for slip'!$F:$BC,44,0)</f>
        <v>106861.66</v>
      </c>
      <c r="V93" s="2">
        <f>VLOOKUP($C93,'[10]for slip'!$F:$BC,45,0)</f>
        <v>53430.83</v>
      </c>
      <c r="W93" s="2">
        <f>VLOOKUP($C93,'[10]for slip'!$F:$BC,48,0)</f>
        <v>0</v>
      </c>
    </row>
    <row r="94" spans="1:23" x14ac:dyDescent="0.25">
      <c r="A94" s="1">
        <v>93</v>
      </c>
      <c r="B94" s="2" t="s">
        <v>207</v>
      </c>
      <c r="C94" s="2" t="s">
        <v>208</v>
      </c>
      <c r="D94" s="2" t="str">
        <f>VLOOKUP($C94,'[10]for slip'!$F:$BC,3,0)</f>
        <v>Pelaksana</v>
      </c>
      <c r="E94" s="2" t="str">
        <f>VLOOKUP($C94,'[10]for slip'!$F:$BC,4,0)</f>
        <v>Prod. Stamping</v>
      </c>
      <c r="F94" s="2">
        <f>VLOOKUP($C94,'[10]for slip'!$F:$BC,14,0)</f>
        <v>5343083</v>
      </c>
      <c r="G94" s="2">
        <f>VLOOKUP($C94,'[10]for slip'!$F:$BC,15,0)</f>
        <v>0</v>
      </c>
      <c r="H94" s="2">
        <f>VLOOKUP($C94,'[10]for slip'!$F:$BC,16,0)</f>
        <v>0</v>
      </c>
      <c r="I94" s="2">
        <f>VLOOKUP($C94,'[10]for slip'!$F:$BC,17,0)</f>
        <v>0</v>
      </c>
      <c r="J94" s="2">
        <f>VLOOKUP($C94,'[10]for slip'!$F:$BC,27,0)</f>
        <v>0</v>
      </c>
      <c r="K94" s="2">
        <f>VLOOKUP($C94,'[10]for slip'!$F:$BC,31,0)</f>
        <v>0</v>
      </c>
      <c r="L94" s="2">
        <f>VLOOKUP($C94,'[10]for slip'!$F:$BC,35,0)</f>
        <v>15604.584590750002</v>
      </c>
      <c r="M94" s="2">
        <f>VLOOKUP($C94,'[10]for slip'!$F:$BC,36,0)</f>
        <v>0</v>
      </c>
      <c r="N94" s="2">
        <f>VLOOKUP($C94,'[10]for slip'!$F:$BC,37,0)</f>
        <v>0</v>
      </c>
      <c r="O94" s="2">
        <f>VLOOKUP($C94,'[10]for slip'!$F:$BC,38,0)</f>
        <v>0</v>
      </c>
      <c r="P94" s="2">
        <f>VLOOKUP($C94,'[10]for slip'!$F:$BC,39,0)</f>
        <v>38000</v>
      </c>
      <c r="Q94" s="2">
        <f>VLOOKUP($C94,'[10]for slip'!$F:$BC,40,0)</f>
        <v>31700</v>
      </c>
      <c r="R94" s="2">
        <f>VLOOKUP($C94,'[10]for slip'!$F:$BC,41,0)</f>
        <v>0</v>
      </c>
      <c r="S94" s="2">
        <f>VLOOKUP($C94,'[10]for slip'!$F:$BC,42,0)</f>
        <v>0</v>
      </c>
      <c r="T94" s="2">
        <f>VLOOKUP($C94,'[10]for slip'!$F:$BC,43,0)</f>
        <v>53430.83</v>
      </c>
      <c r="U94" s="2">
        <f>VLOOKUP($C94,'[10]for slip'!$F:$BC,44,0)</f>
        <v>106861.66</v>
      </c>
      <c r="V94" s="2">
        <f>VLOOKUP($C94,'[10]for slip'!$F:$BC,45,0)</f>
        <v>53430.83</v>
      </c>
      <c r="W94" s="2">
        <f>VLOOKUP($C94,'[10]for slip'!$F:$BC,48,0)</f>
        <v>15604.584590750002</v>
      </c>
    </row>
    <row r="95" spans="1:23" x14ac:dyDescent="0.25">
      <c r="A95" s="1">
        <v>94</v>
      </c>
      <c r="B95" s="2" t="s">
        <v>209</v>
      </c>
      <c r="C95" s="2" t="s">
        <v>210</v>
      </c>
      <c r="D95" s="2" t="str">
        <f>VLOOKUP($C95,'[10]for slip'!$F:$BC,3,0)</f>
        <v>Pelaksana</v>
      </c>
      <c r="E95" s="2" t="str">
        <f>VLOOKUP($C95,'[10]for slip'!$F:$BC,4,0)</f>
        <v>Prod. Stamping</v>
      </c>
      <c r="F95" s="2">
        <f>VLOOKUP($C95,'[10]for slip'!$F:$BC,14,0)</f>
        <v>5343083</v>
      </c>
      <c r="G95" s="2">
        <f>VLOOKUP($C95,'[10]for slip'!$F:$BC,15,0)</f>
        <v>0</v>
      </c>
      <c r="H95" s="2">
        <f>VLOOKUP($C95,'[10]for slip'!$F:$BC,16,0)</f>
        <v>0</v>
      </c>
      <c r="I95" s="2">
        <f>VLOOKUP($C95,'[10]for slip'!$F:$BC,17,0)</f>
        <v>0</v>
      </c>
      <c r="J95" s="2">
        <f>VLOOKUP($C95,'[10]for slip'!$F:$BC,27,0)</f>
        <v>0</v>
      </c>
      <c r="K95" s="2">
        <f>VLOOKUP($C95,'[10]for slip'!$F:$BC,31,0)</f>
        <v>0</v>
      </c>
      <c r="L95" s="2">
        <f>VLOOKUP($C95,'[10]for slip'!$F:$BC,35,0)</f>
        <v>0</v>
      </c>
      <c r="M95" s="2">
        <f>VLOOKUP($C95,'[10]for slip'!$F:$BC,36,0)</f>
        <v>0</v>
      </c>
      <c r="N95" s="2">
        <f>VLOOKUP($C95,'[10]for slip'!$F:$BC,37,0)</f>
        <v>16</v>
      </c>
      <c r="O95" s="2">
        <f>VLOOKUP($C95,'[10]for slip'!$F:$BC,38,0)</f>
        <v>4070920</v>
      </c>
      <c r="P95" s="2">
        <f>VLOOKUP($C95,'[10]for slip'!$F:$BC,39,0)</f>
        <v>38000</v>
      </c>
      <c r="Q95" s="2">
        <f>VLOOKUP($C95,'[10]for slip'!$F:$BC,40,0)</f>
        <v>0</v>
      </c>
      <c r="R95" s="2">
        <f>VLOOKUP($C95,'[10]for slip'!$F:$BC,41,0)</f>
        <v>0</v>
      </c>
      <c r="S95" s="2">
        <f>VLOOKUP($C95,'[10]for slip'!$F:$BC,42,0)</f>
        <v>10000</v>
      </c>
      <c r="T95" s="2">
        <f>VLOOKUP($C95,'[10]for slip'!$F:$BC,43,0)</f>
        <v>53430.83</v>
      </c>
      <c r="U95" s="2">
        <f>VLOOKUP($C95,'[10]for slip'!$F:$BC,44,0)</f>
        <v>106861.66</v>
      </c>
      <c r="V95" s="2">
        <f>VLOOKUP($C95,'[10]for slip'!$F:$BC,45,0)</f>
        <v>53430.83</v>
      </c>
      <c r="W95" s="2">
        <f>VLOOKUP($C95,'[10]for slip'!$F:$BC,48,0)</f>
        <v>0</v>
      </c>
    </row>
    <row r="96" spans="1:23" x14ac:dyDescent="0.25">
      <c r="A96" s="1">
        <v>95</v>
      </c>
      <c r="B96" s="2" t="s">
        <v>211</v>
      </c>
      <c r="C96" s="2" t="s">
        <v>212</v>
      </c>
      <c r="D96" s="2" t="str">
        <f>VLOOKUP($C96,'[10]for slip'!$F:$BC,3,0)</f>
        <v>Pelaksana</v>
      </c>
      <c r="E96" s="2" t="str">
        <f>VLOOKUP($C96,'[10]for slip'!$F:$BC,4,0)</f>
        <v>Prod. Stamping</v>
      </c>
      <c r="F96" s="2">
        <f>VLOOKUP($C96,'[10]for slip'!$F:$BC,14,0)</f>
        <v>5343083</v>
      </c>
      <c r="G96" s="2">
        <f>VLOOKUP($C96,'[10]for slip'!$F:$BC,15,0)</f>
        <v>0</v>
      </c>
      <c r="H96" s="2">
        <f>VLOOKUP($C96,'[10]for slip'!$F:$BC,16,0)</f>
        <v>0</v>
      </c>
      <c r="I96" s="2">
        <f>VLOOKUP($C96,'[10]for slip'!$F:$BC,17,0)</f>
        <v>0</v>
      </c>
      <c r="J96" s="2">
        <f>VLOOKUP($C96,'[10]for slip'!$F:$BC,27,0)</f>
        <v>0</v>
      </c>
      <c r="K96" s="2">
        <f>VLOOKUP($C96,'[10]for slip'!$F:$BC,31,0)</f>
        <v>0</v>
      </c>
      <c r="L96" s="2">
        <f>VLOOKUP($C96,'[10]for slip'!$F:$BC,35,0)</f>
        <v>34354.584590750004</v>
      </c>
      <c r="M96" s="2">
        <f>VLOOKUP($C96,'[10]for slip'!$F:$BC,36,0)</f>
        <v>0</v>
      </c>
      <c r="N96" s="2">
        <f>VLOOKUP($C96,'[10]for slip'!$F:$BC,37,0)</f>
        <v>0</v>
      </c>
      <c r="O96" s="2">
        <f>VLOOKUP($C96,'[10]for slip'!$F:$BC,38,0)</f>
        <v>0</v>
      </c>
      <c r="P96" s="2">
        <f>VLOOKUP($C96,'[10]for slip'!$F:$BC,39,0)</f>
        <v>38000</v>
      </c>
      <c r="Q96" s="2">
        <f>VLOOKUP($C96,'[10]for slip'!$F:$BC,40,0)</f>
        <v>31700</v>
      </c>
      <c r="R96" s="2">
        <f>VLOOKUP($C96,'[10]for slip'!$F:$BC,41,0)</f>
        <v>0</v>
      </c>
      <c r="S96" s="2">
        <f>VLOOKUP($C96,'[10]for slip'!$F:$BC,42,0)</f>
        <v>0</v>
      </c>
      <c r="T96" s="2">
        <f>VLOOKUP($C96,'[10]for slip'!$F:$BC,43,0)</f>
        <v>53430.83</v>
      </c>
      <c r="U96" s="2">
        <f>VLOOKUP($C96,'[10]for slip'!$F:$BC,44,0)</f>
        <v>106861.66</v>
      </c>
      <c r="V96" s="2">
        <f>VLOOKUP($C96,'[10]for slip'!$F:$BC,45,0)</f>
        <v>53430.83</v>
      </c>
      <c r="W96" s="2">
        <f>VLOOKUP($C96,'[10]for slip'!$F:$BC,48,0)</f>
        <v>34354.584590750004</v>
      </c>
    </row>
    <row r="97" spans="1:23" x14ac:dyDescent="0.25">
      <c r="A97" s="1">
        <v>96</v>
      </c>
      <c r="B97" s="2" t="s">
        <v>213</v>
      </c>
      <c r="C97" s="2" t="s">
        <v>214</v>
      </c>
      <c r="D97" s="2" t="str">
        <f>VLOOKUP($C97,'[10]for slip'!$F:$BC,3,0)</f>
        <v>Pelaksana</v>
      </c>
      <c r="E97" s="2" t="str">
        <f>VLOOKUP($C97,'[10]for slip'!$F:$BC,4,0)</f>
        <v>Prod. Stamping</v>
      </c>
      <c r="F97" s="2">
        <f>VLOOKUP($C97,'[10]for slip'!$F:$BC,14,0)</f>
        <v>5343083</v>
      </c>
      <c r="G97" s="2">
        <f>VLOOKUP($C97,'[10]for slip'!$F:$BC,15,0)</f>
        <v>0</v>
      </c>
      <c r="H97" s="2">
        <f>VLOOKUP($C97,'[10]for slip'!$F:$BC,16,0)</f>
        <v>0</v>
      </c>
      <c r="I97" s="2">
        <f>VLOOKUP($C97,'[10]for slip'!$F:$BC,17,0)</f>
        <v>0</v>
      </c>
      <c r="J97" s="2">
        <f>VLOOKUP($C97,'[10]for slip'!$F:$BC,27,0)</f>
        <v>0</v>
      </c>
      <c r="K97" s="2">
        <f>VLOOKUP($C97,'[10]for slip'!$F:$BC,31,0)</f>
        <v>0</v>
      </c>
      <c r="L97" s="2">
        <f>VLOOKUP($C97,'[10]for slip'!$F:$BC,35,0)</f>
        <v>15604.584590750002</v>
      </c>
      <c r="M97" s="2">
        <f>VLOOKUP($C97,'[10]for slip'!$F:$BC,36,0)</f>
        <v>0</v>
      </c>
      <c r="N97" s="2">
        <f>VLOOKUP($C97,'[10]for slip'!$F:$BC,37,0)</f>
        <v>0</v>
      </c>
      <c r="O97" s="2">
        <f>VLOOKUP($C97,'[10]for slip'!$F:$BC,38,0)</f>
        <v>0</v>
      </c>
      <c r="P97" s="2">
        <f>VLOOKUP($C97,'[10]for slip'!$F:$BC,39,0)</f>
        <v>38000</v>
      </c>
      <c r="Q97" s="2">
        <f>VLOOKUP($C97,'[10]for slip'!$F:$BC,40,0)</f>
        <v>31700</v>
      </c>
      <c r="R97" s="2">
        <f>VLOOKUP($C97,'[10]for slip'!$F:$BC,41,0)</f>
        <v>0</v>
      </c>
      <c r="S97" s="2">
        <f>VLOOKUP($C97,'[10]for slip'!$F:$BC,42,0)</f>
        <v>0</v>
      </c>
      <c r="T97" s="2">
        <f>VLOOKUP($C97,'[10]for slip'!$F:$BC,43,0)</f>
        <v>53430.83</v>
      </c>
      <c r="U97" s="2">
        <f>VLOOKUP($C97,'[10]for slip'!$F:$BC,44,0)</f>
        <v>106861.66</v>
      </c>
      <c r="V97" s="2">
        <f>VLOOKUP($C97,'[10]for slip'!$F:$BC,45,0)</f>
        <v>53430.83</v>
      </c>
      <c r="W97" s="2">
        <f>VLOOKUP($C97,'[10]for slip'!$F:$BC,48,0)</f>
        <v>15604.584590750002</v>
      </c>
    </row>
    <row r="98" spans="1:23" x14ac:dyDescent="0.25">
      <c r="A98" s="1">
        <v>97</v>
      </c>
      <c r="B98" s="2" t="s">
        <v>215</v>
      </c>
      <c r="C98" s="2" t="s">
        <v>216</v>
      </c>
      <c r="D98" s="2" t="str">
        <f>VLOOKUP($C98,'[10]for slip'!$F:$BC,3,0)</f>
        <v>Pelaksana</v>
      </c>
      <c r="E98" s="2" t="str">
        <f>VLOOKUP($C98,'[10]for slip'!$F:$BC,4,0)</f>
        <v>Prod. Stamping</v>
      </c>
      <c r="F98" s="2">
        <f>VLOOKUP($C98,'[10]for slip'!$F:$BC,14,0)</f>
        <v>5343083</v>
      </c>
      <c r="G98" s="2">
        <f>VLOOKUP($C98,'[10]for slip'!$F:$BC,15,0)</f>
        <v>0</v>
      </c>
      <c r="H98" s="2">
        <f>VLOOKUP($C98,'[10]for slip'!$F:$BC,16,0)</f>
        <v>0</v>
      </c>
      <c r="I98" s="2">
        <f>VLOOKUP($C98,'[10]for slip'!$F:$BC,17,0)</f>
        <v>0</v>
      </c>
      <c r="J98" s="2">
        <f>VLOOKUP($C98,'[10]for slip'!$F:$BC,27,0)</f>
        <v>0</v>
      </c>
      <c r="K98" s="2">
        <f>VLOOKUP($C98,'[10]for slip'!$F:$BC,31,0)</f>
        <v>0</v>
      </c>
      <c r="L98" s="2">
        <f>VLOOKUP($C98,'[10]for slip'!$F:$BC,35,0)</f>
        <v>0</v>
      </c>
      <c r="M98" s="2">
        <f>VLOOKUP($C98,'[10]for slip'!$F:$BC,36,0)</f>
        <v>0</v>
      </c>
      <c r="N98" s="2">
        <f>VLOOKUP($C98,'[10]for slip'!$F:$BC,37,0)</f>
        <v>0</v>
      </c>
      <c r="O98" s="2">
        <f>VLOOKUP($C98,'[10]for slip'!$F:$BC,38,0)</f>
        <v>0</v>
      </c>
      <c r="P98" s="2">
        <f>VLOOKUP($C98,'[10]for slip'!$F:$BC,39,0)</f>
        <v>38000</v>
      </c>
      <c r="Q98" s="2">
        <f>VLOOKUP($C98,'[10]for slip'!$F:$BC,40,0)</f>
        <v>31700</v>
      </c>
      <c r="R98" s="2">
        <f>VLOOKUP($C98,'[10]for slip'!$F:$BC,41,0)</f>
        <v>0</v>
      </c>
      <c r="S98" s="2">
        <f>VLOOKUP($C98,'[10]for slip'!$F:$BC,42,0)</f>
        <v>0</v>
      </c>
      <c r="T98" s="2">
        <f>VLOOKUP($C98,'[10]for slip'!$F:$BC,43,0)</f>
        <v>53430.83</v>
      </c>
      <c r="U98" s="2">
        <f>VLOOKUP($C98,'[10]for slip'!$F:$BC,44,0)</f>
        <v>106861.66</v>
      </c>
      <c r="V98" s="2">
        <f>VLOOKUP($C98,'[10]for slip'!$F:$BC,45,0)</f>
        <v>53430.83</v>
      </c>
      <c r="W98" s="2">
        <f>VLOOKUP($C98,'[10]for slip'!$F:$BC,48,0)</f>
        <v>0</v>
      </c>
    </row>
    <row r="99" spans="1:23" x14ac:dyDescent="0.25">
      <c r="A99" s="1">
        <v>98</v>
      </c>
      <c r="B99" s="2" t="s">
        <v>217</v>
      </c>
      <c r="C99" s="2" t="s">
        <v>218</v>
      </c>
      <c r="D99" s="2" t="str">
        <f>VLOOKUP($C99,'[10]for slip'!$F:$BC,3,0)</f>
        <v>Pelaksana</v>
      </c>
      <c r="E99" s="2" t="str">
        <f>VLOOKUP($C99,'[10]for slip'!$F:$BC,4,0)</f>
        <v>Prod. Stamping</v>
      </c>
      <c r="F99" s="2">
        <f>VLOOKUP($C99,'[10]for slip'!$F:$BC,14,0)</f>
        <v>5343083</v>
      </c>
      <c r="G99" s="2">
        <f>VLOOKUP($C99,'[10]for slip'!$F:$BC,15,0)</f>
        <v>0</v>
      </c>
      <c r="H99" s="2">
        <f>VLOOKUP($C99,'[10]for slip'!$F:$BC,16,0)</f>
        <v>0</v>
      </c>
      <c r="I99" s="2">
        <f>VLOOKUP($C99,'[10]for slip'!$F:$BC,17,0)</f>
        <v>0</v>
      </c>
      <c r="J99" s="2">
        <f>VLOOKUP($C99,'[10]for slip'!$F:$BC,27,0)</f>
        <v>0</v>
      </c>
      <c r="K99" s="2">
        <f>VLOOKUP($C99,'[10]for slip'!$F:$BC,31,0)</f>
        <v>0</v>
      </c>
      <c r="L99" s="2">
        <f>VLOOKUP($C99,'[10]for slip'!$F:$BC,35,0)</f>
        <v>0</v>
      </c>
      <c r="M99" s="2">
        <f>VLOOKUP($C99,'[10]for slip'!$F:$BC,36,0)</f>
        <v>0</v>
      </c>
      <c r="N99" s="2">
        <f>VLOOKUP($C99,'[10]for slip'!$F:$BC,37,0)</f>
        <v>0</v>
      </c>
      <c r="O99" s="2">
        <f>VLOOKUP($C99,'[10]for slip'!$F:$BC,38,0)</f>
        <v>0</v>
      </c>
      <c r="P99" s="2">
        <f>VLOOKUP($C99,'[10]for slip'!$F:$BC,39,0)</f>
        <v>38000</v>
      </c>
      <c r="Q99" s="2">
        <f>VLOOKUP($C99,'[10]for slip'!$F:$BC,40,0)</f>
        <v>31700</v>
      </c>
      <c r="R99" s="2">
        <f>VLOOKUP($C99,'[10]for slip'!$F:$BC,41,0)</f>
        <v>0</v>
      </c>
      <c r="S99" s="2">
        <f>VLOOKUP($C99,'[10]for slip'!$F:$BC,42,0)</f>
        <v>10000</v>
      </c>
      <c r="T99" s="2">
        <f>VLOOKUP($C99,'[10]for slip'!$F:$BC,43,0)</f>
        <v>53430.83</v>
      </c>
      <c r="U99" s="2">
        <f>VLOOKUP($C99,'[10]for slip'!$F:$BC,44,0)</f>
        <v>106861.66</v>
      </c>
      <c r="V99" s="2">
        <f>VLOOKUP($C99,'[10]for slip'!$F:$BC,45,0)</f>
        <v>53430.83</v>
      </c>
      <c r="W99" s="2">
        <f>VLOOKUP($C99,'[10]for slip'!$F:$BC,48,0)</f>
        <v>0</v>
      </c>
    </row>
    <row r="100" spans="1:23" x14ac:dyDescent="0.25">
      <c r="A100" s="1">
        <v>99</v>
      </c>
      <c r="B100" s="2" t="s">
        <v>219</v>
      </c>
      <c r="C100" s="2" t="s">
        <v>220</v>
      </c>
      <c r="D100" s="2" t="str">
        <f>VLOOKUP($C100,'[10]for slip'!$F:$BC,3,0)</f>
        <v>Pelaksana</v>
      </c>
      <c r="E100" s="2" t="str">
        <f>VLOOKUP($C100,'[10]for slip'!$F:$BC,4,0)</f>
        <v>Prod. Stamping</v>
      </c>
      <c r="F100" s="2">
        <f>VLOOKUP($C100,'[10]for slip'!$F:$BC,14,0)</f>
        <v>5343083</v>
      </c>
      <c r="G100" s="2">
        <f>VLOOKUP($C100,'[10]for slip'!$F:$BC,15,0)</f>
        <v>0</v>
      </c>
      <c r="H100" s="2">
        <f>VLOOKUP($C100,'[10]for slip'!$F:$BC,16,0)</f>
        <v>0</v>
      </c>
      <c r="I100" s="2">
        <f>VLOOKUP($C100,'[10]for slip'!$F:$BC,17,0)</f>
        <v>0</v>
      </c>
      <c r="J100" s="2">
        <f>VLOOKUP($C100,'[10]for slip'!$F:$BC,27,0)</f>
        <v>0</v>
      </c>
      <c r="K100" s="2">
        <f>VLOOKUP($C100,'[10]for slip'!$F:$BC,31,0)</f>
        <v>0</v>
      </c>
      <c r="L100" s="2">
        <f>VLOOKUP($C100,'[10]for slip'!$F:$BC,35,0)</f>
        <v>15604.584590750002</v>
      </c>
      <c r="M100" s="2">
        <f>VLOOKUP($C100,'[10]for slip'!$F:$BC,36,0)</f>
        <v>0</v>
      </c>
      <c r="N100" s="2">
        <f>VLOOKUP($C100,'[10]for slip'!$F:$BC,37,0)</f>
        <v>0</v>
      </c>
      <c r="O100" s="2">
        <f>VLOOKUP($C100,'[10]for slip'!$F:$BC,38,0)</f>
        <v>0</v>
      </c>
      <c r="P100" s="2">
        <f>VLOOKUP($C100,'[10]for slip'!$F:$BC,39,0)</f>
        <v>38000</v>
      </c>
      <c r="Q100" s="2">
        <f>VLOOKUP($C100,'[10]for slip'!$F:$BC,40,0)</f>
        <v>31700</v>
      </c>
      <c r="R100" s="2">
        <f>VLOOKUP($C100,'[10]for slip'!$F:$BC,41,0)</f>
        <v>0</v>
      </c>
      <c r="S100" s="2">
        <f>VLOOKUP($C100,'[10]for slip'!$F:$BC,42,0)</f>
        <v>10000</v>
      </c>
      <c r="T100" s="2">
        <f>VLOOKUP($C100,'[10]for slip'!$F:$BC,43,0)</f>
        <v>53430.83</v>
      </c>
      <c r="U100" s="2">
        <f>VLOOKUP($C100,'[10]for slip'!$F:$BC,44,0)</f>
        <v>106861.66</v>
      </c>
      <c r="V100" s="2">
        <f>VLOOKUP($C100,'[10]for slip'!$F:$BC,45,0)</f>
        <v>53430.83</v>
      </c>
      <c r="W100" s="2">
        <f>VLOOKUP($C100,'[10]for slip'!$F:$BC,48,0)</f>
        <v>15604.584590750002</v>
      </c>
    </row>
    <row r="101" spans="1:23" x14ac:dyDescent="0.25">
      <c r="A101" s="1">
        <v>100</v>
      </c>
      <c r="B101" s="2" t="s">
        <v>221</v>
      </c>
      <c r="C101" s="2" t="s">
        <v>222</v>
      </c>
      <c r="D101" s="2" t="str">
        <f>VLOOKUP($C101,'[10]for slip'!$F:$BC,3,0)</f>
        <v>Pelaksana</v>
      </c>
      <c r="E101" s="2" t="str">
        <f>VLOOKUP($C101,'[10]for slip'!$F:$BC,4,0)</f>
        <v>Prod. Stamping</v>
      </c>
      <c r="F101" s="2">
        <f>VLOOKUP($C101,'[10]for slip'!$F:$BC,14,0)</f>
        <v>5343083</v>
      </c>
      <c r="G101" s="2">
        <f>VLOOKUP($C101,'[10]for slip'!$F:$BC,15,0)</f>
        <v>0</v>
      </c>
      <c r="H101" s="2">
        <f>VLOOKUP($C101,'[10]for slip'!$F:$BC,16,0)</f>
        <v>0</v>
      </c>
      <c r="I101" s="2">
        <f>VLOOKUP($C101,'[10]for slip'!$F:$BC,17,0)</f>
        <v>0</v>
      </c>
      <c r="J101" s="2">
        <f>VLOOKUP($C101,'[10]for slip'!$F:$BC,27,0)</f>
        <v>0</v>
      </c>
      <c r="K101" s="2">
        <f>VLOOKUP($C101,'[10]for slip'!$F:$BC,31,0)</f>
        <v>0</v>
      </c>
      <c r="L101" s="2">
        <f>VLOOKUP($C101,'[10]for slip'!$F:$BC,35,0)</f>
        <v>34354.584590750004</v>
      </c>
      <c r="M101" s="2">
        <f>VLOOKUP($C101,'[10]for slip'!$F:$BC,36,0)</f>
        <v>0</v>
      </c>
      <c r="N101" s="2">
        <f>VLOOKUP($C101,'[10]for slip'!$F:$BC,37,0)</f>
        <v>0</v>
      </c>
      <c r="O101" s="2">
        <f>VLOOKUP($C101,'[10]for slip'!$F:$BC,38,0)</f>
        <v>0</v>
      </c>
      <c r="P101" s="2">
        <f>VLOOKUP($C101,'[10]for slip'!$F:$BC,39,0)</f>
        <v>0</v>
      </c>
      <c r="Q101" s="2">
        <f>VLOOKUP($C101,'[10]for slip'!$F:$BC,40,0)</f>
        <v>31700</v>
      </c>
      <c r="R101" s="2">
        <f>VLOOKUP($C101,'[10]for slip'!$F:$BC,41,0)</f>
        <v>0</v>
      </c>
      <c r="S101" s="2">
        <f>VLOOKUP($C101,'[10]for slip'!$F:$BC,42,0)</f>
        <v>10000</v>
      </c>
      <c r="T101" s="2">
        <f>VLOOKUP($C101,'[10]for slip'!$F:$BC,43,0)</f>
        <v>53430.83</v>
      </c>
      <c r="U101" s="2">
        <f>VLOOKUP($C101,'[10]for slip'!$F:$BC,44,0)</f>
        <v>106861.66</v>
      </c>
      <c r="V101" s="2">
        <f>VLOOKUP($C101,'[10]for slip'!$F:$BC,45,0)</f>
        <v>53430.83</v>
      </c>
      <c r="W101" s="2">
        <f>VLOOKUP($C101,'[10]for slip'!$F:$BC,48,0)</f>
        <v>34354.584590750004</v>
      </c>
    </row>
    <row r="102" spans="1:23" x14ac:dyDescent="0.25">
      <c r="A102" s="1">
        <v>101</v>
      </c>
      <c r="B102" s="2" t="s">
        <v>223</v>
      </c>
      <c r="C102" s="2" t="s">
        <v>224</v>
      </c>
      <c r="D102" s="2" t="str">
        <f>VLOOKUP($C102,'[10]for slip'!$F:$BC,3,0)</f>
        <v>Pelaksana</v>
      </c>
      <c r="E102" s="2" t="str">
        <f>VLOOKUP($C102,'[10]for slip'!$F:$BC,4,0)</f>
        <v>Prod. Stamping</v>
      </c>
      <c r="F102" s="2">
        <f>VLOOKUP($C102,'[10]for slip'!$F:$BC,14,0)</f>
        <v>5343083</v>
      </c>
      <c r="G102" s="2">
        <f>VLOOKUP($C102,'[10]for slip'!$F:$BC,15,0)</f>
        <v>0</v>
      </c>
      <c r="H102" s="2">
        <f>VLOOKUP($C102,'[10]for slip'!$F:$BC,16,0)</f>
        <v>0</v>
      </c>
      <c r="I102" s="2">
        <f>VLOOKUP($C102,'[10]for slip'!$F:$BC,17,0)</f>
        <v>0</v>
      </c>
      <c r="J102" s="2">
        <f>VLOOKUP($C102,'[10]for slip'!$F:$BC,27,0)</f>
        <v>0</v>
      </c>
      <c r="K102" s="2">
        <f>VLOOKUP($C102,'[10]for slip'!$F:$BC,31,0)</f>
        <v>0</v>
      </c>
      <c r="L102" s="2">
        <f>VLOOKUP($C102,'[10]for slip'!$F:$BC,35,0)</f>
        <v>34354.584590750004</v>
      </c>
      <c r="M102" s="2">
        <f>VLOOKUP($C102,'[10]for slip'!$F:$BC,36,0)</f>
        <v>0</v>
      </c>
      <c r="N102" s="2">
        <f>VLOOKUP($C102,'[10]for slip'!$F:$BC,37,0)</f>
        <v>0</v>
      </c>
      <c r="O102" s="2">
        <f>VLOOKUP($C102,'[10]for slip'!$F:$BC,38,0)</f>
        <v>0</v>
      </c>
      <c r="P102" s="2">
        <f>VLOOKUP($C102,'[10]for slip'!$F:$BC,39,0)</f>
        <v>38000</v>
      </c>
      <c r="Q102" s="2">
        <f>VLOOKUP($C102,'[10]for slip'!$F:$BC,40,0)</f>
        <v>31700</v>
      </c>
      <c r="R102" s="2">
        <f>VLOOKUP($C102,'[10]for slip'!$F:$BC,41,0)</f>
        <v>0</v>
      </c>
      <c r="S102" s="2">
        <f>VLOOKUP($C102,'[10]for slip'!$F:$BC,42,0)</f>
        <v>10000</v>
      </c>
      <c r="T102" s="2">
        <f>VLOOKUP($C102,'[10]for slip'!$F:$BC,43,0)</f>
        <v>53430.83</v>
      </c>
      <c r="U102" s="2">
        <f>VLOOKUP($C102,'[10]for slip'!$F:$BC,44,0)</f>
        <v>106861.66</v>
      </c>
      <c r="V102" s="2">
        <f>VLOOKUP($C102,'[10]for slip'!$F:$BC,45,0)</f>
        <v>53430.83</v>
      </c>
      <c r="W102" s="2">
        <f>VLOOKUP($C102,'[10]for slip'!$F:$BC,48,0)</f>
        <v>34354.584590750004</v>
      </c>
    </row>
    <row r="103" spans="1:23" x14ac:dyDescent="0.25">
      <c r="A103" s="1">
        <v>102</v>
      </c>
      <c r="B103" s="2" t="s">
        <v>225</v>
      </c>
      <c r="C103" s="2" t="s">
        <v>226</v>
      </c>
      <c r="D103" s="2" t="str">
        <f>VLOOKUP($C103,'[10]for slip'!$F:$BC,3,0)</f>
        <v>Pelaksana</v>
      </c>
      <c r="E103" s="2" t="str">
        <f>VLOOKUP($C103,'[10]for slip'!$F:$BC,4,0)</f>
        <v>Prod. Stamping</v>
      </c>
      <c r="F103" s="2">
        <f>VLOOKUP($C103,'[10]for slip'!$F:$BC,14,0)</f>
        <v>5343083</v>
      </c>
      <c r="G103" s="2">
        <f>VLOOKUP($C103,'[10]for slip'!$F:$BC,15,0)</f>
        <v>0</v>
      </c>
      <c r="H103" s="2">
        <f>VLOOKUP($C103,'[10]for slip'!$F:$BC,16,0)</f>
        <v>0</v>
      </c>
      <c r="I103" s="2">
        <f>VLOOKUP($C103,'[10]for slip'!$F:$BC,17,0)</f>
        <v>0</v>
      </c>
      <c r="J103" s="2">
        <f>VLOOKUP($C103,'[10]for slip'!$F:$BC,27,0)</f>
        <v>0</v>
      </c>
      <c r="K103" s="2">
        <f>VLOOKUP($C103,'[10]for slip'!$F:$BC,31,0)</f>
        <v>0</v>
      </c>
      <c r="L103" s="2">
        <f>VLOOKUP($C103,'[10]for slip'!$F:$BC,35,0)</f>
        <v>15604.584590750002</v>
      </c>
      <c r="M103" s="2">
        <f>VLOOKUP($C103,'[10]for slip'!$F:$BC,36,0)</f>
        <v>0</v>
      </c>
      <c r="N103" s="2">
        <f>VLOOKUP($C103,'[10]for slip'!$F:$BC,37,0)</f>
        <v>0</v>
      </c>
      <c r="O103" s="2">
        <f>VLOOKUP($C103,'[10]for slip'!$F:$BC,38,0)</f>
        <v>0</v>
      </c>
      <c r="P103" s="2">
        <f>VLOOKUP($C103,'[10]for slip'!$F:$BC,39,0)</f>
        <v>0</v>
      </c>
      <c r="Q103" s="2">
        <f>VLOOKUP($C103,'[10]for slip'!$F:$BC,40,0)</f>
        <v>31700</v>
      </c>
      <c r="R103" s="2">
        <f>VLOOKUP($C103,'[10]for slip'!$F:$BC,41,0)</f>
        <v>0</v>
      </c>
      <c r="S103" s="2">
        <f>VLOOKUP($C103,'[10]for slip'!$F:$BC,42,0)</f>
        <v>10000</v>
      </c>
      <c r="T103" s="2">
        <f>VLOOKUP($C103,'[10]for slip'!$F:$BC,43,0)</f>
        <v>53430.83</v>
      </c>
      <c r="U103" s="2">
        <f>VLOOKUP($C103,'[10]for slip'!$F:$BC,44,0)</f>
        <v>106861.66</v>
      </c>
      <c r="V103" s="2">
        <f>VLOOKUP($C103,'[10]for slip'!$F:$BC,45,0)</f>
        <v>53430.83</v>
      </c>
      <c r="W103" s="2">
        <f>VLOOKUP($C103,'[10]for slip'!$F:$BC,48,0)</f>
        <v>15604.584590750002</v>
      </c>
    </row>
    <row r="104" spans="1:23" x14ac:dyDescent="0.25">
      <c r="A104" s="1">
        <v>103</v>
      </c>
      <c r="B104" s="2" t="s">
        <v>227</v>
      </c>
      <c r="C104" s="2" t="s">
        <v>228</v>
      </c>
      <c r="D104" s="2" t="str">
        <f>VLOOKUP($C104,'[10]for slip'!$F:$BC,3,0)</f>
        <v>Pelaksana</v>
      </c>
      <c r="E104" s="2" t="str">
        <f>VLOOKUP($C104,'[10]for slip'!$F:$BC,4,0)</f>
        <v>Prod. Stamping</v>
      </c>
      <c r="F104" s="2">
        <f>VLOOKUP($C104,'[10]for slip'!$F:$BC,14,0)</f>
        <v>5343083</v>
      </c>
      <c r="G104" s="2">
        <f>VLOOKUP($C104,'[10]for slip'!$F:$BC,15,0)</f>
        <v>0</v>
      </c>
      <c r="H104" s="2">
        <f>VLOOKUP($C104,'[10]for slip'!$F:$BC,16,0)</f>
        <v>0</v>
      </c>
      <c r="I104" s="2">
        <f>VLOOKUP($C104,'[10]for slip'!$F:$BC,17,0)</f>
        <v>0</v>
      </c>
      <c r="J104" s="2">
        <f>VLOOKUP($C104,'[10]for slip'!$F:$BC,27,0)</f>
        <v>0</v>
      </c>
      <c r="K104" s="2">
        <f>VLOOKUP($C104,'[10]for slip'!$F:$BC,31,0)</f>
        <v>0</v>
      </c>
      <c r="L104" s="2">
        <f>VLOOKUP($C104,'[10]for slip'!$F:$BC,35,0)</f>
        <v>0</v>
      </c>
      <c r="M104" s="2">
        <f>VLOOKUP($C104,'[10]for slip'!$F:$BC,36,0)</f>
        <v>0</v>
      </c>
      <c r="N104" s="2">
        <f>VLOOKUP($C104,'[10]for slip'!$F:$BC,37,0)</f>
        <v>0</v>
      </c>
      <c r="O104" s="2">
        <f>VLOOKUP($C104,'[10]for slip'!$F:$BC,38,0)</f>
        <v>0</v>
      </c>
      <c r="P104" s="2">
        <f>VLOOKUP($C104,'[10]for slip'!$F:$BC,39,0)</f>
        <v>38000</v>
      </c>
      <c r="Q104" s="2">
        <f>VLOOKUP($C104,'[10]for slip'!$F:$BC,40,0)</f>
        <v>31700</v>
      </c>
      <c r="R104" s="2">
        <f>VLOOKUP($C104,'[10]for slip'!$F:$BC,41,0)</f>
        <v>0</v>
      </c>
      <c r="S104" s="2">
        <f>VLOOKUP($C104,'[10]for slip'!$F:$BC,42,0)</f>
        <v>10000</v>
      </c>
      <c r="T104" s="2">
        <f>VLOOKUP($C104,'[10]for slip'!$F:$BC,43,0)</f>
        <v>53430.83</v>
      </c>
      <c r="U104" s="2">
        <f>VLOOKUP($C104,'[10]for slip'!$F:$BC,44,0)</f>
        <v>106861.66</v>
      </c>
      <c r="V104" s="2">
        <f>VLOOKUP($C104,'[10]for slip'!$F:$BC,45,0)</f>
        <v>53430.83</v>
      </c>
      <c r="W104" s="2">
        <f>VLOOKUP($C104,'[10]for slip'!$F:$BC,48,0)</f>
        <v>0</v>
      </c>
    </row>
    <row r="105" spans="1:23" x14ac:dyDescent="0.25">
      <c r="A105" s="1">
        <v>104</v>
      </c>
      <c r="B105" s="2" t="s">
        <v>229</v>
      </c>
      <c r="C105" s="2" t="s">
        <v>230</v>
      </c>
      <c r="D105" s="2" t="str">
        <f>VLOOKUP($C105,'[10]for slip'!$F:$BC,3,0)</f>
        <v>Pelaksana</v>
      </c>
      <c r="E105" s="2" t="str">
        <f>VLOOKUP($C105,'[10]for slip'!$F:$BC,4,0)</f>
        <v>Prod. Stamping</v>
      </c>
      <c r="F105" s="2">
        <f>VLOOKUP($C105,'[10]for slip'!$F:$BC,14,0)</f>
        <v>5343083</v>
      </c>
      <c r="G105" s="2">
        <f>VLOOKUP($C105,'[10]for slip'!$F:$BC,15,0)</f>
        <v>0</v>
      </c>
      <c r="H105" s="2">
        <f>VLOOKUP($C105,'[10]for slip'!$F:$BC,16,0)</f>
        <v>0</v>
      </c>
      <c r="I105" s="2">
        <f>VLOOKUP($C105,'[10]for slip'!$F:$BC,17,0)</f>
        <v>0</v>
      </c>
      <c r="J105" s="2">
        <f>VLOOKUP($C105,'[10]for slip'!$F:$BC,27,0)</f>
        <v>0</v>
      </c>
      <c r="K105" s="2">
        <f>VLOOKUP($C105,'[10]for slip'!$F:$BC,31,0)</f>
        <v>0</v>
      </c>
      <c r="L105" s="2">
        <f>VLOOKUP($C105,'[10]for slip'!$F:$BC,35,0)</f>
        <v>34354.584590750004</v>
      </c>
      <c r="M105" s="2">
        <f>VLOOKUP($C105,'[10]for slip'!$F:$BC,36,0)</f>
        <v>0</v>
      </c>
      <c r="N105" s="2">
        <f>VLOOKUP($C105,'[10]for slip'!$F:$BC,37,0)</f>
        <v>0</v>
      </c>
      <c r="O105" s="2">
        <f>VLOOKUP($C105,'[10]for slip'!$F:$BC,38,0)</f>
        <v>0</v>
      </c>
      <c r="P105" s="2">
        <f>VLOOKUP($C105,'[10]for slip'!$F:$BC,39,0)</f>
        <v>38000</v>
      </c>
      <c r="Q105" s="2">
        <f>VLOOKUP($C105,'[10]for slip'!$F:$BC,40,0)</f>
        <v>31700</v>
      </c>
      <c r="R105" s="2">
        <f>VLOOKUP($C105,'[10]for slip'!$F:$BC,41,0)</f>
        <v>0</v>
      </c>
      <c r="S105" s="2">
        <f>VLOOKUP($C105,'[10]for slip'!$F:$BC,42,0)</f>
        <v>0</v>
      </c>
      <c r="T105" s="2">
        <f>VLOOKUP($C105,'[10]for slip'!$F:$BC,43,0)</f>
        <v>53430.83</v>
      </c>
      <c r="U105" s="2">
        <f>VLOOKUP($C105,'[10]for slip'!$F:$BC,44,0)</f>
        <v>106861.66</v>
      </c>
      <c r="V105" s="2">
        <f>VLOOKUP($C105,'[10]for slip'!$F:$BC,45,0)</f>
        <v>53430.83</v>
      </c>
      <c r="W105" s="2">
        <f>VLOOKUP($C105,'[10]for slip'!$F:$BC,48,0)</f>
        <v>34354.584590750004</v>
      </c>
    </row>
    <row r="106" spans="1:23" x14ac:dyDescent="0.25">
      <c r="A106" s="1">
        <v>105</v>
      </c>
      <c r="B106" s="2" t="s">
        <v>231</v>
      </c>
      <c r="C106" s="2" t="s">
        <v>232</v>
      </c>
      <c r="D106" s="2" t="str">
        <f>VLOOKUP($C106,'[10]for slip'!$F:$BC,3,0)</f>
        <v>Pelaksana</v>
      </c>
      <c r="E106" s="2" t="str">
        <f>VLOOKUP($C106,'[10]for slip'!$F:$BC,4,0)</f>
        <v>Prod. Stamping</v>
      </c>
      <c r="F106" s="2">
        <f>VLOOKUP($C106,'[10]for slip'!$F:$BC,14,0)</f>
        <v>5343083</v>
      </c>
      <c r="G106" s="2">
        <f>VLOOKUP($C106,'[10]for slip'!$F:$BC,15,0)</f>
        <v>0</v>
      </c>
      <c r="H106" s="2">
        <f>VLOOKUP($C106,'[10]for slip'!$F:$BC,16,0)</f>
        <v>0</v>
      </c>
      <c r="I106" s="2">
        <f>VLOOKUP($C106,'[10]for slip'!$F:$BC,17,0)</f>
        <v>0</v>
      </c>
      <c r="J106" s="2">
        <f>VLOOKUP($C106,'[10]for slip'!$F:$BC,27,0)</f>
        <v>0</v>
      </c>
      <c r="K106" s="2">
        <f>VLOOKUP($C106,'[10]for slip'!$F:$BC,31,0)</f>
        <v>0</v>
      </c>
      <c r="L106" s="2">
        <f>VLOOKUP($C106,'[10]for slip'!$F:$BC,35,0)</f>
        <v>0</v>
      </c>
      <c r="M106" s="2">
        <f>VLOOKUP($C106,'[10]for slip'!$F:$BC,36,0)</f>
        <v>0</v>
      </c>
      <c r="N106" s="2">
        <f>VLOOKUP($C106,'[10]for slip'!$F:$BC,37,0)</f>
        <v>0</v>
      </c>
      <c r="O106" s="2">
        <f>VLOOKUP($C106,'[10]for slip'!$F:$BC,38,0)</f>
        <v>0</v>
      </c>
      <c r="P106" s="2">
        <f>VLOOKUP($C106,'[10]for slip'!$F:$BC,39,0)</f>
        <v>38000</v>
      </c>
      <c r="Q106" s="2">
        <f>VLOOKUP($C106,'[10]for slip'!$F:$BC,40,0)</f>
        <v>31700</v>
      </c>
      <c r="R106" s="2">
        <f>VLOOKUP($C106,'[10]for slip'!$F:$BC,41,0)</f>
        <v>0</v>
      </c>
      <c r="S106" s="2">
        <f>VLOOKUP($C106,'[10]for slip'!$F:$BC,42,0)</f>
        <v>0</v>
      </c>
      <c r="T106" s="2">
        <f>VLOOKUP($C106,'[10]for slip'!$F:$BC,43,0)</f>
        <v>53430.83</v>
      </c>
      <c r="U106" s="2">
        <f>VLOOKUP($C106,'[10]for slip'!$F:$BC,44,0)</f>
        <v>106861.66</v>
      </c>
      <c r="V106" s="2">
        <f>VLOOKUP($C106,'[10]for slip'!$F:$BC,45,0)</f>
        <v>53430.83</v>
      </c>
      <c r="W106" s="2">
        <f>VLOOKUP($C106,'[10]for slip'!$F:$BC,48,0)</f>
        <v>0</v>
      </c>
    </row>
    <row r="107" spans="1:23" x14ac:dyDescent="0.25">
      <c r="A107" s="1">
        <v>106</v>
      </c>
      <c r="B107" s="2" t="s">
        <v>233</v>
      </c>
      <c r="C107" s="2" t="s">
        <v>234</v>
      </c>
      <c r="D107" s="2" t="str">
        <f>VLOOKUP($C107,'[10]for slip'!$F:$BC,3,0)</f>
        <v>Pelaksana</v>
      </c>
      <c r="E107" s="2" t="str">
        <f>VLOOKUP($C107,'[10]for slip'!$F:$BC,4,0)</f>
        <v>Prod. Stamping</v>
      </c>
      <c r="F107" s="2">
        <f>VLOOKUP($C107,'[10]for slip'!$F:$BC,14,0)</f>
        <v>5343083</v>
      </c>
      <c r="G107" s="2">
        <f>VLOOKUP($C107,'[10]for slip'!$F:$BC,15,0)</f>
        <v>0</v>
      </c>
      <c r="H107" s="2">
        <f>VLOOKUP($C107,'[10]for slip'!$F:$BC,16,0)</f>
        <v>0</v>
      </c>
      <c r="I107" s="2">
        <f>VLOOKUP($C107,'[10]for slip'!$F:$BC,17,0)</f>
        <v>0</v>
      </c>
      <c r="J107" s="2">
        <f>VLOOKUP($C107,'[10]for slip'!$F:$BC,27,0)</f>
        <v>0</v>
      </c>
      <c r="K107" s="2">
        <f>VLOOKUP($C107,'[10]for slip'!$F:$BC,31,0)</f>
        <v>0</v>
      </c>
      <c r="L107" s="2">
        <f>VLOOKUP($C107,'[10]for slip'!$F:$BC,35,0)</f>
        <v>0</v>
      </c>
      <c r="M107" s="2">
        <f>VLOOKUP($C107,'[10]for slip'!$F:$BC,36,0)</f>
        <v>0</v>
      </c>
      <c r="N107" s="2">
        <f>VLOOKUP($C107,'[10]for slip'!$F:$BC,37,0)</f>
        <v>0</v>
      </c>
      <c r="O107" s="2">
        <f>VLOOKUP($C107,'[10]for slip'!$F:$BC,38,0)</f>
        <v>0</v>
      </c>
      <c r="P107" s="2">
        <f>VLOOKUP($C107,'[10]for slip'!$F:$BC,39,0)</f>
        <v>38000</v>
      </c>
      <c r="Q107" s="2">
        <f>VLOOKUP($C107,'[10]for slip'!$F:$BC,40,0)</f>
        <v>31700</v>
      </c>
      <c r="R107" s="2">
        <f>VLOOKUP($C107,'[10]for slip'!$F:$BC,41,0)</f>
        <v>0</v>
      </c>
      <c r="S107" s="2">
        <f>VLOOKUP($C107,'[10]for slip'!$F:$BC,42,0)</f>
        <v>0</v>
      </c>
      <c r="T107" s="2">
        <f>VLOOKUP($C107,'[10]for slip'!$F:$BC,43,0)</f>
        <v>53430.83</v>
      </c>
      <c r="U107" s="2">
        <f>VLOOKUP($C107,'[10]for slip'!$F:$BC,44,0)</f>
        <v>106861.66</v>
      </c>
      <c r="V107" s="2">
        <f>VLOOKUP($C107,'[10]for slip'!$F:$BC,45,0)</f>
        <v>53430.83</v>
      </c>
      <c r="W107" s="2">
        <f>VLOOKUP($C107,'[10]for slip'!$F:$BC,48,0)</f>
        <v>0</v>
      </c>
    </row>
    <row r="108" spans="1:23" x14ac:dyDescent="0.25">
      <c r="A108" s="1">
        <v>107</v>
      </c>
      <c r="B108" s="2" t="s">
        <v>235</v>
      </c>
      <c r="C108" s="2" t="s">
        <v>236</v>
      </c>
      <c r="D108" s="2" t="str">
        <f>VLOOKUP($C108,'[10]for slip'!$F:$BC,3,0)</f>
        <v>Pelaksana</v>
      </c>
      <c r="E108" s="2" t="str">
        <f>VLOOKUP($C108,'[10]for slip'!$F:$BC,4,0)</f>
        <v>Prod. Stamping</v>
      </c>
      <c r="F108" s="2">
        <f>VLOOKUP($C108,'[10]for slip'!$F:$BC,14,0)</f>
        <v>5343083</v>
      </c>
      <c r="G108" s="2">
        <f>VLOOKUP($C108,'[10]for slip'!$F:$BC,15,0)</f>
        <v>0</v>
      </c>
      <c r="H108" s="2">
        <f>VLOOKUP($C108,'[10]for slip'!$F:$BC,16,0)</f>
        <v>0</v>
      </c>
      <c r="I108" s="2">
        <f>VLOOKUP($C108,'[10]for slip'!$F:$BC,17,0)</f>
        <v>0</v>
      </c>
      <c r="J108" s="2">
        <f>VLOOKUP($C108,'[10]for slip'!$F:$BC,27,0)</f>
        <v>0</v>
      </c>
      <c r="K108" s="2">
        <f>VLOOKUP($C108,'[10]for slip'!$F:$BC,31,0)</f>
        <v>0</v>
      </c>
      <c r="L108" s="2">
        <f>VLOOKUP($C108,'[10]for slip'!$F:$BC,35,0)</f>
        <v>34354.584590750004</v>
      </c>
      <c r="M108" s="2">
        <f>VLOOKUP($C108,'[10]for slip'!$F:$BC,36,0)</f>
        <v>0</v>
      </c>
      <c r="N108" s="2">
        <f>VLOOKUP($C108,'[10]for slip'!$F:$BC,37,0)</f>
        <v>0</v>
      </c>
      <c r="O108" s="2">
        <f>VLOOKUP($C108,'[10]for slip'!$F:$BC,38,0)</f>
        <v>0</v>
      </c>
      <c r="P108" s="2">
        <f>VLOOKUP($C108,'[10]for slip'!$F:$BC,39,0)</f>
        <v>38000</v>
      </c>
      <c r="Q108" s="2">
        <f>VLOOKUP($C108,'[10]for slip'!$F:$BC,40,0)</f>
        <v>31700</v>
      </c>
      <c r="R108" s="2">
        <f>VLOOKUP($C108,'[10]for slip'!$F:$BC,41,0)</f>
        <v>0</v>
      </c>
      <c r="S108" s="2">
        <f>VLOOKUP($C108,'[10]for slip'!$F:$BC,42,0)</f>
        <v>0</v>
      </c>
      <c r="T108" s="2">
        <f>VLOOKUP($C108,'[10]for slip'!$F:$BC,43,0)</f>
        <v>53430.83</v>
      </c>
      <c r="U108" s="2">
        <f>VLOOKUP($C108,'[10]for slip'!$F:$BC,44,0)</f>
        <v>106861.66</v>
      </c>
      <c r="V108" s="2">
        <f>VLOOKUP($C108,'[10]for slip'!$F:$BC,45,0)</f>
        <v>53430.83</v>
      </c>
      <c r="W108" s="2">
        <f>VLOOKUP($C108,'[10]for slip'!$F:$BC,48,0)</f>
        <v>34354.584590750004</v>
      </c>
    </row>
    <row r="109" spans="1:23" x14ac:dyDescent="0.25">
      <c r="A109" s="1">
        <v>108</v>
      </c>
      <c r="B109" s="2" t="s">
        <v>237</v>
      </c>
      <c r="C109" s="2" t="s">
        <v>238</v>
      </c>
      <c r="D109" s="2" t="str">
        <f>VLOOKUP($C109,'[10]for slip'!$F:$BC,3,0)</f>
        <v>Pelaksana</v>
      </c>
      <c r="E109" s="2" t="str">
        <f>VLOOKUP($C109,'[10]for slip'!$F:$BC,4,0)</f>
        <v>Prod. Stamping</v>
      </c>
      <c r="F109" s="2">
        <f>VLOOKUP($C109,'[10]for slip'!$F:$BC,14,0)</f>
        <v>5343083</v>
      </c>
      <c r="G109" s="2">
        <f>VLOOKUP($C109,'[10]for slip'!$F:$BC,15,0)</f>
        <v>0</v>
      </c>
      <c r="H109" s="2">
        <f>VLOOKUP($C109,'[10]for slip'!$F:$BC,16,0)</f>
        <v>0</v>
      </c>
      <c r="I109" s="2">
        <f>VLOOKUP($C109,'[10]for slip'!$F:$BC,17,0)</f>
        <v>0</v>
      </c>
      <c r="J109" s="2">
        <f>VLOOKUP($C109,'[10]for slip'!$F:$BC,27,0)</f>
        <v>0</v>
      </c>
      <c r="K109" s="2">
        <f>VLOOKUP($C109,'[10]for slip'!$F:$BC,31,0)</f>
        <v>0</v>
      </c>
      <c r="L109" s="2">
        <f>VLOOKUP($C109,'[10]for slip'!$F:$BC,35,0)</f>
        <v>34354.584590750004</v>
      </c>
      <c r="M109" s="2">
        <f>VLOOKUP($C109,'[10]for slip'!$F:$BC,36,0)</f>
        <v>0</v>
      </c>
      <c r="N109" s="2">
        <f>VLOOKUP($C109,'[10]for slip'!$F:$BC,37,0)</f>
        <v>0</v>
      </c>
      <c r="O109" s="2">
        <f>VLOOKUP($C109,'[10]for slip'!$F:$BC,38,0)</f>
        <v>0</v>
      </c>
      <c r="P109" s="2">
        <f>VLOOKUP($C109,'[10]for slip'!$F:$BC,39,0)</f>
        <v>38000</v>
      </c>
      <c r="Q109" s="2">
        <f>VLOOKUP($C109,'[10]for slip'!$F:$BC,40,0)</f>
        <v>31700</v>
      </c>
      <c r="R109" s="2">
        <f>VLOOKUP($C109,'[10]for slip'!$F:$BC,41,0)</f>
        <v>0</v>
      </c>
      <c r="S109" s="2">
        <f>VLOOKUP($C109,'[10]for slip'!$F:$BC,42,0)</f>
        <v>0</v>
      </c>
      <c r="T109" s="2">
        <f>VLOOKUP($C109,'[10]for slip'!$F:$BC,43,0)</f>
        <v>53430.83</v>
      </c>
      <c r="U109" s="2">
        <f>VLOOKUP($C109,'[10]for slip'!$F:$BC,44,0)</f>
        <v>106861.66</v>
      </c>
      <c r="V109" s="2">
        <f>VLOOKUP($C109,'[10]for slip'!$F:$BC,45,0)</f>
        <v>53430.83</v>
      </c>
      <c r="W109" s="2">
        <f>VLOOKUP($C109,'[10]for slip'!$F:$BC,48,0)</f>
        <v>34354.584590750004</v>
      </c>
    </row>
    <row r="110" spans="1:23" x14ac:dyDescent="0.25">
      <c r="A110" s="1">
        <v>109</v>
      </c>
      <c r="B110" s="2" t="s">
        <v>239</v>
      </c>
      <c r="C110" s="2" t="s">
        <v>240</v>
      </c>
      <c r="D110" s="2" t="str">
        <f>VLOOKUP($C110,'[10]for slip'!$F:$BC,3,0)</f>
        <v>Pelaksana</v>
      </c>
      <c r="E110" s="2" t="str">
        <f>VLOOKUP($C110,'[10]for slip'!$F:$BC,4,0)</f>
        <v>Prod. Stamping</v>
      </c>
      <c r="F110" s="2">
        <f>VLOOKUP($C110,'[10]for slip'!$F:$BC,14,0)</f>
        <v>5343083</v>
      </c>
      <c r="G110" s="2">
        <f>VLOOKUP($C110,'[10]for slip'!$F:$BC,15,0)</f>
        <v>0</v>
      </c>
      <c r="H110" s="2">
        <f>VLOOKUP($C110,'[10]for slip'!$F:$BC,16,0)</f>
        <v>0</v>
      </c>
      <c r="I110" s="2">
        <f>VLOOKUP($C110,'[10]for slip'!$F:$BC,17,0)</f>
        <v>0</v>
      </c>
      <c r="J110" s="2">
        <f>VLOOKUP($C110,'[10]for slip'!$F:$BC,27,0)</f>
        <v>0</v>
      </c>
      <c r="K110" s="2">
        <f>VLOOKUP($C110,'[10]for slip'!$F:$BC,31,0)</f>
        <v>0</v>
      </c>
      <c r="L110" s="2">
        <f>VLOOKUP($C110,'[10]for slip'!$F:$BC,35,0)</f>
        <v>34354.584590750004</v>
      </c>
      <c r="M110" s="2">
        <f>VLOOKUP($C110,'[10]for slip'!$F:$BC,36,0)</f>
        <v>0</v>
      </c>
      <c r="N110" s="2">
        <f>VLOOKUP($C110,'[10]for slip'!$F:$BC,37,0)</f>
        <v>0</v>
      </c>
      <c r="O110" s="2">
        <f>VLOOKUP($C110,'[10]for slip'!$F:$BC,38,0)</f>
        <v>0</v>
      </c>
      <c r="P110" s="2">
        <f>VLOOKUP($C110,'[10]for slip'!$F:$BC,39,0)</f>
        <v>38000</v>
      </c>
      <c r="Q110" s="2">
        <f>VLOOKUP($C110,'[10]for slip'!$F:$BC,40,0)</f>
        <v>31700</v>
      </c>
      <c r="R110" s="2">
        <f>VLOOKUP($C110,'[10]for slip'!$F:$BC,41,0)</f>
        <v>0</v>
      </c>
      <c r="S110" s="2">
        <f>VLOOKUP($C110,'[10]for slip'!$F:$BC,42,0)</f>
        <v>0</v>
      </c>
      <c r="T110" s="2">
        <f>VLOOKUP($C110,'[10]for slip'!$F:$BC,43,0)</f>
        <v>53430.83</v>
      </c>
      <c r="U110" s="2">
        <f>VLOOKUP($C110,'[10]for slip'!$F:$BC,44,0)</f>
        <v>106861.66</v>
      </c>
      <c r="V110" s="2">
        <f>VLOOKUP($C110,'[10]for slip'!$F:$BC,45,0)</f>
        <v>53430.83</v>
      </c>
      <c r="W110" s="2">
        <f>VLOOKUP($C110,'[10]for slip'!$F:$BC,48,0)</f>
        <v>34354.584590750004</v>
      </c>
    </row>
    <row r="111" spans="1:23" x14ac:dyDescent="0.25">
      <c r="A111" s="1">
        <v>110</v>
      </c>
      <c r="B111" s="2" t="s">
        <v>241</v>
      </c>
      <c r="C111" s="2" t="s">
        <v>242</v>
      </c>
      <c r="D111" s="2" t="str">
        <f>VLOOKUP($C111,'[10]for slip'!$F:$BC,3,0)</f>
        <v>Pelaksana</v>
      </c>
      <c r="E111" s="2" t="str">
        <f>VLOOKUP($C111,'[10]for slip'!$F:$BC,4,0)</f>
        <v>Prod. Stamping</v>
      </c>
      <c r="F111" s="2">
        <f>VLOOKUP($C111,'[10]for slip'!$F:$BC,14,0)</f>
        <v>5343083</v>
      </c>
      <c r="G111" s="2">
        <f>VLOOKUP($C111,'[10]for slip'!$F:$BC,15,0)</f>
        <v>0</v>
      </c>
      <c r="H111" s="2">
        <f>VLOOKUP($C111,'[10]for slip'!$F:$BC,16,0)</f>
        <v>0</v>
      </c>
      <c r="I111" s="2">
        <f>VLOOKUP($C111,'[10]for slip'!$F:$BC,17,0)</f>
        <v>0</v>
      </c>
      <c r="J111" s="2">
        <f>VLOOKUP($C111,'[10]for slip'!$F:$BC,27,0)</f>
        <v>0</v>
      </c>
      <c r="K111" s="2">
        <f>VLOOKUP($C111,'[10]for slip'!$F:$BC,31,0)</f>
        <v>0</v>
      </c>
      <c r="L111" s="2">
        <f>VLOOKUP($C111,'[10]for slip'!$F:$BC,35,0)</f>
        <v>34354.584590750004</v>
      </c>
      <c r="M111" s="2">
        <f>VLOOKUP($C111,'[10]for slip'!$F:$BC,36,0)</f>
        <v>0</v>
      </c>
      <c r="N111" s="2">
        <f>VLOOKUP($C111,'[10]for slip'!$F:$BC,37,0)</f>
        <v>0</v>
      </c>
      <c r="O111" s="2">
        <f>VLOOKUP($C111,'[10]for slip'!$F:$BC,38,0)</f>
        <v>0</v>
      </c>
      <c r="P111" s="2">
        <f>VLOOKUP($C111,'[10]for slip'!$F:$BC,39,0)</f>
        <v>0</v>
      </c>
      <c r="Q111" s="2">
        <f>VLOOKUP($C111,'[10]for slip'!$F:$BC,40,0)</f>
        <v>31700</v>
      </c>
      <c r="R111" s="2">
        <f>VLOOKUP($C111,'[10]for slip'!$F:$BC,41,0)</f>
        <v>0</v>
      </c>
      <c r="S111" s="2">
        <f>VLOOKUP($C111,'[10]for slip'!$F:$BC,42,0)</f>
        <v>0</v>
      </c>
      <c r="T111" s="2">
        <f>VLOOKUP($C111,'[10]for slip'!$F:$BC,43,0)</f>
        <v>53430.83</v>
      </c>
      <c r="U111" s="2">
        <f>VLOOKUP($C111,'[10]for slip'!$F:$BC,44,0)</f>
        <v>106861.66</v>
      </c>
      <c r="V111" s="2">
        <f>VLOOKUP($C111,'[10]for slip'!$F:$BC,45,0)</f>
        <v>53430.83</v>
      </c>
      <c r="W111" s="2">
        <f>VLOOKUP($C111,'[10]for slip'!$F:$BC,48,0)</f>
        <v>34354.584590750004</v>
      </c>
    </row>
    <row r="112" spans="1:23" x14ac:dyDescent="0.25">
      <c r="A112" s="1">
        <v>111</v>
      </c>
      <c r="B112" s="2" t="s">
        <v>243</v>
      </c>
      <c r="C112" s="2" t="s">
        <v>244</v>
      </c>
      <c r="D112" s="2" t="str">
        <f>VLOOKUP($C112,'[10]for slip'!$F:$BC,3,0)</f>
        <v>Pelaksana</v>
      </c>
      <c r="E112" s="2" t="str">
        <f>VLOOKUP($C112,'[10]for slip'!$F:$BC,4,0)</f>
        <v>Prod. Stamping</v>
      </c>
      <c r="F112" s="2">
        <f>VLOOKUP($C112,'[10]for slip'!$F:$BC,14,0)</f>
        <v>5343083</v>
      </c>
      <c r="G112" s="2">
        <f>VLOOKUP($C112,'[10]for slip'!$F:$BC,15,0)</f>
        <v>0</v>
      </c>
      <c r="H112" s="2">
        <f>VLOOKUP($C112,'[10]for slip'!$F:$BC,16,0)</f>
        <v>0</v>
      </c>
      <c r="I112" s="2">
        <f>VLOOKUP($C112,'[10]for slip'!$F:$BC,17,0)</f>
        <v>0</v>
      </c>
      <c r="J112" s="2">
        <f>VLOOKUP($C112,'[10]for slip'!$F:$BC,27,0)</f>
        <v>0</v>
      </c>
      <c r="K112" s="2">
        <f>VLOOKUP($C112,'[10]for slip'!$F:$BC,31,0)</f>
        <v>0</v>
      </c>
      <c r="L112" s="2">
        <f>VLOOKUP($C112,'[10]for slip'!$F:$BC,35,0)</f>
        <v>0</v>
      </c>
      <c r="M112" s="2">
        <f>VLOOKUP($C112,'[10]for slip'!$F:$BC,36,0)</f>
        <v>0</v>
      </c>
      <c r="N112" s="2">
        <f>VLOOKUP($C112,'[10]for slip'!$F:$BC,37,0)</f>
        <v>0</v>
      </c>
      <c r="O112" s="2">
        <f>VLOOKUP($C112,'[10]for slip'!$F:$BC,38,0)</f>
        <v>0</v>
      </c>
      <c r="P112" s="2">
        <f>VLOOKUP($C112,'[10]for slip'!$F:$BC,39,0)</f>
        <v>0</v>
      </c>
      <c r="Q112" s="2">
        <f>VLOOKUP($C112,'[10]for slip'!$F:$BC,40,0)</f>
        <v>31700</v>
      </c>
      <c r="R112" s="2">
        <f>VLOOKUP($C112,'[10]for slip'!$F:$BC,41,0)</f>
        <v>0</v>
      </c>
      <c r="S112" s="2">
        <f>VLOOKUP($C112,'[10]for slip'!$F:$BC,42,0)</f>
        <v>0</v>
      </c>
      <c r="T112" s="2">
        <f>VLOOKUP($C112,'[10]for slip'!$F:$BC,43,0)</f>
        <v>53430.83</v>
      </c>
      <c r="U112" s="2">
        <f>VLOOKUP($C112,'[10]for slip'!$F:$BC,44,0)</f>
        <v>106861.66</v>
      </c>
      <c r="V112" s="2">
        <f>VLOOKUP($C112,'[10]for slip'!$F:$BC,45,0)</f>
        <v>53430.83</v>
      </c>
      <c r="W112" s="2">
        <f>VLOOKUP($C112,'[10]for slip'!$F:$BC,48,0)</f>
        <v>0</v>
      </c>
    </row>
    <row r="113" spans="1:23" x14ac:dyDescent="0.25">
      <c r="A113" s="1">
        <v>112</v>
      </c>
      <c r="B113" s="2" t="s">
        <v>245</v>
      </c>
      <c r="C113" s="2" t="s">
        <v>246</v>
      </c>
      <c r="D113" s="2" t="str">
        <f>VLOOKUP($C113,'[10]for slip'!$F:$BC,3,0)</f>
        <v>Pelaksana</v>
      </c>
      <c r="E113" s="2" t="str">
        <f>VLOOKUP($C113,'[10]for slip'!$F:$BC,4,0)</f>
        <v>Prod. Stamping</v>
      </c>
      <c r="F113" s="2">
        <f>VLOOKUP($C113,'[10]for slip'!$F:$BC,14,0)</f>
        <v>5343083</v>
      </c>
      <c r="G113" s="2">
        <f>VLOOKUP($C113,'[10]for slip'!$F:$BC,15,0)</f>
        <v>0</v>
      </c>
      <c r="H113" s="2">
        <f>VLOOKUP($C113,'[10]for slip'!$F:$BC,16,0)</f>
        <v>0</v>
      </c>
      <c r="I113" s="2">
        <f>VLOOKUP($C113,'[10]for slip'!$F:$BC,17,0)</f>
        <v>0</v>
      </c>
      <c r="J113" s="2">
        <f>VLOOKUP($C113,'[10]for slip'!$F:$BC,27,0)</f>
        <v>0</v>
      </c>
      <c r="K113" s="2">
        <f>VLOOKUP($C113,'[10]for slip'!$F:$BC,31,0)</f>
        <v>0</v>
      </c>
      <c r="L113" s="2">
        <f>VLOOKUP($C113,'[10]for slip'!$F:$BC,35,0)</f>
        <v>15604.584590750002</v>
      </c>
      <c r="M113" s="2">
        <f>VLOOKUP($C113,'[10]for slip'!$F:$BC,36,0)</f>
        <v>0</v>
      </c>
      <c r="N113" s="2">
        <f>VLOOKUP($C113,'[10]for slip'!$F:$BC,37,0)</f>
        <v>0</v>
      </c>
      <c r="O113" s="2">
        <f>VLOOKUP($C113,'[10]for slip'!$F:$BC,38,0)</f>
        <v>0</v>
      </c>
      <c r="P113" s="2">
        <f>VLOOKUP($C113,'[10]for slip'!$F:$BC,39,0)</f>
        <v>38000</v>
      </c>
      <c r="Q113" s="2">
        <f>VLOOKUP($C113,'[10]for slip'!$F:$BC,40,0)</f>
        <v>31700</v>
      </c>
      <c r="R113" s="2">
        <f>VLOOKUP($C113,'[10]for slip'!$F:$BC,41,0)</f>
        <v>0</v>
      </c>
      <c r="S113" s="2">
        <f>VLOOKUP($C113,'[10]for slip'!$F:$BC,42,0)</f>
        <v>0</v>
      </c>
      <c r="T113" s="2">
        <f>VLOOKUP($C113,'[10]for slip'!$F:$BC,43,0)</f>
        <v>53430.83</v>
      </c>
      <c r="U113" s="2">
        <f>VLOOKUP($C113,'[10]for slip'!$F:$BC,44,0)</f>
        <v>106861.66</v>
      </c>
      <c r="V113" s="2">
        <f>VLOOKUP($C113,'[10]for slip'!$F:$BC,45,0)</f>
        <v>53430.83</v>
      </c>
      <c r="W113" s="2">
        <f>VLOOKUP($C113,'[10]for slip'!$F:$BC,48,0)</f>
        <v>15604.584590750002</v>
      </c>
    </row>
    <row r="114" spans="1:23" x14ac:dyDescent="0.25">
      <c r="A114" s="1">
        <v>113</v>
      </c>
      <c r="B114" s="2" t="s">
        <v>247</v>
      </c>
      <c r="C114" s="2" t="s">
        <v>248</v>
      </c>
      <c r="D114" s="2" t="str">
        <f>VLOOKUP($C114,'[10]for slip'!$F:$BC,3,0)</f>
        <v>Pelaksana</v>
      </c>
      <c r="E114" s="2" t="str">
        <f>VLOOKUP($C114,'[10]for slip'!$F:$BC,4,0)</f>
        <v>Prod. Stamping</v>
      </c>
      <c r="F114" s="2">
        <f>VLOOKUP($C114,'[10]for slip'!$F:$BC,14,0)</f>
        <v>5343083</v>
      </c>
      <c r="G114" s="2">
        <f>VLOOKUP($C114,'[10]for slip'!$F:$BC,15,0)</f>
        <v>0</v>
      </c>
      <c r="H114" s="2">
        <f>VLOOKUP($C114,'[10]for slip'!$F:$BC,16,0)</f>
        <v>0</v>
      </c>
      <c r="I114" s="2">
        <f>VLOOKUP($C114,'[10]for slip'!$F:$BC,17,0)</f>
        <v>0</v>
      </c>
      <c r="J114" s="2">
        <f>VLOOKUP($C114,'[10]for slip'!$F:$BC,27,0)</f>
        <v>0</v>
      </c>
      <c r="K114" s="2">
        <f>VLOOKUP($C114,'[10]for slip'!$F:$BC,31,0)</f>
        <v>0</v>
      </c>
      <c r="L114" s="2">
        <f>VLOOKUP($C114,'[10]for slip'!$F:$BC,35,0)</f>
        <v>0</v>
      </c>
      <c r="M114" s="2">
        <f>VLOOKUP($C114,'[10]for slip'!$F:$BC,36,0)</f>
        <v>0</v>
      </c>
      <c r="N114" s="2">
        <f>VLOOKUP($C114,'[10]for slip'!$F:$BC,37,0)</f>
        <v>0</v>
      </c>
      <c r="O114" s="2">
        <f>VLOOKUP($C114,'[10]for slip'!$F:$BC,38,0)</f>
        <v>0</v>
      </c>
      <c r="P114" s="2">
        <f>VLOOKUP($C114,'[10]for slip'!$F:$BC,39,0)</f>
        <v>0</v>
      </c>
      <c r="Q114" s="2">
        <f>VLOOKUP($C114,'[10]for slip'!$F:$BC,40,0)</f>
        <v>31700</v>
      </c>
      <c r="R114" s="2">
        <f>VLOOKUP($C114,'[10]for slip'!$F:$BC,41,0)</f>
        <v>0</v>
      </c>
      <c r="S114" s="2">
        <f>VLOOKUP($C114,'[10]for slip'!$F:$BC,42,0)</f>
        <v>10000</v>
      </c>
      <c r="T114" s="2">
        <f>VLOOKUP($C114,'[10]for slip'!$F:$BC,43,0)</f>
        <v>53430.83</v>
      </c>
      <c r="U114" s="2">
        <f>VLOOKUP($C114,'[10]for slip'!$F:$BC,44,0)</f>
        <v>106861.66</v>
      </c>
      <c r="V114" s="2">
        <f>VLOOKUP($C114,'[10]for slip'!$F:$BC,45,0)</f>
        <v>53430.83</v>
      </c>
      <c r="W114" s="2">
        <f>VLOOKUP($C114,'[10]for slip'!$F:$BC,48,0)</f>
        <v>0</v>
      </c>
    </row>
    <row r="115" spans="1:23" x14ac:dyDescent="0.25">
      <c r="A115" s="1">
        <v>114</v>
      </c>
      <c r="B115" s="2" t="s">
        <v>249</v>
      </c>
      <c r="C115" s="2" t="s">
        <v>250</v>
      </c>
      <c r="D115" s="2" t="str">
        <f>VLOOKUP($C115,'[10]for slip'!$F:$BC,3,0)</f>
        <v>Pelaksana</v>
      </c>
      <c r="E115" s="2" t="str">
        <f>VLOOKUP($C115,'[10]for slip'!$F:$BC,4,0)</f>
        <v>Prod. Stamping</v>
      </c>
      <c r="F115" s="2">
        <f>VLOOKUP($C115,'[10]for slip'!$F:$BC,14,0)</f>
        <v>5343083</v>
      </c>
      <c r="G115" s="2">
        <f>VLOOKUP($C115,'[10]for slip'!$F:$BC,15,0)</f>
        <v>0</v>
      </c>
      <c r="H115" s="2">
        <f>VLOOKUP($C115,'[10]for slip'!$F:$BC,16,0)</f>
        <v>0</v>
      </c>
      <c r="I115" s="2">
        <f>VLOOKUP($C115,'[10]for slip'!$F:$BC,17,0)</f>
        <v>0</v>
      </c>
      <c r="J115" s="2">
        <f>VLOOKUP($C115,'[10]for slip'!$F:$BC,27,0)</f>
        <v>0</v>
      </c>
      <c r="K115" s="2">
        <f>VLOOKUP($C115,'[10]for slip'!$F:$BC,31,0)</f>
        <v>0</v>
      </c>
      <c r="L115" s="2">
        <f>VLOOKUP($C115,'[10]for slip'!$F:$BC,35,0)</f>
        <v>15604.584590750002</v>
      </c>
      <c r="M115" s="2">
        <f>VLOOKUP($C115,'[10]for slip'!$F:$BC,36,0)</f>
        <v>0</v>
      </c>
      <c r="N115" s="2">
        <f>VLOOKUP($C115,'[10]for slip'!$F:$BC,37,0)</f>
        <v>0</v>
      </c>
      <c r="O115" s="2">
        <f>VLOOKUP($C115,'[10]for slip'!$F:$BC,38,0)</f>
        <v>0</v>
      </c>
      <c r="P115" s="2">
        <f>VLOOKUP($C115,'[10]for slip'!$F:$BC,39,0)</f>
        <v>38000</v>
      </c>
      <c r="Q115" s="2">
        <f>VLOOKUP($C115,'[10]for slip'!$F:$BC,40,0)</f>
        <v>31700</v>
      </c>
      <c r="R115" s="2">
        <f>VLOOKUP($C115,'[10]for slip'!$F:$BC,41,0)</f>
        <v>0</v>
      </c>
      <c r="S115" s="2">
        <f>VLOOKUP($C115,'[10]for slip'!$F:$BC,42,0)</f>
        <v>10000</v>
      </c>
      <c r="T115" s="2">
        <f>VLOOKUP($C115,'[10]for slip'!$F:$BC,43,0)</f>
        <v>53430.83</v>
      </c>
      <c r="U115" s="2">
        <f>VLOOKUP($C115,'[10]for slip'!$F:$BC,44,0)</f>
        <v>106861.66</v>
      </c>
      <c r="V115" s="2">
        <f>VLOOKUP($C115,'[10]for slip'!$F:$BC,45,0)</f>
        <v>53430.83</v>
      </c>
      <c r="W115" s="2">
        <f>VLOOKUP($C115,'[10]for slip'!$F:$BC,48,0)</f>
        <v>15604.584590750002</v>
      </c>
    </row>
    <row r="116" spans="1:23" x14ac:dyDescent="0.25">
      <c r="A116" s="1">
        <v>115</v>
      </c>
      <c r="B116" s="2" t="s">
        <v>251</v>
      </c>
      <c r="C116" s="2" t="s">
        <v>252</v>
      </c>
      <c r="D116" s="2" t="str">
        <f>VLOOKUP($C116,'[10]for slip'!$F:$BC,3,0)</f>
        <v>Pelaksana</v>
      </c>
      <c r="E116" s="2" t="str">
        <f>VLOOKUP($C116,'[10]for slip'!$F:$BC,4,0)</f>
        <v>Prod. Stamping</v>
      </c>
      <c r="F116" s="2">
        <f>VLOOKUP($C116,'[10]for slip'!$F:$BC,14,0)</f>
        <v>5343083</v>
      </c>
      <c r="G116" s="2">
        <f>VLOOKUP($C116,'[10]for slip'!$F:$BC,15,0)</f>
        <v>0</v>
      </c>
      <c r="H116" s="2">
        <f>VLOOKUP($C116,'[10]for slip'!$F:$BC,16,0)</f>
        <v>0</v>
      </c>
      <c r="I116" s="2">
        <f>VLOOKUP($C116,'[10]for slip'!$F:$BC,17,0)</f>
        <v>0</v>
      </c>
      <c r="J116" s="2">
        <f>VLOOKUP($C116,'[10]for slip'!$F:$BC,27,0)</f>
        <v>0</v>
      </c>
      <c r="K116" s="2">
        <f>VLOOKUP($C116,'[10]for slip'!$F:$BC,31,0)</f>
        <v>0</v>
      </c>
      <c r="L116" s="2">
        <f>VLOOKUP($C116,'[10]for slip'!$F:$BC,35,0)</f>
        <v>34354.584590750004</v>
      </c>
      <c r="M116" s="2">
        <f>VLOOKUP($C116,'[10]for slip'!$F:$BC,36,0)</f>
        <v>0</v>
      </c>
      <c r="N116" s="2">
        <f>VLOOKUP($C116,'[10]for slip'!$F:$BC,37,0)</f>
        <v>0</v>
      </c>
      <c r="O116" s="2">
        <f>VLOOKUP($C116,'[10]for slip'!$F:$BC,38,0)</f>
        <v>0</v>
      </c>
      <c r="P116" s="2">
        <f>VLOOKUP($C116,'[10]for slip'!$F:$BC,39,0)</f>
        <v>38000</v>
      </c>
      <c r="Q116" s="2">
        <f>VLOOKUP($C116,'[10]for slip'!$F:$BC,40,0)</f>
        <v>31700</v>
      </c>
      <c r="R116" s="2">
        <f>VLOOKUP($C116,'[10]for slip'!$F:$BC,41,0)</f>
        <v>0</v>
      </c>
      <c r="S116" s="2">
        <f>VLOOKUP($C116,'[10]for slip'!$F:$BC,42,0)</f>
        <v>10000</v>
      </c>
      <c r="T116" s="2">
        <f>VLOOKUP($C116,'[10]for slip'!$F:$BC,43,0)</f>
        <v>53430.83</v>
      </c>
      <c r="U116" s="2">
        <f>VLOOKUP($C116,'[10]for slip'!$F:$BC,44,0)</f>
        <v>106861.66</v>
      </c>
      <c r="V116" s="2">
        <f>VLOOKUP($C116,'[10]for slip'!$F:$BC,45,0)</f>
        <v>53430.83</v>
      </c>
      <c r="W116" s="2">
        <f>VLOOKUP($C116,'[10]for slip'!$F:$BC,48,0)</f>
        <v>34354.584590750004</v>
      </c>
    </row>
    <row r="117" spans="1:23" x14ac:dyDescent="0.25">
      <c r="A117" s="1">
        <v>116</v>
      </c>
      <c r="B117" s="2" t="s">
        <v>253</v>
      </c>
      <c r="C117" s="2" t="s">
        <v>254</v>
      </c>
      <c r="D117" s="2" t="str">
        <f>VLOOKUP($C117,'[10]for slip'!$F:$BC,3,0)</f>
        <v>Pelaksana</v>
      </c>
      <c r="E117" s="2" t="str">
        <f>VLOOKUP($C117,'[10]for slip'!$F:$BC,4,0)</f>
        <v>Prod. Stamping</v>
      </c>
      <c r="F117" s="2">
        <f>VLOOKUP($C117,'[10]for slip'!$F:$BC,14,0)</f>
        <v>5343083</v>
      </c>
      <c r="G117" s="2">
        <f>VLOOKUP($C117,'[10]for slip'!$F:$BC,15,0)</f>
        <v>0</v>
      </c>
      <c r="H117" s="2">
        <f>VLOOKUP($C117,'[10]for slip'!$F:$BC,16,0)</f>
        <v>0</v>
      </c>
      <c r="I117" s="2">
        <f>VLOOKUP($C117,'[10]for slip'!$F:$BC,17,0)</f>
        <v>0</v>
      </c>
      <c r="J117" s="2">
        <f>VLOOKUP($C117,'[10]for slip'!$F:$BC,27,0)</f>
        <v>0</v>
      </c>
      <c r="K117" s="2">
        <f>VLOOKUP($C117,'[10]for slip'!$F:$BC,31,0)</f>
        <v>0</v>
      </c>
      <c r="L117" s="2">
        <f>VLOOKUP($C117,'[10]for slip'!$F:$BC,35,0)</f>
        <v>34354.584590750004</v>
      </c>
      <c r="M117" s="2">
        <f>VLOOKUP($C117,'[10]for slip'!$F:$BC,36,0)</f>
        <v>0</v>
      </c>
      <c r="N117" s="2">
        <f>VLOOKUP($C117,'[10]for slip'!$F:$BC,37,0)</f>
        <v>0</v>
      </c>
      <c r="O117" s="2">
        <f>VLOOKUP($C117,'[10]for slip'!$F:$BC,38,0)</f>
        <v>0</v>
      </c>
      <c r="P117" s="2">
        <f>VLOOKUP($C117,'[10]for slip'!$F:$BC,39,0)</f>
        <v>38000</v>
      </c>
      <c r="Q117" s="2">
        <f>VLOOKUP($C117,'[10]for slip'!$F:$BC,40,0)</f>
        <v>31700</v>
      </c>
      <c r="R117" s="2">
        <f>VLOOKUP($C117,'[10]for slip'!$F:$BC,41,0)</f>
        <v>0</v>
      </c>
      <c r="S117" s="2">
        <f>VLOOKUP($C117,'[10]for slip'!$F:$BC,42,0)</f>
        <v>10000</v>
      </c>
      <c r="T117" s="2">
        <f>VLOOKUP($C117,'[10]for slip'!$F:$BC,43,0)</f>
        <v>53430.83</v>
      </c>
      <c r="U117" s="2">
        <f>VLOOKUP($C117,'[10]for slip'!$F:$BC,44,0)</f>
        <v>106861.66</v>
      </c>
      <c r="V117" s="2">
        <f>VLOOKUP($C117,'[10]for slip'!$F:$BC,45,0)</f>
        <v>53430.83</v>
      </c>
      <c r="W117" s="2">
        <f>VLOOKUP($C117,'[10]for slip'!$F:$BC,48,0)</f>
        <v>34354.584590750004</v>
      </c>
    </row>
    <row r="118" spans="1:23" x14ac:dyDescent="0.25">
      <c r="A118" s="1">
        <v>117</v>
      </c>
      <c r="B118" s="2" t="s">
        <v>255</v>
      </c>
      <c r="C118" s="2" t="s">
        <v>256</v>
      </c>
      <c r="D118" s="2" t="str">
        <f>VLOOKUP($C118,'[10]for slip'!$F:$BC,3,0)</f>
        <v>Pelaksana</v>
      </c>
      <c r="E118" s="2" t="str">
        <f>VLOOKUP($C118,'[10]for slip'!$F:$BC,4,0)</f>
        <v>Prod. Stamping</v>
      </c>
      <c r="F118" s="2">
        <f>VLOOKUP($C118,'[10]for slip'!$F:$BC,14,0)</f>
        <v>5343083</v>
      </c>
      <c r="G118" s="2">
        <f>VLOOKUP($C118,'[10]for slip'!$F:$BC,15,0)</f>
        <v>0</v>
      </c>
      <c r="H118" s="2">
        <f>VLOOKUP($C118,'[10]for slip'!$F:$BC,16,0)</f>
        <v>0</v>
      </c>
      <c r="I118" s="2">
        <f>VLOOKUP($C118,'[10]for slip'!$F:$BC,17,0)</f>
        <v>0</v>
      </c>
      <c r="J118" s="2">
        <f>VLOOKUP($C118,'[10]for slip'!$F:$BC,27,0)</f>
        <v>0</v>
      </c>
      <c r="K118" s="2">
        <f>VLOOKUP($C118,'[10]for slip'!$F:$BC,31,0)</f>
        <v>0</v>
      </c>
      <c r="L118" s="2">
        <f>VLOOKUP($C118,'[10]for slip'!$F:$BC,35,0)</f>
        <v>0</v>
      </c>
      <c r="M118" s="2">
        <f>VLOOKUP($C118,'[10]for slip'!$F:$BC,36,0)</f>
        <v>0</v>
      </c>
      <c r="N118" s="2">
        <f>VLOOKUP($C118,'[10]for slip'!$F:$BC,37,0)</f>
        <v>0</v>
      </c>
      <c r="O118" s="2">
        <f>VLOOKUP($C118,'[10]for slip'!$F:$BC,38,0)</f>
        <v>0</v>
      </c>
      <c r="P118" s="2">
        <f>VLOOKUP($C118,'[10]for slip'!$F:$BC,39,0)</f>
        <v>0</v>
      </c>
      <c r="Q118" s="2">
        <f>VLOOKUP($C118,'[10]for slip'!$F:$BC,40,0)</f>
        <v>31700</v>
      </c>
      <c r="R118" s="2">
        <f>VLOOKUP($C118,'[10]for slip'!$F:$BC,41,0)</f>
        <v>0</v>
      </c>
      <c r="S118" s="2">
        <f>VLOOKUP($C118,'[10]for slip'!$F:$BC,42,0)</f>
        <v>0</v>
      </c>
      <c r="T118" s="2">
        <f>VLOOKUP($C118,'[10]for slip'!$F:$BC,43,0)</f>
        <v>53430.83</v>
      </c>
      <c r="U118" s="2">
        <f>VLOOKUP($C118,'[10]for slip'!$F:$BC,44,0)</f>
        <v>106861.66</v>
      </c>
      <c r="V118" s="2">
        <f>VLOOKUP($C118,'[10]for slip'!$F:$BC,45,0)</f>
        <v>53430.83</v>
      </c>
      <c r="W118" s="2">
        <f>VLOOKUP($C118,'[10]for slip'!$F:$BC,48,0)</f>
        <v>0</v>
      </c>
    </row>
    <row r="119" spans="1:23" x14ac:dyDescent="0.25">
      <c r="A119" s="1">
        <v>118</v>
      </c>
      <c r="B119" s="2" t="s">
        <v>257</v>
      </c>
      <c r="C119" s="2" t="s">
        <v>258</v>
      </c>
      <c r="D119" s="2" t="str">
        <f>VLOOKUP($C119,'[10]for slip'!$F:$BC,3,0)</f>
        <v>Pelaksana</v>
      </c>
      <c r="E119" s="2" t="str">
        <f>VLOOKUP($C119,'[10]for slip'!$F:$BC,4,0)</f>
        <v>Prod. Stamping</v>
      </c>
      <c r="F119" s="2">
        <f>VLOOKUP($C119,'[10]for slip'!$F:$BC,14,0)</f>
        <v>5343083</v>
      </c>
      <c r="G119" s="2">
        <f>VLOOKUP($C119,'[10]for slip'!$F:$BC,15,0)</f>
        <v>0</v>
      </c>
      <c r="H119" s="2">
        <f>VLOOKUP($C119,'[10]for slip'!$F:$BC,16,0)</f>
        <v>0</v>
      </c>
      <c r="I119" s="2">
        <f>VLOOKUP($C119,'[10]for slip'!$F:$BC,17,0)</f>
        <v>0</v>
      </c>
      <c r="J119" s="2">
        <f>VLOOKUP($C119,'[10]for slip'!$F:$BC,27,0)</f>
        <v>0</v>
      </c>
      <c r="K119" s="2">
        <f>VLOOKUP($C119,'[10]for slip'!$F:$BC,31,0)</f>
        <v>0</v>
      </c>
      <c r="L119" s="2">
        <f>VLOOKUP($C119,'[10]for slip'!$F:$BC,35,0)</f>
        <v>15604.584590750002</v>
      </c>
      <c r="M119" s="2">
        <f>VLOOKUP($C119,'[10]for slip'!$F:$BC,36,0)</f>
        <v>0</v>
      </c>
      <c r="N119" s="2">
        <f>VLOOKUP($C119,'[10]for slip'!$F:$BC,37,0)</f>
        <v>0</v>
      </c>
      <c r="O119" s="2">
        <f>VLOOKUP($C119,'[10]for slip'!$F:$BC,38,0)</f>
        <v>0</v>
      </c>
      <c r="P119" s="2">
        <f>VLOOKUP($C119,'[10]for slip'!$F:$BC,39,0)</f>
        <v>38000</v>
      </c>
      <c r="Q119" s="2">
        <f>VLOOKUP($C119,'[10]for slip'!$F:$BC,40,0)</f>
        <v>31700</v>
      </c>
      <c r="R119" s="2">
        <f>VLOOKUP($C119,'[10]for slip'!$F:$BC,41,0)</f>
        <v>0</v>
      </c>
      <c r="S119" s="2">
        <f>VLOOKUP($C119,'[10]for slip'!$F:$BC,42,0)</f>
        <v>10000</v>
      </c>
      <c r="T119" s="2">
        <f>VLOOKUP($C119,'[10]for slip'!$F:$BC,43,0)</f>
        <v>53430.83</v>
      </c>
      <c r="U119" s="2">
        <f>VLOOKUP($C119,'[10]for slip'!$F:$BC,44,0)</f>
        <v>106861.66</v>
      </c>
      <c r="V119" s="2">
        <f>VLOOKUP($C119,'[10]for slip'!$F:$BC,45,0)</f>
        <v>53430.83</v>
      </c>
      <c r="W119" s="2">
        <f>VLOOKUP($C119,'[10]for slip'!$F:$BC,48,0)</f>
        <v>15604.584590750002</v>
      </c>
    </row>
    <row r="120" spans="1:23" x14ac:dyDescent="0.25">
      <c r="A120" s="1">
        <v>119</v>
      </c>
      <c r="B120" s="2" t="s">
        <v>259</v>
      </c>
      <c r="C120" s="2" t="s">
        <v>260</v>
      </c>
      <c r="D120" s="2" t="str">
        <f>VLOOKUP($C120,'[10]for slip'!$F:$BC,3,0)</f>
        <v>Pelaksana</v>
      </c>
      <c r="E120" s="2" t="str">
        <f>VLOOKUP($C120,'[10]for slip'!$F:$BC,4,0)</f>
        <v>Prod. Stamping</v>
      </c>
      <c r="F120" s="2">
        <f>VLOOKUP($C120,'[10]for slip'!$F:$BC,14,0)</f>
        <v>5343083</v>
      </c>
      <c r="G120" s="2">
        <f>VLOOKUP($C120,'[10]for slip'!$F:$BC,15,0)</f>
        <v>0</v>
      </c>
      <c r="H120" s="2">
        <f>VLOOKUP($C120,'[10]for slip'!$F:$BC,16,0)</f>
        <v>0</v>
      </c>
      <c r="I120" s="2">
        <f>VLOOKUP($C120,'[10]for slip'!$F:$BC,17,0)</f>
        <v>0</v>
      </c>
      <c r="J120" s="2">
        <f>VLOOKUP($C120,'[10]for slip'!$F:$BC,27,0)</f>
        <v>0</v>
      </c>
      <c r="K120" s="2">
        <f>VLOOKUP($C120,'[10]for slip'!$F:$BC,31,0)</f>
        <v>0</v>
      </c>
      <c r="L120" s="2">
        <f>VLOOKUP($C120,'[10]for slip'!$F:$BC,35,0)</f>
        <v>34354.584590750004</v>
      </c>
      <c r="M120" s="2">
        <f>VLOOKUP($C120,'[10]for slip'!$F:$BC,36,0)</f>
        <v>0</v>
      </c>
      <c r="N120" s="2">
        <f>VLOOKUP($C120,'[10]for slip'!$F:$BC,37,0)</f>
        <v>0</v>
      </c>
      <c r="O120" s="2">
        <f>VLOOKUP($C120,'[10]for slip'!$F:$BC,38,0)</f>
        <v>0</v>
      </c>
      <c r="P120" s="2">
        <f>VLOOKUP($C120,'[10]for slip'!$F:$BC,39,0)</f>
        <v>0</v>
      </c>
      <c r="Q120" s="2">
        <f>VLOOKUP($C120,'[10]for slip'!$F:$BC,40,0)</f>
        <v>31700</v>
      </c>
      <c r="R120" s="2">
        <f>VLOOKUP($C120,'[10]for slip'!$F:$BC,41,0)</f>
        <v>0</v>
      </c>
      <c r="S120" s="2">
        <f>VLOOKUP($C120,'[10]for slip'!$F:$BC,42,0)</f>
        <v>10000</v>
      </c>
      <c r="T120" s="2">
        <f>VLOOKUP($C120,'[10]for slip'!$F:$BC,43,0)</f>
        <v>53430.83</v>
      </c>
      <c r="U120" s="2">
        <f>VLOOKUP($C120,'[10]for slip'!$F:$BC,44,0)</f>
        <v>106861.66</v>
      </c>
      <c r="V120" s="2">
        <f>VLOOKUP($C120,'[10]for slip'!$F:$BC,45,0)</f>
        <v>53430.83</v>
      </c>
      <c r="W120" s="2">
        <f>VLOOKUP($C120,'[10]for slip'!$F:$BC,48,0)</f>
        <v>34354.584590750004</v>
      </c>
    </row>
    <row r="121" spans="1:23" x14ac:dyDescent="0.25">
      <c r="A121" s="1">
        <v>120</v>
      </c>
      <c r="B121" s="2" t="s">
        <v>261</v>
      </c>
      <c r="C121" s="2" t="s">
        <v>262</v>
      </c>
      <c r="D121" s="2" t="str">
        <f>VLOOKUP($C121,'[10]for slip'!$F:$BC,3,0)</f>
        <v>Pelaksana</v>
      </c>
      <c r="E121" s="2" t="str">
        <f>VLOOKUP($C121,'[10]for slip'!$F:$BC,4,0)</f>
        <v>Prod. Stamping</v>
      </c>
      <c r="F121" s="2">
        <f>VLOOKUP($C121,'[10]for slip'!$F:$BC,14,0)</f>
        <v>5343083</v>
      </c>
      <c r="G121" s="2">
        <f>VLOOKUP($C121,'[10]for slip'!$F:$BC,15,0)</f>
        <v>0</v>
      </c>
      <c r="H121" s="2">
        <f>VLOOKUP($C121,'[10]for slip'!$F:$BC,16,0)</f>
        <v>0</v>
      </c>
      <c r="I121" s="2">
        <f>VLOOKUP($C121,'[10]for slip'!$F:$BC,17,0)</f>
        <v>0</v>
      </c>
      <c r="J121" s="2">
        <f>VLOOKUP($C121,'[10]for slip'!$F:$BC,27,0)</f>
        <v>0</v>
      </c>
      <c r="K121" s="2">
        <f>VLOOKUP($C121,'[10]for slip'!$F:$BC,31,0)</f>
        <v>0</v>
      </c>
      <c r="L121" s="2">
        <f>VLOOKUP($C121,'[10]for slip'!$F:$BC,35,0)</f>
        <v>34354.584590750004</v>
      </c>
      <c r="M121" s="2">
        <f>VLOOKUP($C121,'[10]for slip'!$F:$BC,36,0)</f>
        <v>0</v>
      </c>
      <c r="N121" s="2">
        <f>VLOOKUP($C121,'[10]for slip'!$F:$BC,37,0)</f>
        <v>0</v>
      </c>
      <c r="O121" s="2">
        <f>VLOOKUP($C121,'[10]for slip'!$F:$BC,38,0)</f>
        <v>0</v>
      </c>
      <c r="P121" s="2">
        <f>VLOOKUP($C121,'[10]for slip'!$F:$BC,39,0)</f>
        <v>38000</v>
      </c>
      <c r="Q121" s="2">
        <f>VLOOKUP($C121,'[10]for slip'!$F:$BC,40,0)</f>
        <v>31700</v>
      </c>
      <c r="R121" s="2">
        <f>VLOOKUP($C121,'[10]for slip'!$F:$BC,41,0)</f>
        <v>0</v>
      </c>
      <c r="S121" s="2">
        <f>VLOOKUP($C121,'[10]for slip'!$F:$BC,42,0)</f>
        <v>10000</v>
      </c>
      <c r="T121" s="2">
        <f>VLOOKUP($C121,'[10]for slip'!$F:$BC,43,0)</f>
        <v>53430.83</v>
      </c>
      <c r="U121" s="2">
        <f>VLOOKUP($C121,'[10]for slip'!$F:$BC,44,0)</f>
        <v>106861.66</v>
      </c>
      <c r="V121" s="2">
        <f>VLOOKUP($C121,'[10]for slip'!$F:$BC,45,0)</f>
        <v>53430.83</v>
      </c>
      <c r="W121" s="2">
        <f>VLOOKUP($C121,'[10]for slip'!$F:$BC,48,0)</f>
        <v>34354.584590750004</v>
      </c>
    </row>
    <row r="122" spans="1:23" x14ac:dyDescent="0.25">
      <c r="A122" s="1">
        <v>121</v>
      </c>
      <c r="B122" s="2" t="s">
        <v>263</v>
      </c>
      <c r="C122" s="2" t="s">
        <v>264</v>
      </c>
      <c r="D122" s="2" t="str">
        <f>VLOOKUP($C122,'[10]for slip'!$F:$BC,3,0)</f>
        <v>Pelaksana</v>
      </c>
      <c r="E122" s="2" t="str">
        <f>VLOOKUP($C122,'[10]for slip'!$F:$BC,4,0)</f>
        <v>Prod. Stamping</v>
      </c>
      <c r="F122" s="2">
        <f>VLOOKUP($C122,'[10]for slip'!$F:$BC,14,0)</f>
        <v>5343083</v>
      </c>
      <c r="G122" s="2">
        <f>VLOOKUP($C122,'[10]for slip'!$F:$BC,15,0)</f>
        <v>0</v>
      </c>
      <c r="H122" s="2">
        <f>VLOOKUP($C122,'[10]for slip'!$F:$BC,16,0)</f>
        <v>0</v>
      </c>
      <c r="I122" s="2">
        <f>VLOOKUP($C122,'[10]for slip'!$F:$BC,17,0)</f>
        <v>0</v>
      </c>
      <c r="J122" s="2">
        <f>VLOOKUP($C122,'[10]for slip'!$F:$BC,27,0)</f>
        <v>0</v>
      </c>
      <c r="K122" s="2">
        <f>VLOOKUP($C122,'[10]for slip'!$F:$BC,31,0)</f>
        <v>0</v>
      </c>
      <c r="L122" s="2">
        <f>VLOOKUP($C122,'[10]for slip'!$F:$BC,35,0)</f>
        <v>34354.584590750004</v>
      </c>
      <c r="M122" s="2">
        <f>VLOOKUP($C122,'[10]for slip'!$F:$BC,36,0)</f>
        <v>0</v>
      </c>
      <c r="N122" s="2">
        <f>VLOOKUP($C122,'[10]for slip'!$F:$BC,37,0)</f>
        <v>0</v>
      </c>
      <c r="O122" s="2">
        <f>VLOOKUP($C122,'[10]for slip'!$F:$BC,38,0)</f>
        <v>0</v>
      </c>
      <c r="P122" s="2">
        <f>VLOOKUP($C122,'[10]for slip'!$F:$BC,39,0)</f>
        <v>38000</v>
      </c>
      <c r="Q122" s="2">
        <f>VLOOKUP($C122,'[10]for slip'!$F:$BC,40,0)</f>
        <v>31700</v>
      </c>
      <c r="R122" s="2">
        <f>VLOOKUP($C122,'[10]for slip'!$F:$BC,41,0)</f>
        <v>0</v>
      </c>
      <c r="S122" s="2">
        <f>VLOOKUP($C122,'[10]for slip'!$F:$BC,42,0)</f>
        <v>0</v>
      </c>
      <c r="T122" s="2">
        <f>VLOOKUP($C122,'[10]for slip'!$F:$BC,43,0)</f>
        <v>53430.83</v>
      </c>
      <c r="U122" s="2">
        <f>VLOOKUP($C122,'[10]for slip'!$F:$BC,44,0)</f>
        <v>106861.66</v>
      </c>
      <c r="V122" s="2">
        <f>VLOOKUP($C122,'[10]for slip'!$F:$BC,45,0)</f>
        <v>53430.83</v>
      </c>
      <c r="W122" s="2">
        <f>VLOOKUP($C122,'[10]for slip'!$F:$BC,48,0)</f>
        <v>34354.584590750004</v>
      </c>
    </row>
    <row r="123" spans="1:23" x14ac:dyDescent="0.25">
      <c r="A123" s="1">
        <v>122</v>
      </c>
      <c r="B123" s="2" t="s">
        <v>265</v>
      </c>
      <c r="C123" s="2" t="s">
        <v>266</v>
      </c>
      <c r="D123" s="2" t="str">
        <f>VLOOKUP($C123,'[10]for slip'!$F:$BC,3,0)</f>
        <v>Pelaksana</v>
      </c>
      <c r="E123" s="2" t="str">
        <f>VLOOKUP($C123,'[10]for slip'!$F:$BC,4,0)</f>
        <v>Prod. Stamping</v>
      </c>
      <c r="F123" s="2">
        <f>VLOOKUP($C123,'[10]for slip'!$F:$BC,14,0)</f>
        <v>5343083</v>
      </c>
      <c r="G123" s="2">
        <f>VLOOKUP($C123,'[10]for slip'!$F:$BC,15,0)</f>
        <v>0</v>
      </c>
      <c r="H123" s="2">
        <f>VLOOKUP($C123,'[10]for slip'!$F:$BC,16,0)</f>
        <v>0</v>
      </c>
      <c r="I123" s="2">
        <f>VLOOKUP($C123,'[10]for slip'!$F:$BC,17,0)</f>
        <v>0</v>
      </c>
      <c r="J123" s="2">
        <f>VLOOKUP($C123,'[10]for slip'!$F:$BC,27,0)</f>
        <v>0</v>
      </c>
      <c r="K123" s="2">
        <f>VLOOKUP($C123,'[10]for slip'!$F:$BC,31,0)</f>
        <v>0</v>
      </c>
      <c r="L123" s="2">
        <f>VLOOKUP($C123,'[10]for slip'!$F:$BC,35,0)</f>
        <v>34354.584590750004</v>
      </c>
      <c r="M123" s="2">
        <f>VLOOKUP($C123,'[10]for slip'!$F:$BC,36,0)</f>
        <v>0</v>
      </c>
      <c r="N123" s="2">
        <f>VLOOKUP($C123,'[10]for slip'!$F:$BC,37,0)</f>
        <v>0</v>
      </c>
      <c r="O123" s="2">
        <f>VLOOKUP($C123,'[10]for slip'!$F:$BC,38,0)</f>
        <v>0</v>
      </c>
      <c r="P123" s="2">
        <f>VLOOKUP($C123,'[10]for slip'!$F:$BC,39,0)</f>
        <v>38000</v>
      </c>
      <c r="Q123" s="2">
        <f>VLOOKUP($C123,'[10]for slip'!$F:$BC,40,0)</f>
        <v>31700</v>
      </c>
      <c r="R123" s="2">
        <f>VLOOKUP($C123,'[10]for slip'!$F:$BC,41,0)</f>
        <v>0</v>
      </c>
      <c r="S123" s="2">
        <f>VLOOKUP($C123,'[10]for slip'!$F:$BC,42,0)</f>
        <v>10000</v>
      </c>
      <c r="T123" s="2">
        <f>VLOOKUP($C123,'[10]for slip'!$F:$BC,43,0)</f>
        <v>53430.83</v>
      </c>
      <c r="U123" s="2">
        <f>VLOOKUP($C123,'[10]for slip'!$F:$BC,44,0)</f>
        <v>106861.66</v>
      </c>
      <c r="V123" s="2">
        <f>VLOOKUP($C123,'[10]for slip'!$F:$BC,45,0)</f>
        <v>53430.83</v>
      </c>
      <c r="W123" s="2">
        <f>VLOOKUP($C123,'[10]for slip'!$F:$BC,48,0)</f>
        <v>34354.584590750004</v>
      </c>
    </row>
    <row r="124" spans="1:23" x14ac:dyDescent="0.25">
      <c r="A124" s="1">
        <v>123</v>
      </c>
      <c r="B124" s="2" t="s">
        <v>267</v>
      </c>
      <c r="C124" s="2" t="s">
        <v>268</v>
      </c>
      <c r="D124" s="2" t="str">
        <f>VLOOKUP($C124,'[10]for slip'!$F:$BC,3,0)</f>
        <v>Pelaksana</v>
      </c>
      <c r="E124" s="2" t="str">
        <f>VLOOKUP($C124,'[10]for slip'!$F:$BC,4,0)</f>
        <v>Prod. Stamping</v>
      </c>
      <c r="F124" s="2">
        <f>VLOOKUP($C124,'[10]for slip'!$F:$BC,14,0)</f>
        <v>5343083</v>
      </c>
      <c r="G124" s="2">
        <f>VLOOKUP($C124,'[10]for slip'!$F:$BC,15,0)</f>
        <v>0</v>
      </c>
      <c r="H124" s="2">
        <f>VLOOKUP($C124,'[10]for slip'!$F:$BC,16,0)</f>
        <v>0</v>
      </c>
      <c r="I124" s="2">
        <f>VLOOKUP($C124,'[10]for slip'!$F:$BC,17,0)</f>
        <v>0</v>
      </c>
      <c r="J124" s="2">
        <f>VLOOKUP($C124,'[10]for slip'!$F:$BC,27,0)</f>
        <v>0</v>
      </c>
      <c r="K124" s="2">
        <f>VLOOKUP($C124,'[10]for slip'!$F:$BC,31,0)</f>
        <v>0</v>
      </c>
      <c r="L124" s="2">
        <f>VLOOKUP($C124,'[10]for slip'!$F:$BC,35,0)</f>
        <v>34354.584590750004</v>
      </c>
      <c r="M124" s="2">
        <f>VLOOKUP($C124,'[10]for slip'!$F:$BC,36,0)</f>
        <v>0</v>
      </c>
      <c r="N124" s="2">
        <f>VLOOKUP($C124,'[10]for slip'!$F:$BC,37,0)</f>
        <v>0</v>
      </c>
      <c r="O124" s="2">
        <f>VLOOKUP($C124,'[10]for slip'!$F:$BC,38,0)</f>
        <v>0</v>
      </c>
      <c r="P124" s="2">
        <f>VLOOKUP($C124,'[10]for slip'!$F:$BC,39,0)</f>
        <v>38000</v>
      </c>
      <c r="Q124" s="2">
        <f>VLOOKUP($C124,'[10]for slip'!$F:$BC,40,0)</f>
        <v>31700</v>
      </c>
      <c r="R124" s="2">
        <f>VLOOKUP($C124,'[10]for slip'!$F:$BC,41,0)</f>
        <v>0</v>
      </c>
      <c r="S124" s="2">
        <f>VLOOKUP($C124,'[10]for slip'!$F:$BC,42,0)</f>
        <v>10000</v>
      </c>
      <c r="T124" s="2">
        <f>VLOOKUP($C124,'[10]for slip'!$F:$BC,43,0)</f>
        <v>53430.83</v>
      </c>
      <c r="U124" s="2">
        <f>VLOOKUP($C124,'[10]for slip'!$F:$BC,44,0)</f>
        <v>106861.66</v>
      </c>
      <c r="V124" s="2">
        <f>VLOOKUP($C124,'[10]for slip'!$F:$BC,45,0)</f>
        <v>53430.83</v>
      </c>
      <c r="W124" s="2">
        <f>VLOOKUP($C124,'[10]for slip'!$F:$BC,48,0)</f>
        <v>34354.584590750004</v>
      </c>
    </row>
    <row r="125" spans="1:23" x14ac:dyDescent="0.25">
      <c r="A125" s="1">
        <v>124</v>
      </c>
      <c r="B125" s="2" t="s">
        <v>269</v>
      </c>
      <c r="C125" s="2" t="s">
        <v>270</v>
      </c>
      <c r="D125" s="2" t="str">
        <f>VLOOKUP($C125,'[10]for slip'!$F:$BC,3,0)</f>
        <v>Pelaksana</v>
      </c>
      <c r="E125" s="2" t="str">
        <f>VLOOKUP($C125,'[10]for slip'!$F:$BC,4,0)</f>
        <v>Prod. Stamping</v>
      </c>
      <c r="F125" s="2">
        <f>VLOOKUP($C125,'[10]for slip'!$F:$BC,14,0)</f>
        <v>5343083</v>
      </c>
      <c r="G125" s="2">
        <f>VLOOKUP($C125,'[10]for slip'!$F:$BC,15,0)</f>
        <v>0</v>
      </c>
      <c r="H125" s="2">
        <f>VLOOKUP($C125,'[10]for slip'!$F:$BC,16,0)</f>
        <v>0</v>
      </c>
      <c r="I125" s="2">
        <f>VLOOKUP($C125,'[10]for slip'!$F:$BC,17,0)</f>
        <v>0</v>
      </c>
      <c r="J125" s="2">
        <f>VLOOKUP($C125,'[10]for slip'!$F:$BC,27,0)</f>
        <v>0</v>
      </c>
      <c r="K125" s="2">
        <f>VLOOKUP($C125,'[10]for slip'!$F:$BC,31,0)</f>
        <v>0</v>
      </c>
      <c r="L125" s="2">
        <f>VLOOKUP($C125,'[10]for slip'!$F:$BC,35,0)</f>
        <v>15604.584590750002</v>
      </c>
      <c r="M125" s="2">
        <f>VLOOKUP($C125,'[10]for slip'!$F:$BC,36,0)</f>
        <v>0</v>
      </c>
      <c r="N125" s="2">
        <f>VLOOKUP($C125,'[10]for slip'!$F:$BC,37,0)</f>
        <v>0</v>
      </c>
      <c r="O125" s="2">
        <f>VLOOKUP($C125,'[10]for slip'!$F:$BC,38,0)</f>
        <v>0</v>
      </c>
      <c r="P125" s="2">
        <f>VLOOKUP($C125,'[10]for slip'!$F:$BC,39,0)</f>
        <v>38000</v>
      </c>
      <c r="Q125" s="2">
        <f>VLOOKUP($C125,'[10]for slip'!$F:$BC,40,0)</f>
        <v>31700</v>
      </c>
      <c r="R125" s="2">
        <f>VLOOKUP($C125,'[10]for slip'!$F:$BC,41,0)</f>
        <v>0</v>
      </c>
      <c r="S125" s="2">
        <f>VLOOKUP($C125,'[10]for slip'!$F:$BC,42,0)</f>
        <v>10000</v>
      </c>
      <c r="T125" s="2">
        <f>VLOOKUP($C125,'[10]for slip'!$F:$BC,43,0)</f>
        <v>53430.83</v>
      </c>
      <c r="U125" s="2">
        <f>VLOOKUP($C125,'[10]for slip'!$F:$BC,44,0)</f>
        <v>106861.66</v>
      </c>
      <c r="V125" s="2">
        <f>VLOOKUP($C125,'[10]for slip'!$F:$BC,45,0)</f>
        <v>53430.83</v>
      </c>
      <c r="W125" s="2">
        <f>VLOOKUP($C125,'[10]for slip'!$F:$BC,48,0)</f>
        <v>15604.584590750002</v>
      </c>
    </row>
    <row r="126" spans="1:23" x14ac:dyDescent="0.25">
      <c r="A126" s="1">
        <v>125</v>
      </c>
      <c r="B126" s="2" t="s">
        <v>271</v>
      </c>
      <c r="C126" s="2" t="s">
        <v>272</v>
      </c>
      <c r="D126" s="2" t="str">
        <f>VLOOKUP($C126,'[10]for slip'!$F:$BC,3,0)</f>
        <v>Pelaksana</v>
      </c>
      <c r="E126" s="2" t="str">
        <f>VLOOKUP($C126,'[10]for slip'!$F:$BC,4,0)</f>
        <v>Prod. Stamping</v>
      </c>
      <c r="F126" s="2">
        <f>VLOOKUP($C126,'[10]for slip'!$F:$BC,14,0)</f>
        <v>5343083</v>
      </c>
      <c r="G126" s="2">
        <f>VLOOKUP($C126,'[10]for slip'!$F:$BC,15,0)</f>
        <v>0</v>
      </c>
      <c r="H126" s="2">
        <f>VLOOKUP($C126,'[10]for slip'!$F:$BC,16,0)</f>
        <v>0</v>
      </c>
      <c r="I126" s="2">
        <f>VLOOKUP($C126,'[10]for slip'!$F:$BC,17,0)</f>
        <v>0</v>
      </c>
      <c r="J126" s="2">
        <f>VLOOKUP($C126,'[10]for slip'!$F:$BC,27,0)</f>
        <v>0</v>
      </c>
      <c r="K126" s="2">
        <f>VLOOKUP($C126,'[10]for slip'!$F:$BC,31,0)</f>
        <v>0</v>
      </c>
      <c r="L126" s="2">
        <f>VLOOKUP($C126,'[10]for slip'!$F:$BC,35,0)</f>
        <v>0</v>
      </c>
      <c r="M126" s="2">
        <f>VLOOKUP($C126,'[10]for slip'!$F:$BC,36,0)</f>
        <v>0</v>
      </c>
      <c r="N126" s="2">
        <f>VLOOKUP($C126,'[10]for slip'!$F:$BC,37,0)</f>
        <v>0</v>
      </c>
      <c r="O126" s="2">
        <f>VLOOKUP($C126,'[10]for slip'!$F:$BC,38,0)</f>
        <v>0</v>
      </c>
      <c r="P126" s="2">
        <f>VLOOKUP($C126,'[10]for slip'!$F:$BC,39,0)</f>
        <v>0</v>
      </c>
      <c r="Q126" s="2">
        <f>VLOOKUP($C126,'[10]for slip'!$F:$BC,40,0)</f>
        <v>31700</v>
      </c>
      <c r="R126" s="2">
        <f>VLOOKUP($C126,'[10]for slip'!$F:$BC,41,0)</f>
        <v>0</v>
      </c>
      <c r="S126" s="2">
        <f>VLOOKUP($C126,'[10]for slip'!$F:$BC,42,0)</f>
        <v>10000</v>
      </c>
      <c r="T126" s="2">
        <f>VLOOKUP($C126,'[10]for slip'!$F:$BC,43,0)</f>
        <v>53430.83</v>
      </c>
      <c r="U126" s="2">
        <f>VLOOKUP($C126,'[10]for slip'!$F:$BC,44,0)</f>
        <v>106861.66</v>
      </c>
      <c r="V126" s="2">
        <f>VLOOKUP($C126,'[10]for slip'!$F:$BC,45,0)</f>
        <v>53430.83</v>
      </c>
      <c r="W126" s="2">
        <f>VLOOKUP($C126,'[10]for slip'!$F:$BC,48,0)</f>
        <v>0</v>
      </c>
    </row>
    <row r="127" spans="1:23" x14ac:dyDescent="0.25">
      <c r="A127" s="1">
        <v>126</v>
      </c>
      <c r="B127" s="2" t="s">
        <v>273</v>
      </c>
      <c r="C127" s="2" t="s">
        <v>274</v>
      </c>
      <c r="D127" s="2" t="str">
        <f>VLOOKUP($C127,'[10]for slip'!$F:$BC,3,0)</f>
        <v>Pelaksana</v>
      </c>
      <c r="E127" s="2" t="str">
        <f>VLOOKUP($C127,'[10]for slip'!$F:$BC,4,0)</f>
        <v>Prod. Stamping</v>
      </c>
      <c r="F127" s="2">
        <f>VLOOKUP($C127,'[10]for slip'!$F:$BC,14,0)</f>
        <v>5343083</v>
      </c>
      <c r="G127" s="2">
        <f>VLOOKUP($C127,'[10]for slip'!$F:$BC,15,0)</f>
        <v>0</v>
      </c>
      <c r="H127" s="2">
        <f>VLOOKUP($C127,'[10]for slip'!$F:$BC,16,0)</f>
        <v>0</v>
      </c>
      <c r="I127" s="2">
        <f>VLOOKUP($C127,'[10]for slip'!$F:$BC,17,0)</f>
        <v>0</v>
      </c>
      <c r="J127" s="2">
        <f>VLOOKUP($C127,'[10]for slip'!$F:$BC,27,0)</f>
        <v>0</v>
      </c>
      <c r="K127" s="2">
        <f>VLOOKUP($C127,'[10]for slip'!$F:$BC,31,0)</f>
        <v>0</v>
      </c>
      <c r="L127" s="2">
        <f>VLOOKUP($C127,'[10]for slip'!$F:$BC,35,0)</f>
        <v>0</v>
      </c>
      <c r="M127" s="2">
        <f>VLOOKUP($C127,'[10]for slip'!$F:$BC,36,0)</f>
        <v>0</v>
      </c>
      <c r="N127" s="2">
        <f>VLOOKUP($C127,'[10]for slip'!$F:$BC,37,0)</f>
        <v>0</v>
      </c>
      <c r="O127" s="2">
        <f>VLOOKUP($C127,'[10]for slip'!$F:$BC,38,0)</f>
        <v>0</v>
      </c>
      <c r="P127" s="2">
        <f>VLOOKUP($C127,'[10]for slip'!$F:$BC,39,0)</f>
        <v>38000</v>
      </c>
      <c r="Q127" s="2">
        <f>VLOOKUP($C127,'[10]for slip'!$F:$BC,40,0)</f>
        <v>31700</v>
      </c>
      <c r="R127" s="2">
        <f>VLOOKUP($C127,'[10]for slip'!$F:$BC,41,0)</f>
        <v>0</v>
      </c>
      <c r="S127" s="2">
        <f>VLOOKUP($C127,'[10]for slip'!$F:$BC,42,0)</f>
        <v>0</v>
      </c>
      <c r="T127" s="2">
        <f>VLOOKUP($C127,'[10]for slip'!$F:$BC,43,0)</f>
        <v>53430.83</v>
      </c>
      <c r="U127" s="2">
        <f>VLOOKUP($C127,'[10]for slip'!$F:$BC,44,0)</f>
        <v>106861.66</v>
      </c>
      <c r="V127" s="2">
        <f>VLOOKUP($C127,'[10]for slip'!$F:$BC,45,0)</f>
        <v>53430.83</v>
      </c>
      <c r="W127" s="2">
        <f>VLOOKUP($C127,'[10]for slip'!$F:$BC,48,0)</f>
        <v>0</v>
      </c>
    </row>
    <row r="128" spans="1:23" x14ac:dyDescent="0.25">
      <c r="A128" s="1">
        <v>127</v>
      </c>
      <c r="B128" s="2" t="s">
        <v>275</v>
      </c>
      <c r="C128" s="2" t="s">
        <v>276</v>
      </c>
      <c r="D128" s="2" t="str">
        <f>VLOOKUP($C128,'[10]for slip'!$F:$BC,3,0)</f>
        <v>Pelaksana</v>
      </c>
      <c r="E128" s="2" t="str">
        <f>VLOOKUP($C128,'[10]for slip'!$F:$BC,4,0)</f>
        <v>Prod. Stamping</v>
      </c>
      <c r="F128" s="2">
        <f>VLOOKUP($C128,'[10]for slip'!$F:$BC,14,0)</f>
        <v>5343083</v>
      </c>
      <c r="G128" s="2">
        <f>VLOOKUP($C128,'[10]for slip'!$F:$BC,15,0)</f>
        <v>0</v>
      </c>
      <c r="H128" s="2">
        <f>VLOOKUP($C128,'[10]for slip'!$F:$BC,16,0)</f>
        <v>0</v>
      </c>
      <c r="I128" s="2">
        <f>VLOOKUP($C128,'[10]for slip'!$F:$BC,17,0)</f>
        <v>0</v>
      </c>
      <c r="J128" s="2">
        <f>VLOOKUP($C128,'[10]for slip'!$F:$BC,27,0)</f>
        <v>0</v>
      </c>
      <c r="K128" s="2">
        <f>VLOOKUP($C128,'[10]for slip'!$F:$BC,31,0)</f>
        <v>0</v>
      </c>
      <c r="L128" s="2">
        <f>VLOOKUP($C128,'[10]for slip'!$F:$BC,35,0)</f>
        <v>0</v>
      </c>
      <c r="M128" s="2">
        <f>VLOOKUP($C128,'[10]for slip'!$F:$BC,36,0)</f>
        <v>0</v>
      </c>
      <c r="N128" s="2">
        <f>VLOOKUP($C128,'[10]for slip'!$F:$BC,37,0)</f>
        <v>0</v>
      </c>
      <c r="O128" s="2">
        <f>VLOOKUP($C128,'[10]for slip'!$F:$BC,38,0)</f>
        <v>0</v>
      </c>
      <c r="P128" s="2">
        <f>VLOOKUP($C128,'[10]for slip'!$F:$BC,39,0)</f>
        <v>38000</v>
      </c>
      <c r="Q128" s="2">
        <f>VLOOKUP($C128,'[10]for slip'!$F:$BC,40,0)</f>
        <v>31700</v>
      </c>
      <c r="R128" s="2">
        <f>VLOOKUP($C128,'[10]for slip'!$F:$BC,41,0)</f>
        <v>0</v>
      </c>
      <c r="S128" s="2">
        <f>VLOOKUP($C128,'[10]for slip'!$F:$BC,42,0)</f>
        <v>10000</v>
      </c>
      <c r="T128" s="2">
        <f>VLOOKUP($C128,'[10]for slip'!$F:$BC,43,0)</f>
        <v>53430.83</v>
      </c>
      <c r="U128" s="2">
        <f>VLOOKUP($C128,'[10]for slip'!$F:$BC,44,0)</f>
        <v>106861.66</v>
      </c>
      <c r="V128" s="2">
        <f>VLOOKUP($C128,'[10]for slip'!$F:$BC,45,0)</f>
        <v>53430.83</v>
      </c>
      <c r="W128" s="2">
        <f>VLOOKUP($C128,'[10]for slip'!$F:$BC,48,0)</f>
        <v>0</v>
      </c>
    </row>
    <row r="129" spans="1:23" x14ac:dyDescent="0.25">
      <c r="A129" s="1">
        <v>128</v>
      </c>
      <c r="B129" s="2" t="s">
        <v>277</v>
      </c>
      <c r="C129" s="2" t="s">
        <v>278</v>
      </c>
      <c r="D129" s="2" t="str">
        <f>VLOOKUP($C129,'[10]for slip'!$F:$BC,3,0)</f>
        <v>Pelaksana</v>
      </c>
      <c r="E129" s="2" t="str">
        <f>VLOOKUP($C129,'[10]for slip'!$F:$BC,4,0)</f>
        <v>Prod. Stamping</v>
      </c>
      <c r="F129" s="2">
        <f>VLOOKUP($C129,'[10]for slip'!$F:$BC,14,0)</f>
        <v>5343083</v>
      </c>
      <c r="G129" s="2">
        <f>VLOOKUP($C129,'[10]for slip'!$F:$BC,15,0)</f>
        <v>0</v>
      </c>
      <c r="H129" s="2">
        <f>VLOOKUP($C129,'[10]for slip'!$F:$BC,16,0)</f>
        <v>0</v>
      </c>
      <c r="I129" s="2">
        <f>VLOOKUP($C129,'[10]for slip'!$F:$BC,17,0)</f>
        <v>0</v>
      </c>
      <c r="J129" s="2">
        <f>VLOOKUP($C129,'[10]for slip'!$F:$BC,27,0)</f>
        <v>0</v>
      </c>
      <c r="K129" s="2">
        <f>VLOOKUP($C129,'[10]for slip'!$F:$BC,31,0)</f>
        <v>0</v>
      </c>
      <c r="L129" s="2">
        <f>VLOOKUP($C129,'[10]for slip'!$F:$BC,35,0)</f>
        <v>0</v>
      </c>
      <c r="M129" s="2">
        <f>VLOOKUP($C129,'[10]for slip'!$F:$BC,36,0)</f>
        <v>0</v>
      </c>
      <c r="N129" s="2">
        <f>VLOOKUP($C129,'[10]for slip'!$F:$BC,37,0)</f>
        <v>0</v>
      </c>
      <c r="O129" s="2">
        <f>VLOOKUP($C129,'[10]for slip'!$F:$BC,38,0)</f>
        <v>0</v>
      </c>
      <c r="P129" s="2">
        <f>VLOOKUP($C129,'[10]for slip'!$F:$BC,39,0)</f>
        <v>38000</v>
      </c>
      <c r="Q129" s="2">
        <f>VLOOKUP($C129,'[10]for slip'!$F:$BC,40,0)</f>
        <v>31700</v>
      </c>
      <c r="R129" s="2">
        <f>VLOOKUP($C129,'[10]for slip'!$F:$BC,41,0)</f>
        <v>0</v>
      </c>
      <c r="S129" s="2">
        <f>VLOOKUP($C129,'[10]for slip'!$F:$BC,42,0)</f>
        <v>10000</v>
      </c>
      <c r="T129" s="2">
        <f>VLOOKUP($C129,'[10]for slip'!$F:$BC,43,0)</f>
        <v>53430.83</v>
      </c>
      <c r="U129" s="2">
        <f>VLOOKUP($C129,'[10]for slip'!$F:$BC,44,0)</f>
        <v>106861.66</v>
      </c>
      <c r="V129" s="2">
        <f>VLOOKUP($C129,'[10]for slip'!$F:$BC,45,0)</f>
        <v>53430.83</v>
      </c>
      <c r="W129" s="2">
        <f>VLOOKUP($C129,'[10]for slip'!$F:$BC,48,0)</f>
        <v>0</v>
      </c>
    </row>
    <row r="130" spans="1:23" x14ac:dyDescent="0.25">
      <c r="A130" s="1">
        <v>129</v>
      </c>
      <c r="B130" s="2" t="s">
        <v>279</v>
      </c>
      <c r="C130" s="2" t="s">
        <v>280</v>
      </c>
      <c r="D130" s="2" t="str">
        <f>VLOOKUP($C130,'[10]for slip'!$F:$BC,3,0)</f>
        <v>Pelaksana</v>
      </c>
      <c r="E130" s="2" t="str">
        <f>VLOOKUP($C130,'[10]for slip'!$F:$BC,4,0)</f>
        <v>Prod. Stamping</v>
      </c>
      <c r="F130" s="2">
        <f>VLOOKUP($C130,'[10]for slip'!$F:$BC,14,0)</f>
        <v>5343083</v>
      </c>
      <c r="G130" s="2">
        <f>VLOOKUP($C130,'[10]for slip'!$F:$BC,15,0)</f>
        <v>0</v>
      </c>
      <c r="H130" s="2">
        <f>VLOOKUP($C130,'[10]for slip'!$F:$BC,16,0)</f>
        <v>0</v>
      </c>
      <c r="I130" s="2">
        <f>VLOOKUP($C130,'[10]for slip'!$F:$BC,17,0)</f>
        <v>0</v>
      </c>
      <c r="J130" s="2">
        <f>VLOOKUP($C130,'[10]for slip'!$F:$BC,27,0)</f>
        <v>0</v>
      </c>
      <c r="K130" s="2">
        <f>VLOOKUP($C130,'[10]for slip'!$F:$BC,31,0)</f>
        <v>0</v>
      </c>
      <c r="L130" s="2">
        <f>VLOOKUP($C130,'[10]for slip'!$F:$BC,35,0)</f>
        <v>0</v>
      </c>
      <c r="M130" s="2">
        <f>VLOOKUP($C130,'[10]for slip'!$F:$BC,36,0)</f>
        <v>0</v>
      </c>
      <c r="N130" s="2">
        <f>VLOOKUP($C130,'[10]for slip'!$F:$BC,37,0)</f>
        <v>0</v>
      </c>
      <c r="O130" s="2">
        <f>VLOOKUP($C130,'[10]for slip'!$F:$BC,38,0)</f>
        <v>0</v>
      </c>
      <c r="P130" s="2">
        <f>VLOOKUP($C130,'[10]for slip'!$F:$BC,39,0)</f>
        <v>38000</v>
      </c>
      <c r="Q130" s="2">
        <f>VLOOKUP($C130,'[10]for slip'!$F:$BC,40,0)</f>
        <v>31700</v>
      </c>
      <c r="R130" s="2">
        <f>VLOOKUP($C130,'[10]for slip'!$F:$BC,41,0)</f>
        <v>0</v>
      </c>
      <c r="S130" s="2">
        <f>VLOOKUP($C130,'[10]for slip'!$F:$BC,42,0)</f>
        <v>10000</v>
      </c>
      <c r="T130" s="2">
        <f>VLOOKUP($C130,'[10]for slip'!$F:$BC,43,0)</f>
        <v>53430.83</v>
      </c>
      <c r="U130" s="2">
        <f>VLOOKUP($C130,'[10]for slip'!$F:$BC,44,0)</f>
        <v>106861.66</v>
      </c>
      <c r="V130" s="2">
        <f>VLOOKUP($C130,'[10]for slip'!$F:$BC,45,0)</f>
        <v>53430.83</v>
      </c>
      <c r="W130" s="2">
        <f>VLOOKUP($C130,'[10]for slip'!$F:$BC,48,0)</f>
        <v>0</v>
      </c>
    </row>
    <row r="131" spans="1:23" x14ac:dyDescent="0.25">
      <c r="A131" s="1">
        <v>130</v>
      </c>
      <c r="B131" s="2" t="s">
        <v>281</v>
      </c>
      <c r="C131" s="2" t="s">
        <v>282</v>
      </c>
      <c r="D131" s="2" t="str">
        <f>VLOOKUP($C131,'[10]for slip'!$F:$BC,3,0)</f>
        <v>Pelaksana</v>
      </c>
      <c r="E131" s="2" t="str">
        <f>VLOOKUP($C131,'[10]for slip'!$F:$BC,4,0)</f>
        <v>Prod. Stamping</v>
      </c>
      <c r="F131" s="2">
        <f>VLOOKUP($C131,'[10]for slip'!$F:$BC,14,0)</f>
        <v>5343083</v>
      </c>
      <c r="G131" s="2">
        <f>VLOOKUP($C131,'[10]for slip'!$F:$BC,15,0)</f>
        <v>0</v>
      </c>
      <c r="H131" s="2">
        <f>VLOOKUP($C131,'[10]for slip'!$F:$BC,16,0)</f>
        <v>0</v>
      </c>
      <c r="I131" s="2">
        <f>VLOOKUP($C131,'[10]for slip'!$F:$BC,17,0)</f>
        <v>0</v>
      </c>
      <c r="J131" s="2">
        <f>VLOOKUP($C131,'[10]for slip'!$F:$BC,27,0)</f>
        <v>0</v>
      </c>
      <c r="K131" s="2">
        <f>VLOOKUP($C131,'[10]for slip'!$F:$BC,31,0)</f>
        <v>0</v>
      </c>
      <c r="L131" s="2">
        <f>VLOOKUP($C131,'[10]for slip'!$F:$BC,35,0)</f>
        <v>34354.584590750004</v>
      </c>
      <c r="M131" s="2">
        <f>VLOOKUP($C131,'[10]for slip'!$F:$BC,36,0)</f>
        <v>0</v>
      </c>
      <c r="N131" s="2">
        <f>VLOOKUP($C131,'[10]for slip'!$F:$BC,37,0)</f>
        <v>0</v>
      </c>
      <c r="O131" s="2">
        <f>VLOOKUP($C131,'[10]for slip'!$F:$BC,38,0)</f>
        <v>0</v>
      </c>
      <c r="P131" s="2">
        <f>VLOOKUP($C131,'[10]for slip'!$F:$BC,39,0)</f>
        <v>38000</v>
      </c>
      <c r="Q131" s="2">
        <f>VLOOKUP($C131,'[10]for slip'!$F:$BC,40,0)</f>
        <v>31700</v>
      </c>
      <c r="R131" s="2">
        <f>VLOOKUP($C131,'[10]for slip'!$F:$BC,41,0)</f>
        <v>0</v>
      </c>
      <c r="S131" s="2">
        <f>VLOOKUP($C131,'[10]for slip'!$F:$BC,42,0)</f>
        <v>10000</v>
      </c>
      <c r="T131" s="2">
        <f>VLOOKUP($C131,'[10]for slip'!$F:$BC,43,0)</f>
        <v>53430.83</v>
      </c>
      <c r="U131" s="2">
        <f>VLOOKUP($C131,'[10]for slip'!$F:$BC,44,0)</f>
        <v>106861.66</v>
      </c>
      <c r="V131" s="2">
        <f>VLOOKUP($C131,'[10]for slip'!$F:$BC,45,0)</f>
        <v>53430.83</v>
      </c>
      <c r="W131" s="2">
        <f>VLOOKUP($C131,'[10]for slip'!$F:$BC,48,0)</f>
        <v>34354.584590750004</v>
      </c>
    </row>
    <row r="132" spans="1:23" x14ac:dyDescent="0.25">
      <c r="A132" s="1">
        <v>131</v>
      </c>
      <c r="B132" s="2" t="s">
        <v>283</v>
      </c>
      <c r="C132" s="2" t="s">
        <v>284</v>
      </c>
      <c r="D132" s="2" t="str">
        <f>VLOOKUP($C132,'[10]for slip'!$F:$BC,3,0)</f>
        <v>Pelaksana</v>
      </c>
      <c r="E132" s="2" t="str">
        <f>VLOOKUP($C132,'[10]for slip'!$F:$BC,4,0)</f>
        <v>Prod. Stamping</v>
      </c>
      <c r="F132" s="2">
        <f>VLOOKUP($C132,'[10]for slip'!$F:$BC,14,0)</f>
        <v>5343083</v>
      </c>
      <c r="G132" s="2">
        <f>VLOOKUP($C132,'[10]for slip'!$F:$BC,15,0)</f>
        <v>0</v>
      </c>
      <c r="H132" s="2">
        <f>VLOOKUP($C132,'[10]for slip'!$F:$BC,16,0)</f>
        <v>0</v>
      </c>
      <c r="I132" s="2">
        <f>VLOOKUP($C132,'[10]for slip'!$F:$BC,17,0)</f>
        <v>0</v>
      </c>
      <c r="J132" s="2">
        <f>VLOOKUP($C132,'[10]for slip'!$F:$BC,27,0)</f>
        <v>0</v>
      </c>
      <c r="K132" s="2">
        <f>VLOOKUP($C132,'[10]for slip'!$F:$BC,31,0)</f>
        <v>0</v>
      </c>
      <c r="L132" s="2">
        <f>VLOOKUP($C132,'[10]for slip'!$F:$BC,35,0)</f>
        <v>34354.584590750004</v>
      </c>
      <c r="M132" s="2">
        <f>VLOOKUP($C132,'[10]for slip'!$F:$BC,36,0)</f>
        <v>0</v>
      </c>
      <c r="N132" s="2">
        <f>VLOOKUP($C132,'[10]for slip'!$F:$BC,37,0)</f>
        <v>0</v>
      </c>
      <c r="O132" s="2">
        <f>VLOOKUP($C132,'[10]for slip'!$F:$BC,38,0)</f>
        <v>0</v>
      </c>
      <c r="P132" s="2">
        <f>VLOOKUP($C132,'[10]for slip'!$F:$BC,39,0)</f>
        <v>38000</v>
      </c>
      <c r="Q132" s="2">
        <f>VLOOKUP($C132,'[10]for slip'!$F:$BC,40,0)</f>
        <v>31700</v>
      </c>
      <c r="R132" s="2">
        <f>VLOOKUP($C132,'[10]for slip'!$F:$BC,41,0)</f>
        <v>0</v>
      </c>
      <c r="S132" s="2">
        <f>VLOOKUP($C132,'[10]for slip'!$F:$BC,42,0)</f>
        <v>0</v>
      </c>
      <c r="T132" s="2">
        <f>VLOOKUP($C132,'[10]for slip'!$F:$BC,43,0)</f>
        <v>53430.83</v>
      </c>
      <c r="U132" s="2">
        <f>VLOOKUP($C132,'[10]for slip'!$F:$BC,44,0)</f>
        <v>106861.66</v>
      </c>
      <c r="V132" s="2">
        <f>VLOOKUP($C132,'[10]for slip'!$F:$BC,45,0)</f>
        <v>53430.83</v>
      </c>
      <c r="W132" s="2">
        <f>VLOOKUP($C132,'[10]for slip'!$F:$BC,48,0)</f>
        <v>34354.584590750004</v>
      </c>
    </row>
    <row r="133" spans="1:23" x14ac:dyDescent="0.25">
      <c r="A133" s="1">
        <v>132</v>
      </c>
      <c r="B133" s="2" t="s">
        <v>285</v>
      </c>
      <c r="C133" s="2" t="s">
        <v>286</v>
      </c>
      <c r="D133" s="2" t="str">
        <f>VLOOKUP($C133,'[10]for slip'!$F:$BC,3,0)</f>
        <v>Pelaksana</v>
      </c>
      <c r="E133" s="2" t="str">
        <f>VLOOKUP($C133,'[10]for slip'!$F:$BC,4,0)</f>
        <v>Prod. Stamping</v>
      </c>
      <c r="F133" s="2">
        <f>VLOOKUP($C133,'[10]for slip'!$F:$BC,14,0)</f>
        <v>5343083</v>
      </c>
      <c r="G133" s="2">
        <f>VLOOKUP($C133,'[10]for slip'!$F:$BC,15,0)</f>
        <v>0</v>
      </c>
      <c r="H133" s="2">
        <f>VLOOKUP($C133,'[10]for slip'!$F:$BC,16,0)</f>
        <v>0</v>
      </c>
      <c r="I133" s="2">
        <f>VLOOKUP($C133,'[10]for slip'!$F:$BC,17,0)</f>
        <v>0</v>
      </c>
      <c r="J133" s="2">
        <f>VLOOKUP($C133,'[10]for slip'!$F:$BC,27,0)</f>
        <v>0</v>
      </c>
      <c r="K133" s="2">
        <f>VLOOKUP($C133,'[10]for slip'!$F:$BC,31,0)</f>
        <v>0</v>
      </c>
      <c r="L133" s="2">
        <f>VLOOKUP($C133,'[10]for slip'!$F:$BC,35,0)</f>
        <v>0</v>
      </c>
      <c r="M133" s="2">
        <f>VLOOKUP($C133,'[10]for slip'!$F:$BC,36,0)</f>
        <v>0</v>
      </c>
      <c r="N133" s="2">
        <f>VLOOKUP($C133,'[10]for slip'!$F:$BC,37,0)</f>
        <v>19</v>
      </c>
      <c r="O133" s="2">
        <f>VLOOKUP($C133,'[10]for slip'!$F:$BC,38,0)</f>
        <v>4834218</v>
      </c>
      <c r="P133" s="2">
        <f>VLOOKUP($C133,'[10]for slip'!$F:$BC,39,0)</f>
        <v>38000</v>
      </c>
      <c r="Q133" s="2">
        <f>VLOOKUP($C133,'[10]for slip'!$F:$BC,40,0)</f>
        <v>0</v>
      </c>
      <c r="R133" s="2">
        <f>VLOOKUP($C133,'[10]for slip'!$F:$BC,41,0)</f>
        <v>0</v>
      </c>
      <c r="S133" s="2">
        <f>VLOOKUP($C133,'[10]for slip'!$F:$BC,42,0)</f>
        <v>10000</v>
      </c>
      <c r="T133" s="2">
        <f>VLOOKUP($C133,'[10]for slip'!$F:$BC,43,0)</f>
        <v>53430.83</v>
      </c>
      <c r="U133" s="2">
        <f>VLOOKUP($C133,'[10]for slip'!$F:$BC,44,0)</f>
        <v>106861.66</v>
      </c>
      <c r="V133" s="2">
        <f>VLOOKUP($C133,'[10]for slip'!$F:$BC,45,0)</f>
        <v>53430.83</v>
      </c>
      <c r="W133" s="2">
        <f>VLOOKUP($C133,'[10]for slip'!$F:$BC,48,0)</f>
        <v>0</v>
      </c>
    </row>
    <row r="134" spans="1:23" x14ac:dyDescent="0.25">
      <c r="A134" s="1">
        <v>133</v>
      </c>
      <c r="B134" s="2" t="s">
        <v>287</v>
      </c>
      <c r="C134" s="2" t="s">
        <v>288</v>
      </c>
      <c r="D134" s="2" t="str">
        <f>VLOOKUP($C134,'[10]for slip'!$F:$BC,3,0)</f>
        <v>Pelaksana</v>
      </c>
      <c r="E134" s="2" t="str">
        <f>VLOOKUP($C134,'[10]for slip'!$F:$BC,4,0)</f>
        <v>Prod. Stamping</v>
      </c>
      <c r="F134" s="2">
        <f>VLOOKUP($C134,'[10]for slip'!$F:$BC,14,0)</f>
        <v>5343083</v>
      </c>
      <c r="G134" s="2">
        <f>VLOOKUP($C134,'[10]for slip'!$F:$BC,15,0)</f>
        <v>0</v>
      </c>
      <c r="H134" s="2">
        <f>VLOOKUP($C134,'[10]for slip'!$F:$BC,16,0)</f>
        <v>0</v>
      </c>
      <c r="I134" s="2">
        <f>VLOOKUP($C134,'[10]for slip'!$F:$BC,17,0)</f>
        <v>0</v>
      </c>
      <c r="J134" s="2">
        <f>VLOOKUP($C134,'[10]for slip'!$F:$BC,27,0)</f>
        <v>0</v>
      </c>
      <c r="K134" s="2">
        <f>VLOOKUP($C134,'[10]for slip'!$F:$BC,31,0)</f>
        <v>0</v>
      </c>
      <c r="L134" s="2">
        <f>VLOOKUP($C134,'[10]for slip'!$F:$BC,35,0)</f>
        <v>34354.584590750004</v>
      </c>
      <c r="M134" s="2">
        <f>VLOOKUP($C134,'[10]for slip'!$F:$BC,36,0)</f>
        <v>0</v>
      </c>
      <c r="N134" s="2">
        <f>VLOOKUP($C134,'[10]for slip'!$F:$BC,37,0)</f>
        <v>0</v>
      </c>
      <c r="O134" s="2">
        <f>VLOOKUP($C134,'[10]for slip'!$F:$BC,38,0)</f>
        <v>0</v>
      </c>
      <c r="P134" s="2">
        <f>VLOOKUP($C134,'[10]for slip'!$F:$BC,39,0)</f>
        <v>38000</v>
      </c>
      <c r="Q134" s="2">
        <f>VLOOKUP($C134,'[10]for slip'!$F:$BC,40,0)</f>
        <v>31700</v>
      </c>
      <c r="R134" s="2">
        <f>VLOOKUP($C134,'[10]for slip'!$F:$BC,41,0)</f>
        <v>0</v>
      </c>
      <c r="S134" s="2">
        <f>VLOOKUP($C134,'[10]for slip'!$F:$BC,42,0)</f>
        <v>10000</v>
      </c>
      <c r="T134" s="2">
        <f>VLOOKUP($C134,'[10]for slip'!$F:$BC,43,0)</f>
        <v>53430.83</v>
      </c>
      <c r="U134" s="2">
        <f>VLOOKUP($C134,'[10]for slip'!$F:$BC,44,0)</f>
        <v>106861.66</v>
      </c>
      <c r="V134" s="2">
        <f>VLOOKUP($C134,'[10]for slip'!$F:$BC,45,0)</f>
        <v>53430.83</v>
      </c>
      <c r="W134" s="2">
        <f>VLOOKUP($C134,'[10]for slip'!$F:$BC,48,0)</f>
        <v>34354.584590750004</v>
      </c>
    </row>
    <row r="135" spans="1:23" x14ac:dyDescent="0.25">
      <c r="A135" s="1">
        <v>134</v>
      </c>
      <c r="B135" s="2" t="s">
        <v>289</v>
      </c>
      <c r="C135" s="2" t="s">
        <v>290</v>
      </c>
      <c r="D135" s="2" t="str">
        <f>VLOOKUP($C135,'[10]for slip'!$F:$BC,3,0)</f>
        <v>Pelaksana</v>
      </c>
      <c r="E135" s="2" t="str">
        <f>VLOOKUP($C135,'[10]for slip'!$F:$BC,4,0)</f>
        <v>Prod. Stamping</v>
      </c>
      <c r="F135" s="2">
        <f>VLOOKUP($C135,'[10]for slip'!$F:$BC,14,0)</f>
        <v>5343083</v>
      </c>
      <c r="G135" s="2">
        <f>VLOOKUP($C135,'[10]for slip'!$F:$BC,15,0)</f>
        <v>0</v>
      </c>
      <c r="H135" s="2">
        <f>VLOOKUP($C135,'[10]for slip'!$F:$BC,16,0)</f>
        <v>0</v>
      </c>
      <c r="I135" s="2">
        <f>VLOOKUP($C135,'[10]for slip'!$F:$BC,17,0)</f>
        <v>0</v>
      </c>
      <c r="J135" s="2">
        <f>VLOOKUP($C135,'[10]for slip'!$F:$BC,27,0)</f>
        <v>0</v>
      </c>
      <c r="K135" s="2">
        <f>VLOOKUP($C135,'[10]for slip'!$F:$BC,31,0)</f>
        <v>0</v>
      </c>
      <c r="L135" s="2">
        <f>VLOOKUP($C135,'[10]for slip'!$F:$BC,35,0)</f>
        <v>15604.584590750002</v>
      </c>
      <c r="M135" s="2">
        <f>VLOOKUP($C135,'[10]for slip'!$F:$BC,36,0)</f>
        <v>0</v>
      </c>
      <c r="N135" s="2">
        <f>VLOOKUP($C135,'[10]for slip'!$F:$BC,37,0)</f>
        <v>0</v>
      </c>
      <c r="O135" s="2">
        <f>VLOOKUP($C135,'[10]for slip'!$F:$BC,38,0)</f>
        <v>0</v>
      </c>
      <c r="P135" s="2">
        <f>VLOOKUP($C135,'[10]for slip'!$F:$BC,39,0)</f>
        <v>38000</v>
      </c>
      <c r="Q135" s="2">
        <f>VLOOKUP($C135,'[10]for slip'!$F:$BC,40,0)</f>
        <v>31700</v>
      </c>
      <c r="R135" s="2">
        <f>VLOOKUP($C135,'[10]for slip'!$F:$BC,41,0)</f>
        <v>0</v>
      </c>
      <c r="S135" s="2">
        <f>VLOOKUP($C135,'[10]for slip'!$F:$BC,42,0)</f>
        <v>0</v>
      </c>
      <c r="T135" s="2">
        <f>VLOOKUP($C135,'[10]for slip'!$F:$BC,43,0)</f>
        <v>53430.83</v>
      </c>
      <c r="U135" s="2">
        <f>VLOOKUP($C135,'[10]for slip'!$F:$BC,44,0)</f>
        <v>106861.66</v>
      </c>
      <c r="V135" s="2">
        <f>VLOOKUP($C135,'[10]for slip'!$F:$BC,45,0)</f>
        <v>53430.83</v>
      </c>
      <c r="W135" s="2">
        <f>VLOOKUP($C135,'[10]for slip'!$F:$BC,48,0)</f>
        <v>15604.584590750002</v>
      </c>
    </row>
    <row r="136" spans="1:23" x14ac:dyDescent="0.25">
      <c r="A136" s="1">
        <v>135</v>
      </c>
      <c r="B136" s="2" t="s">
        <v>291</v>
      </c>
      <c r="C136" s="2" t="s">
        <v>292</v>
      </c>
      <c r="D136" s="2" t="str">
        <f>VLOOKUP($C136,'[10]for slip'!$F:$BC,3,0)</f>
        <v>Pelaksana</v>
      </c>
      <c r="E136" s="2" t="str">
        <f>VLOOKUP($C136,'[10]for slip'!$F:$BC,4,0)</f>
        <v>Prod. Stamping</v>
      </c>
      <c r="F136" s="2">
        <f>VLOOKUP($C136,'[10]for slip'!$F:$BC,14,0)</f>
        <v>5343083</v>
      </c>
      <c r="G136" s="2">
        <f>VLOOKUP($C136,'[10]for slip'!$F:$BC,15,0)</f>
        <v>0</v>
      </c>
      <c r="H136" s="2">
        <f>VLOOKUP($C136,'[10]for slip'!$F:$BC,16,0)</f>
        <v>0</v>
      </c>
      <c r="I136" s="2">
        <f>VLOOKUP($C136,'[10]for slip'!$F:$BC,17,0)</f>
        <v>0</v>
      </c>
      <c r="J136" s="2">
        <f>VLOOKUP($C136,'[10]for slip'!$F:$BC,27,0)</f>
        <v>0</v>
      </c>
      <c r="K136" s="2">
        <f>VLOOKUP($C136,'[10]for slip'!$F:$BC,31,0)</f>
        <v>0</v>
      </c>
      <c r="L136" s="2">
        <f>VLOOKUP($C136,'[10]for slip'!$F:$BC,35,0)</f>
        <v>0</v>
      </c>
      <c r="M136" s="2">
        <f>VLOOKUP($C136,'[10]for slip'!$F:$BC,36,0)</f>
        <v>0</v>
      </c>
      <c r="N136" s="2">
        <f>VLOOKUP($C136,'[10]for slip'!$F:$BC,37,0)</f>
        <v>0</v>
      </c>
      <c r="O136" s="2">
        <f>VLOOKUP($C136,'[10]for slip'!$F:$BC,38,0)</f>
        <v>0</v>
      </c>
      <c r="P136" s="2">
        <f>VLOOKUP($C136,'[10]for slip'!$F:$BC,39,0)</f>
        <v>0</v>
      </c>
      <c r="Q136" s="2">
        <f>VLOOKUP($C136,'[10]for slip'!$F:$BC,40,0)</f>
        <v>31700</v>
      </c>
      <c r="R136" s="2">
        <f>VLOOKUP($C136,'[10]for slip'!$F:$BC,41,0)</f>
        <v>0</v>
      </c>
      <c r="S136" s="2">
        <f>VLOOKUP($C136,'[10]for slip'!$F:$BC,42,0)</f>
        <v>10000</v>
      </c>
      <c r="T136" s="2">
        <f>VLOOKUP($C136,'[10]for slip'!$F:$BC,43,0)</f>
        <v>53430.83</v>
      </c>
      <c r="U136" s="2">
        <f>VLOOKUP($C136,'[10]for slip'!$F:$BC,44,0)</f>
        <v>106861.66</v>
      </c>
      <c r="V136" s="2">
        <f>VLOOKUP($C136,'[10]for slip'!$F:$BC,45,0)</f>
        <v>53430.83</v>
      </c>
      <c r="W136" s="2">
        <f>VLOOKUP($C136,'[10]for slip'!$F:$BC,48,0)</f>
        <v>0</v>
      </c>
    </row>
    <row r="137" spans="1:23" x14ac:dyDescent="0.25">
      <c r="A137" s="1">
        <v>136</v>
      </c>
      <c r="B137" s="2" t="s">
        <v>293</v>
      </c>
      <c r="C137" s="2" t="s">
        <v>294</v>
      </c>
      <c r="D137" s="2" t="str">
        <f>VLOOKUP($C137,'[10]for slip'!$F:$BC,3,0)</f>
        <v>Pelaksana</v>
      </c>
      <c r="E137" s="2" t="str">
        <f>VLOOKUP($C137,'[10]for slip'!$F:$BC,4,0)</f>
        <v>Prod. Stamping</v>
      </c>
      <c r="F137" s="2">
        <f>VLOOKUP($C137,'[10]for slip'!$F:$BC,14,0)</f>
        <v>5343083</v>
      </c>
      <c r="G137" s="2">
        <f>VLOOKUP($C137,'[10]for slip'!$F:$BC,15,0)</f>
        <v>0</v>
      </c>
      <c r="H137" s="2">
        <f>VLOOKUP($C137,'[10]for slip'!$F:$BC,16,0)</f>
        <v>0</v>
      </c>
      <c r="I137" s="2">
        <f>VLOOKUP($C137,'[10]for slip'!$F:$BC,17,0)</f>
        <v>0</v>
      </c>
      <c r="J137" s="2">
        <f>VLOOKUP($C137,'[10]for slip'!$F:$BC,27,0)</f>
        <v>0</v>
      </c>
      <c r="K137" s="2">
        <f>VLOOKUP($C137,'[10]for slip'!$F:$BC,31,0)</f>
        <v>0</v>
      </c>
      <c r="L137" s="2">
        <f>VLOOKUP($C137,'[10]for slip'!$F:$BC,35,0)</f>
        <v>34354.584590750004</v>
      </c>
      <c r="M137" s="2">
        <f>VLOOKUP($C137,'[10]for slip'!$F:$BC,36,0)</f>
        <v>0</v>
      </c>
      <c r="N137" s="2">
        <f>VLOOKUP($C137,'[10]for slip'!$F:$BC,37,0)</f>
        <v>0</v>
      </c>
      <c r="O137" s="2">
        <f>VLOOKUP($C137,'[10]for slip'!$F:$BC,38,0)</f>
        <v>0</v>
      </c>
      <c r="P137" s="2">
        <f>VLOOKUP($C137,'[10]for slip'!$F:$BC,39,0)</f>
        <v>38000</v>
      </c>
      <c r="Q137" s="2">
        <f>VLOOKUP($C137,'[10]for slip'!$F:$BC,40,0)</f>
        <v>31700</v>
      </c>
      <c r="R137" s="2">
        <f>VLOOKUP($C137,'[10]for slip'!$F:$BC,41,0)</f>
        <v>0</v>
      </c>
      <c r="S137" s="2">
        <f>VLOOKUP($C137,'[10]for slip'!$F:$BC,42,0)</f>
        <v>0</v>
      </c>
      <c r="T137" s="2">
        <f>VLOOKUP($C137,'[10]for slip'!$F:$BC,43,0)</f>
        <v>53430.83</v>
      </c>
      <c r="U137" s="2">
        <f>VLOOKUP($C137,'[10]for slip'!$F:$BC,44,0)</f>
        <v>106861.66</v>
      </c>
      <c r="V137" s="2">
        <f>VLOOKUP($C137,'[10]for slip'!$F:$BC,45,0)</f>
        <v>53430.83</v>
      </c>
      <c r="W137" s="2">
        <f>VLOOKUP($C137,'[10]for slip'!$F:$BC,48,0)</f>
        <v>34354.584590750004</v>
      </c>
    </row>
    <row r="138" spans="1:23" x14ac:dyDescent="0.25">
      <c r="A138" s="1">
        <v>137</v>
      </c>
      <c r="B138" s="2" t="s">
        <v>295</v>
      </c>
      <c r="C138" s="2" t="s">
        <v>296</v>
      </c>
      <c r="D138" s="2" t="str">
        <f>VLOOKUP($C138,'[10]for slip'!$F:$BC,3,0)</f>
        <v>Pelaksana</v>
      </c>
      <c r="E138" s="2" t="str">
        <f>VLOOKUP($C138,'[10]for slip'!$F:$BC,4,0)</f>
        <v>Prod. Stamping</v>
      </c>
      <c r="F138" s="2">
        <f>VLOOKUP($C138,'[10]for slip'!$F:$BC,14,0)</f>
        <v>5343083</v>
      </c>
      <c r="G138" s="2">
        <f>VLOOKUP($C138,'[10]for slip'!$F:$BC,15,0)</f>
        <v>0</v>
      </c>
      <c r="H138" s="2">
        <f>VLOOKUP($C138,'[10]for slip'!$F:$BC,16,0)</f>
        <v>0</v>
      </c>
      <c r="I138" s="2">
        <f>VLOOKUP($C138,'[10]for slip'!$F:$BC,17,0)</f>
        <v>0</v>
      </c>
      <c r="J138" s="2">
        <f>VLOOKUP($C138,'[10]for slip'!$F:$BC,27,0)</f>
        <v>0</v>
      </c>
      <c r="K138" s="2">
        <f>VLOOKUP($C138,'[10]for slip'!$F:$BC,31,0)</f>
        <v>0</v>
      </c>
      <c r="L138" s="2">
        <f>VLOOKUP($C138,'[10]for slip'!$F:$BC,35,0)</f>
        <v>34354.584590750004</v>
      </c>
      <c r="M138" s="2">
        <f>VLOOKUP($C138,'[10]for slip'!$F:$BC,36,0)</f>
        <v>0</v>
      </c>
      <c r="N138" s="2">
        <f>VLOOKUP($C138,'[10]for slip'!$F:$BC,37,0)</f>
        <v>0</v>
      </c>
      <c r="O138" s="2">
        <f>VLOOKUP($C138,'[10]for slip'!$F:$BC,38,0)</f>
        <v>0</v>
      </c>
      <c r="P138" s="2">
        <f>VLOOKUP($C138,'[10]for slip'!$F:$BC,39,0)</f>
        <v>38000</v>
      </c>
      <c r="Q138" s="2">
        <f>VLOOKUP($C138,'[10]for slip'!$F:$BC,40,0)</f>
        <v>31700</v>
      </c>
      <c r="R138" s="2">
        <f>VLOOKUP($C138,'[10]for slip'!$F:$BC,41,0)</f>
        <v>0</v>
      </c>
      <c r="S138" s="2">
        <f>VLOOKUP($C138,'[10]for slip'!$F:$BC,42,0)</f>
        <v>0</v>
      </c>
      <c r="T138" s="2">
        <f>VLOOKUP($C138,'[10]for slip'!$F:$BC,43,0)</f>
        <v>53430.83</v>
      </c>
      <c r="U138" s="2">
        <f>VLOOKUP($C138,'[10]for slip'!$F:$BC,44,0)</f>
        <v>106861.66</v>
      </c>
      <c r="V138" s="2">
        <f>VLOOKUP($C138,'[10]for slip'!$F:$BC,45,0)</f>
        <v>53430.83</v>
      </c>
      <c r="W138" s="2">
        <f>VLOOKUP($C138,'[10]for slip'!$F:$BC,48,0)</f>
        <v>34354.584590750004</v>
      </c>
    </row>
    <row r="139" spans="1:23" x14ac:dyDescent="0.25">
      <c r="A139" s="1">
        <v>138</v>
      </c>
      <c r="B139" s="2" t="s">
        <v>297</v>
      </c>
      <c r="C139" s="2" t="s">
        <v>298</v>
      </c>
      <c r="D139" s="2" t="str">
        <f>VLOOKUP($C139,'[10]for slip'!$F:$BC,3,0)</f>
        <v>Pelaksana</v>
      </c>
      <c r="E139" s="2" t="str">
        <f>VLOOKUP($C139,'[10]for slip'!$F:$BC,4,0)</f>
        <v>Prod. Stamping</v>
      </c>
      <c r="F139" s="2">
        <f>VLOOKUP($C139,'[10]for slip'!$F:$BC,14,0)</f>
        <v>5343083</v>
      </c>
      <c r="G139" s="2">
        <f>VLOOKUP($C139,'[10]for slip'!$F:$BC,15,0)</f>
        <v>0</v>
      </c>
      <c r="H139" s="2">
        <f>VLOOKUP($C139,'[10]for slip'!$F:$BC,16,0)</f>
        <v>0</v>
      </c>
      <c r="I139" s="2">
        <f>VLOOKUP($C139,'[10]for slip'!$F:$BC,17,0)</f>
        <v>0</v>
      </c>
      <c r="J139" s="2">
        <f>VLOOKUP($C139,'[10]for slip'!$F:$BC,27,0)</f>
        <v>0</v>
      </c>
      <c r="K139" s="2">
        <f>VLOOKUP($C139,'[10]for slip'!$F:$BC,31,0)</f>
        <v>0</v>
      </c>
      <c r="L139" s="2">
        <f>VLOOKUP($C139,'[10]for slip'!$F:$BC,35,0)</f>
        <v>34354.584590750004</v>
      </c>
      <c r="M139" s="2">
        <f>VLOOKUP($C139,'[10]for slip'!$F:$BC,36,0)</f>
        <v>0</v>
      </c>
      <c r="N139" s="2">
        <f>VLOOKUP($C139,'[10]for slip'!$F:$BC,37,0)</f>
        <v>0</v>
      </c>
      <c r="O139" s="2">
        <f>VLOOKUP($C139,'[10]for slip'!$F:$BC,38,0)</f>
        <v>0</v>
      </c>
      <c r="P139" s="2">
        <f>VLOOKUP($C139,'[10]for slip'!$F:$BC,39,0)</f>
        <v>38000</v>
      </c>
      <c r="Q139" s="2">
        <f>VLOOKUP($C139,'[10]for slip'!$F:$BC,40,0)</f>
        <v>31700</v>
      </c>
      <c r="R139" s="2">
        <f>VLOOKUP($C139,'[10]for slip'!$F:$BC,41,0)</f>
        <v>0</v>
      </c>
      <c r="S139" s="2">
        <f>VLOOKUP($C139,'[10]for slip'!$F:$BC,42,0)</f>
        <v>0</v>
      </c>
      <c r="T139" s="2">
        <f>VLOOKUP($C139,'[10]for slip'!$F:$BC,43,0)</f>
        <v>53430.83</v>
      </c>
      <c r="U139" s="2">
        <f>VLOOKUP($C139,'[10]for slip'!$F:$BC,44,0)</f>
        <v>106861.66</v>
      </c>
      <c r="V139" s="2">
        <f>VLOOKUP($C139,'[10]for slip'!$F:$BC,45,0)</f>
        <v>53430.83</v>
      </c>
      <c r="W139" s="2">
        <f>VLOOKUP($C139,'[10]for slip'!$F:$BC,48,0)</f>
        <v>34354.584590750004</v>
      </c>
    </row>
    <row r="140" spans="1:23" x14ac:dyDescent="0.25">
      <c r="A140" s="1">
        <v>139</v>
      </c>
      <c r="B140" s="2" t="s">
        <v>299</v>
      </c>
      <c r="C140" s="2" t="s">
        <v>300</v>
      </c>
      <c r="D140" s="2" t="str">
        <f>VLOOKUP($C140,'[10]for slip'!$F:$BC,3,0)</f>
        <v>Pelaksana</v>
      </c>
      <c r="E140" s="2" t="str">
        <f>VLOOKUP($C140,'[10]for slip'!$F:$BC,4,0)</f>
        <v>Prod. Stamping</v>
      </c>
      <c r="F140" s="2">
        <f>VLOOKUP($C140,'[10]for slip'!$F:$BC,14,0)</f>
        <v>5343083</v>
      </c>
      <c r="G140" s="2">
        <f>VLOOKUP($C140,'[10]for slip'!$F:$BC,15,0)</f>
        <v>0</v>
      </c>
      <c r="H140" s="2">
        <f>VLOOKUP($C140,'[10]for slip'!$F:$BC,16,0)</f>
        <v>0</v>
      </c>
      <c r="I140" s="2">
        <f>VLOOKUP($C140,'[10]for slip'!$F:$BC,17,0)</f>
        <v>0</v>
      </c>
      <c r="J140" s="2">
        <f>VLOOKUP($C140,'[10]for slip'!$F:$BC,27,0)</f>
        <v>0</v>
      </c>
      <c r="K140" s="2">
        <f>VLOOKUP($C140,'[10]for slip'!$F:$BC,31,0)</f>
        <v>0</v>
      </c>
      <c r="L140" s="2">
        <f>VLOOKUP($C140,'[10]for slip'!$F:$BC,35,0)</f>
        <v>34354.584590750004</v>
      </c>
      <c r="M140" s="2">
        <f>VLOOKUP($C140,'[10]for slip'!$F:$BC,36,0)</f>
        <v>0</v>
      </c>
      <c r="N140" s="2">
        <f>VLOOKUP($C140,'[10]for slip'!$F:$BC,37,0)</f>
        <v>0</v>
      </c>
      <c r="O140" s="2">
        <f>VLOOKUP($C140,'[10]for slip'!$F:$BC,38,0)</f>
        <v>0</v>
      </c>
      <c r="P140" s="2">
        <f>VLOOKUP($C140,'[10]for slip'!$F:$BC,39,0)</f>
        <v>0</v>
      </c>
      <c r="Q140" s="2">
        <f>VLOOKUP($C140,'[10]for slip'!$F:$BC,40,0)</f>
        <v>31700</v>
      </c>
      <c r="R140" s="2">
        <f>VLOOKUP($C140,'[10]for slip'!$F:$BC,41,0)</f>
        <v>0</v>
      </c>
      <c r="S140" s="2">
        <f>VLOOKUP($C140,'[10]for slip'!$F:$BC,42,0)</f>
        <v>0</v>
      </c>
      <c r="T140" s="2">
        <f>VLOOKUP($C140,'[10]for slip'!$F:$BC,43,0)</f>
        <v>53430.83</v>
      </c>
      <c r="U140" s="2">
        <f>VLOOKUP($C140,'[10]for slip'!$F:$BC,44,0)</f>
        <v>106861.66</v>
      </c>
      <c r="V140" s="2">
        <f>VLOOKUP($C140,'[10]for slip'!$F:$BC,45,0)</f>
        <v>53430.83</v>
      </c>
      <c r="W140" s="2">
        <f>VLOOKUP($C140,'[10]for slip'!$F:$BC,48,0)</f>
        <v>34354.584590750004</v>
      </c>
    </row>
    <row r="141" spans="1:23" x14ac:dyDescent="0.25">
      <c r="A141" s="1">
        <v>140</v>
      </c>
      <c r="B141" s="2" t="s">
        <v>301</v>
      </c>
      <c r="C141" s="2" t="s">
        <v>302</v>
      </c>
      <c r="D141" s="2" t="str">
        <f>VLOOKUP($C141,'[10]for slip'!$F:$BC,3,0)</f>
        <v>Pelaksana</v>
      </c>
      <c r="E141" s="2" t="str">
        <f>VLOOKUP($C141,'[10]for slip'!$F:$BC,4,0)</f>
        <v>Prod. Stamping</v>
      </c>
      <c r="F141" s="2">
        <f>VLOOKUP($C141,'[10]for slip'!$F:$BC,14,0)</f>
        <v>5343083</v>
      </c>
      <c r="G141" s="2">
        <f>VLOOKUP($C141,'[10]for slip'!$F:$BC,15,0)</f>
        <v>0</v>
      </c>
      <c r="H141" s="2">
        <f>VLOOKUP($C141,'[10]for slip'!$F:$BC,16,0)</f>
        <v>0</v>
      </c>
      <c r="I141" s="2">
        <f>VLOOKUP($C141,'[10]for slip'!$F:$BC,17,0)</f>
        <v>0</v>
      </c>
      <c r="J141" s="2">
        <f>VLOOKUP($C141,'[10]for slip'!$F:$BC,27,0)</f>
        <v>0</v>
      </c>
      <c r="K141" s="2">
        <f>VLOOKUP($C141,'[10]for slip'!$F:$BC,31,0)</f>
        <v>0</v>
      </c>
      <c r="L141" s="2">
        <f>VLOOKUP($C141,'[10]for slip'!$F:$BC,35,0)</f>
        <v>0</v>
      </c>
      <c r="M141" s="2">
        <f>VLOOKUP($C141,'[10]for slip'!$F:$BC,36,0)</f>
        <v>0</v>
      </c>
      <c r="N141" s="2">
        <f>VLOOKUP($C141,'[10]for slip'!$F:$BC,37,0)</f>
        <v>0</v>
      </c>
      <c r="O141" s="2">
        <f>VLOOKUP($C141,'[10]for slip'!$F:$BC,38,0)</f>
        <v>0</v>
      </c>
      <c r="P141" s="2">
        <f>VLOOKUP($C141,'[10]for slip'!$F:$BC,39,0)</f>
        <v>38000</v>
      </c>
      <c r="Q141" s="2">
        <f>VLOOKUP($C141,'[10]for slip'!$F:$BC,40,0)</f>
        <v>31700</v>
      </c>
      <c r="R141" s="2">
        <f>VLOOKUP($C141,'[10]for slip'!$F:$BC,41,0)</f>
        <v>0</v>
      </c>
      <c r="S141" s="2">
        <f>VLOOKUP($C141,'[10]for slip'!$F:$BC,42,0)</f>
        <v>0</v>
      </c>
      <c r="T141" s="2">
        <f>VLOOKUP($C141,'[10]for slip'!$F:$BC,43,0)</f>
        <v>53430.83</v>
      </c>
      <c r="U141" s="2">
        <f>VLOOKUP($C141,'[10]for slip'!$F:$BC,44,0)</f>
        <v>106861.66</v>
      </c>
      <c r="V141" s="2">
        <f>VLOOKUP($C141,'[10]for slip'!$F:$BC,45,0)</f>
        <v>53430.83</v>
      </c>
      <c r="W141" s="2">
        <f>VLOOKUP($C141,'[10]for slip'!$F:$BC,48,0)</f>
        <v>0</v>
      </c>
    </row>
    <row r="142" spans="1:23" x14ac:dyDescent="0.25">
      <c r="A142" s="1">
        <v>141</v>
      </c>
      <c r="B142" s="2" t="s">
        <v>303</v>
      </c>
      <c r="C142" s="2" t="s">
        <v>304</v>
      </c>
      <c r="D142" s="2" t="str">
        <f>VLOOKUP($C142,'[10]for slip'!$F:$BC,3,0)</f>
        <v>Pelaksana</v>
      </c>
      <c r="E142" s="2" t="str">
        <f>VLOOKUP($C142,'[10]for slip'!$F:$BC,4,0)</f>
        <v>Prod. Stamping</v>
      </c>
      <c r="F142" s="2">
        <f>VLOOKUP($C142,'[10]for slip'!$F:$BC,14,0)</f>
        <v>5343083</v>
      </c>
      <c r="G142" s="2">
        <f>VLOOKUP($C142,'[10]for slip'!$F:$BC,15,0)</f>
        <v>0</v>
      </c>
      <c r="H142" s="2">
        <f>VLOOKUP($C142,'[10]for slip'!$F:$BC,16,0)</f>
        <v>0</v>
      </c>
      <c r="I142" s="2">
        <f>VLOOKUP($C142,'[10]for slip'!$F:$BC,17,0)</f>
        <v>0</v>
      </c>
      <c r="J142" s="2">
        <f>VLOOKUP($C142,'[10]for slip'!$F:$BC,27,0)</f>
        <v>0</v>
      </c>
      <c r="K142" s="2">
        <f>VLOOKUP($C142,'[10]for slip'!$F:$BC,31,0)</f>
        <v>0</v>
      </c>
      <c r="L142" s="2">
        <f>VLOOKUP($C142,'[10]for slip'!$F:$BC,35,0)</f>
        <v>15604.584590750002</v>
      </c>
      <c r="M142" s="2">
        <f>VLOOKUP($C142,'[10]for slip'!$F:$BC,36,0)</f>
        <v>0</v>
      </c>
      <c r="N142" s="2">
        <f>VLOOKUP($C142,'[10]for slip'!$F:$BC,37,0)</f>
        <v>0</v>
      </c>
      <c r="O142" s="2">
        <f>VLOOKUP($C142,'[10]for slip'!$F:$BC,38,0)</f>
        <v>0</v>
      </c>
      <c r="P142" s="2">
        <f>VLOOKUP($C142,'[10]for slip'!$F:$BC,39,0)</f>
        <v>0</v>
      </c>
      <c r="Q142" s="2">
        <f>VLOOKUP($C142,'[10]for slip'!$F:$BC,40,0)</f>
        <v>31700</v>
      </c>
      <c r="R142" s="2">
        <f>VLOOKUP($C142,'[10]for slip'!$F:$BC,41,0)</f>
        <v>0</v>
      </c>
      <c r="S142" s="2">
        <f>VLOOKUP($C142,'[10]for slip'!$F:$BC,42,0)</f>
        <v>0</v>
      </c>
      <c r="T142" s="2">
        <f>VLOOKUP($C142,'[10]for slip'!$F:$BC,43,0)</f>
        <v>53430.83</v>
      </c>
      <c r="U142" s="2">
        <f>VLOOKUP($C142,'[10]for slip'!$F:$BC,44,0)</f>
        <v>106861.66</v>
      </c>
      <c r="V142" s="2">
        <f>VLOOKUP($C142,'[10]for slip'!$F:$BC,45,0)</f>
        <v>53430.83</v>
      </c>
      <c r="W142" s="2">
        <f>VLOOKUP($C142,'[10]for slip'!$F:$BC,48,0)</f>
        <v>15604.584590750002</v>
      </c>
    </row>
    <row r="143" spans="1:23" x14ac:dyDescent="0.25">
      <c r="A143" s="1">
        <v>142</v>
      </c>
      <c r="B143" s="2" t="s">
        <v>305</v>
      </c>
      <c r="C143" s="2" t="s">
        <v>306</v>
      </c>
      <c r="D143" s="2" t="str">
        <f>VLOOKUP($C143,'[10]for slip'!$F:$BC,3,0)</f>
        <v>Sect Head</v>
      </c>
      <c r="E143" s="2" t="str">
        <f>VLOOKUP($C143,'[10]for slip'!$F:$BC,4,0)</f>
        <v>Assembly</v>
      </c>
      <c r="F143" s="2">
        <f>VLOOKUP($C143,'[10]for slip'!$F:$BC,14,0)</f>
        <v>5343083</v>
      </c>
      <c r="G143" s="2">
        <f>VLOOKUP($C143,'[10]for slip'!$F:$BC,15,0)</f>
        <v>1500000</v>
      </c>
      <c r="H143" s="2">
        <f>VLOOKUP($C143,'[10]for slip'!$F:$BC,16,0)</f>
        <v>0</v>
      </c>
      <c r="I143" s="2">
        <f>VLOOKUP($C143,'[10]for slip'!$F:$BC,17,0)</f>
        <v>300000</v>
      </c>
      <c r="J143" s="2">
        <f>VLOOKUP($C143,'[10]for slip'!$F:$BC,27,0)</f>
        <v>0</v>
      </c>
      <c r="K143" s="2">
        <f>VLOOKUP($C143,'[10]for slip'!$F:$BC,31,0)</f>
        <v>0</v>
      </c>
      <c r="L143" s="2">
        <f>VLOOKUP($C143,'[10]for slip'!$F:$BC,35,0)</f>
        <v>64052.034590749943</v>
      </c>
      <c r="M143" s="2">
        <f>VLOOKUP($C143,'[10]for slip'!$F:$BC,36,0)</f>
        <v>0</v>
      </c>
      <c r="N143" s="2">
        <f>VLOOKUP($C143,'[10]for slip'!$F:$BC,37,0)</f>
        <v>0</v>
      </c>
      <c r="O143" s="2">
        <f>VLOOKUP($C143,'[10]for slip'!$F:$BC,38,0)</f>
        <v>0</v>
      </c>
      <c r="P143" s="2">
        <f>VLOOKUP($C143,'[10]for slip'!$F:$BC,39,0)</f>
        <v>38000</v>
      </c>
      <c r="Q143" s="2">
        <f>VLOOKUP($C143,'[10]for slip'!$F:$BC,40,0)</f>
        <v>31700</v>
      </c>
      <c r="R143" s="2">
        <f>VLOOKUP($C143,'[10]for slip'!$F:$BC,41,0)</f>
        <v>0</v>
      </c>
      <c r="S143" s="2">
        <f>VLOOKUP($C143,'[10]for slip'!$F:$BC,42,0)</f>
        <v>10000</v>
      </c>
      <c r="T143" s="2">
        <f>VLOOKUP($C143,'[10]for slip'!$F:$BC,43,0)</f>
        <v>63930.83</v>
      </c>
      <c r="U143" s="2">
        <f>VLOOKUP($C143,'[10]for slip'!$F:$BC,44,0)</f>
        <v>142861.66</v>
      </c>
      <c r="V143" s="2">
        <f>VLOOKUP($C143,'[10]for slip'!$F:$BC,45,0)</f>
        <v>71430.83</v>
      </c>
      <c r="W143" s="2">
        <f>VLOOKUP($C143,'[10]for slip'!$F:$BC,48,0)</f>
        <v>64052.034590749943</v>
      </c>
    </row>
    <row r="144" spans="1:23" x14ac:dyDescent="0.25">
      <c r="A144" s="1">
        <v>143</v>
      </c>
      <c r="B144" s="2" t="s">
        <v>307</v>
      </c>
      <c r="C144" s="2" t="s">
        <v>308</v>
      </c>
      <c r="D144" s="2" t="str">
        <f>VLOOKUP($C144,'[10]for slip'!$F:$BC,3,0)</f>
        <v>Sect Head</v>
      </c>
      <c r="E144" s="2" t="str">
        <f>VLOOKUP($C144,'[10]for slip'!$F:$BC,4,0)</f>
        <v>Assembly</v>
      </c>
      <c r="F144" s="2">
        <f>VLOOKUP($C144,'[10]for slip'!$F:$BC,14,0)</f>
        <v>5343083</v>
      </c>
      <c r="G144" s="2">
        <f>VLOOKUP($C144,'[10]for slip'!$F:$BC,15,0)</f>
        <v>1500000</v>
      </c>
      <c r="H144" s="2">
        <f>VLOOKUP($C144,'[10]for slip'!$F:$BC,16,0)</f>
        <v>0</v>
      </c>
      <c r="I144" s="2">
        <f>VLOOKUP($C144,'[10]for slip'!$F:$BC,17,0)</f>
        <v>213723</v>
      </c>
      <c r="J144" s="2">
        <f>VLOOKUP($C144,'[10]for slip'!$F:$BC,27,0)</f>
        <v>0</v>
      </c>
      <c r="K144" s="2">
        <f>VLOOKUP($C144,'[10]for slip'!$F:$BC,31,0)</f>
        <v>0</v>
      </c>
      <c r="L144" s="2">
        <f>VLOOKUP($C144,'[10]for slip'!$F:$BC,35,0)</f>
        <v>41114.127441500066</v>
      </c>
      <c r="M144" s="2">
        <f>VLOOKUP($C144,'[10]for slip'!$F:$BC,36,0)</f>
        <v>0</v>
      </c>
      <c r="N144" s="2">
        <f>VLOOKUP($C144,'[10]for slip'!$F:$BC,37,0)</f>
        <v>0</v>
      </c>
      <c r="O144" s="2">
        <f>VLOOKUP($C144,'[10]for slip'!$F:$BC,38,0)</f>
        <v>0</v>
      </c>
      <c r="P144" s="2">
        <f>VLOOKUP($C144,'[10]for slip'!$F:$BC,39,0)</f>
        <v>38000</v>
      </c>
      <c r="Q144" s="2">
        <f>VLOOKUP($C144,'[10]for slip'!$F:$BC,40,0)</f>
        <v>31700</v>
      </c>
      <c r="R144" s="2">
        <f>VLOOKUP($C144,'[10]for slip'!$F:$BC,41,0)</f>
        <v>2359067</v>
      </c>
      <c r="S144" s="2">
        <f>VLOOKUP($C144,'[10]for slip'!$F:$BC,42,0)</f>
        <v>10000</v>
      </c>
      <c r="T144" s="2">
        <f>VLOOKUP($C144,'[10]for slip'!$F:$BC,43,0)</f>
        <v>63068.060000000005</v>
      </c>
      <c r="U144" s="2">
        <f>VLOOKUP($C144,'[10]for slip'!$F:$BC,44,0)</f>
        <v>141136.12</v>
      </c>
      <c r="V144" s="2">
        <f>VLOOKUP($C144,'[10]for slip'!$F:$BC,45,0)</f>
        <v>70568.06</v>
      </c>
      <c r="W144" s="2">
        <f>VLOOKUP($C144,'[10]for slip'!$F:$BC,48,0)</f>
        <v>41114.127441500066</v>
      </c>
    </row>
    <row r="145" spans="1:23" x14ac:dyDescent="0.25">
      <c r="A145" s="1">
        <v>144</v>
      </c>
      <c r="B145" s="2" t="s">
        <v>309</v>
      </c>
      <c r="C145" s="2" t="s">
        <v>310</v>
      </c>
      <c r="D145" s="2" t="str">
        <f>VLOOKUP($C145,'[10]for slip'!$F:$BC,3,0)</f>
        <v>Sect Head</v>
      </c>
      <c r="E145" s="2" t="str">
        <f>VLOOKUP($C145,'[10]for slip'!$F:$BC,4,0)</f>
        <v>Assembly</v>
      </c>
      <c r="F145" s="2">
        <f>VLOOKUP($C145,'[10]for slip'!$F:$BC,14,0)</f>
        <v>5343083</v>
      </c>
      <c r="G145" s="2">
        <f>VLOOKUP($C145,'[10]for slip'!$F:$BC,15,0)</f>
        <v>1500000</v>
      </c>
      <c r="H145" s="2">
        <f>VLOOKUP($C145,'[10]for slip'!$F:$BC,16,0)</f>
        <v>0</v>
      </c>
      <c r="I145" s="2">
        <f>VLOOKUP($C145,'[10]for slip'!$F:$BC,17,0)</f>
        <v>213723</v>
      </c>
      <c r="J145" s="2">
        <f>VLOOKUP($C145,'[10]for slip'!$F:$BC,27,0)</f>
        <v>0</v>
      </c>
      <c r="K145" s="2">
        <f>VLOOKUP($C145,'[10]for slip'!$F:$BC,31,0)</f>
        <v>0</v>
      </c>
      <c r="L145" s="2">
        <f>VLOOKUP($C145,'[10]for slip'!$F:$BC,35,0)</f>
        <v>78614.127441500066</v>
      </c>
      <c r="M145" s="2">
        <f>VLOOKUP($C145,'[10]for slip'!$F:$BC,36,0)</f>
        <v>0</v>
      </c>
      <c r="N145" s="2">
        <f>VLOOKUP($C145,'[10]for slip'!$F:$BC,37,0)</f>
        <v>0</v>
      </c>
      <c r="O145" s="2">
        <f>VLOOKUP($C145,'[10]for slip'!$F:$BC,38,0)</f>
        <v>0</v>
      </c>
      <c r="P145" s="2">
        <f>VLOOKUP($C145,'[10]for slip'!$F:$BC,39,0)</f>
        <v>38000</v>
      </c>
      <c r="Q145" s="2">
        <f>VLOOKUP($C145,'[10]for slip'!$F:$BC,40,0)</f>
        <v>31700</v>
      </c>
      <c r="R145" s="2">
        <f>VLOOKUP($C145,'[10]for slip'!$F:$BC,41,0)</f>
        <v>0</v>
      </c>
      <c r="S145" s="2">
        <f>VLOOKUP($C145,'[10]for slip'!$F:$BC,42,0)</f>
        <v>0</v>
      </c>
      <c r="T145" s="2">
        <f>VLOOKUP($C145,'[10]for slip'!$F:$BC,43,0)</f>
        <v>63068.060000000005</v>
      </c>
      <c r="U145" s="2">
        <f>VLOOKUP($C145,'[10]for slip'!$F:$BC,44,0)</f>
        <v>141136.12</v>
      </c>
      <c r="V145" s="2">
        <f>VLOOKUP($C145,'[10]for slip'!$F:$BC,45,0)</f>
        <v>70568.06</v>
      </c>
      <c r="W145" s="2">
        <f>VLOOKUP($C145,'[10]for slip'!$F:$BC,48,0)</f>
        <v>78614.127441500066</v>
      </c>
    </row>
    <row r="146" spans="1:23" x14ac:dyDescent="0.25">
      <c r="A146" s="1">
        <v>145</v>
      </c>
      <c r="B146" s="2" t="s">
        <v>311</v>
      </c>
      <c r="C146" s="2" t="s">
        <v>312</v>
      </c>
      <c r="D146" s="2" t="str">
        <f>VLOOKUP($C146,'[10]for slip'!$F:$BC,3,0)</f>
        <v>Sect Head</v>
      </c>
      <c r="E146" s="2" t="str">
        <f>VLOOKUP($C146,'[10]for slip'!$F:$BC,4,0)</f>
        <v>Assembly</v>
      </c>
      <c r="F146" s="2">
        <f>VLOOKUP($C146,'[10]for slip'!$F:$BC,14,0)</f>
        <v>5812434</v>
      </c>
      <c r="G146" s="2">
        <f>VLOOKUP($C146,'[10]for slip'!$F:$BC,15,0)</f>
        <v>1500000</v>
      </c>
      <c r="H146" s="2">
        <f>VLOOKUP($C146,'[10]for slip'!$F:$BC,16,0)</f>
        <v>0</v>
      </c>
      <c r="I146" s="2">
        <f>VLOOKUP($C146,'[10]for slip'!$F:$BC,17,0)</f>
        <v>724075</v>
      </c>
      <c r="J146" s="2">
        <f>VLOOKUP($C146,'[10]for slip'!$F:$BC,27,0)</f>
        <v>0</v>
      </c>
      <c r="K146" s="2">
        <f>VLOOKUP($C146,'[10]for slip'!$F:$BC,31,0)</f>
        <v>0</v>
      </c>
      <c r="L146" s="2">
        <f>VLOOKUP($C146,'[10]for slip'!$F:$BC,35,0)</f>
        <v>107894.15598724999</v>
      </c>
      <c r="M146" s="2">
        <f>VLOOKUP($C146,'[10]for slip'!$F:$BC,36,0)</f>
        <v>0</v>
      </c>
      <c r="N146" s="2">
        <f>VLOOKUP($C146,'[10]for slip'!$F:$BC,37,0)</f>
        <v>0</v>
      </c>
      <c r="O146" s="2">
        <f>VLOOKUP($C146,'[10]for slip'!$F:$BC,38,0)</f>
        <v>0</v>
      </c>
      <c r="P146" s="2">
        <f>VLOOKUP($C146,'[10]for slip'!$F:$BC,39,0)</f>
        <v>38000</v>
      </c>
      <c r="Q146" s="2">
        <f>VLOOKUP($C146,'[10]for slip'!$F:$BC,40,0)</f>
        <v>31700</v>
      </c>
      <c r="R146" s="2">
        <f>VLOOKUP($C146,'[10]for slip'!$F:$BC,41,0)</f>
        <v>0</v>
      </c>
      <c r="S146" s="2">
        <f>VLOOKUP($C146,'[10]for slip'!$F:$BC,42,0)</f>
        <v>10000</v>
      </c>
      <c r="T146" s="2">
        <f>VLOOKUP($C146,'[10]for slip'!$F:$BC,43,0)</f>
        <v>75365.09</v>
      </c>
      <c r="U146" s="2">
        <f>VLOOKUP($C146,'[10]for slip'!$F:$BC,44,0)</f>
        <v>160730.18</v>
      </c>
      <c r="V146" s="2">
        <f>VLOOKUP($C146,'[10]for slip'!$F:$BC,45,0)</f>
        <v>80365.09</v>
      </c>
      <c r="W146" s="2">
        <f>VLOOKUP($C146,'[10]for slip'!$F:$BC,48,0)</f>
        <v>107894.15598724999</v>
      </c>
    </row>
    <row r="147" spans="1:23" x14ac:dyDescent="0.25">
      <c r="A147" s="1">
        <v>146</v>
      </c>
      <c r="B147" s="2" t="s">
        <v>313</v>
      </c>
      <c r="C147" s="2" t="s">
        <v>314</v>
      </c>
      <c r="D147" s="2" t="str">
        <f>VLOOKUP($C147,'[10]for slip'!$F:$BC,3,0)</f>
        <v xml:space="preserve">Leader </v>
      </c>
      <c r="E147" s="2" t="str">
        <f>VLOOKUP($C147,'[10]for slip'!$F:$BC,4,0)</f>
        <v>Assembly</v>
      </c>
      <c r="F147" s="2">
        <f>VLOOKUP($C147,'[10]for slip'!$F:$BC,14,0)</f>
        <v>5343083</v>
      </c>
      <c r="G147" s="2">
        <f>VLOOKUP($C147,'[10]for slip'!$F:$BC,15,0)</f>
        <v>500000</v>
      </c>
      <c r="H147" s="2">
        <f>VLOOKUP($C147,'[10]for slip'!$F:$BC,16,0)</f>
        <v>0</v>
      </c>
      <c r="I147" s="2">
        <f>VLOOKUP($C147,'[10]for slip'!$F:$BC,17,0)</f>
        <v>0</v>
      </c>
      <c r="J147" s="2">
        <f>VLOOKUP($C147,'[10]for slip'!$F:$BC,27,0)</f>
        <v>0</v>
      </c>
      <c r="K147" s="2">
        <f>VLOOKUP($C147,'[10]for slip'!$F:$BC,31,0)</f>
        <v>0</v>
      </c>
      <c r="L147" s="2">
        <f>VLOOKUP($C147,'[10]for slip'!$F:$BC,35,0)</f>
        <v>21124.709590749942</v>
      </c>
      <c r="M147" s="2">
        <f>VLOOKUP($C147,'[10]for slip'!$F:$BC,36,0)</f>
        <v>0</v>
      </c>
      <c r="N147" s="2">
        <f>VLOOKUP($C147,'[10]for slip'!$F:$BC,37,0)</f>
        <v>0</v>
      </c>
      <c r="O147" s="2">
        <f>VLOOKUP($C147,'[10]for slip'!$F:$BC,38,0)</f>
        <v>0</v>
      </c>
      <c r="P147" s="2">
        <f>VLOOKUP($C147,'[10]for slip'!$F:$BC,39,0)</f>
        <v>38000</v>
      </c>
      <c r="Q147" s="2">
        <f>VLOOKUP($C147,'[10]for slip'!$F:$BC,40,0)</f>
        <v>31700</v>
      </c>
      <c r="R147" s="2">
        <f>VLOOKUP($C147,'[10]for slip'!$F:$BC,41,0)</f>
        <v>0</v>
      </c>
      <c r="S147" s="2">
        <f>VLOOKUP($C147,'[10]for slip'!$F:$BC,42,0)</f>
        <v>0</v>
      </c>
      <c r="T147" s="2">
        <f>VLOOKUP($C147,'[10]for slip'!$F:$BC,43,0)</f>
        <v>58430.83</v>
      </c>
      <c r="U147" s="2">
        <f>VLOOKUP($C147,'[10]for slip'!$F:$BC,44,0)</f>
        <v>116861.66</v>
      </c>
      <c r="V147" s="2">
        <f>VLOOKUP($C147,'[10]for slip'!$F:$BC,45,0)</f>
        <v>58430.83</v>
      </c>
      <c r="W147" s="2">
        <f>VLOOKUP($C147,'[10]for slip'!$F:$BC,48,0)</f>
        <v>21124.709590749942</v>
      </c>
    </row>
    <row r="148" spans="1:23" x14ac:dyDescent="0.25">
      <c r="A148" s="1">
        <v>147</v>
      </c>
      <c r="B148" s="2" t="s">
        <v>315</v>
      </c>
      <c r="C148" s="2" t="s">
        <v>316</v>
      </c>
      <c r="D148" s="2" t="str">
        <f>VLOOKUP($C148,'[10]for slip'!$F:$BC,3,0)</f>
        <v xml:space="preserve">Leader </v>
      </c>
      <c r="E148" s="2" t="str">
        <f>VLOOKUP($C148,'[10]for slip'!$F:$BC,4,0)</f>
        <v>Assembly</v>
      </c>
      <c r="F148" s="2">
        <f>VLOOKUP($C148,'[10]for slip'!$F:$BC,14,0)</f>
        <v>5343083</v>
      </c>
      <c r="G148" s="2">
        <f>VLOOKUP($C148,'[10]for slip'!$F:$BC,15,0)</f>
        <v>500000</v>
      </c>
      <c r="H148" s="2">
        <f>VLOOKUP($C148,'[10]for slip'!$F:$BC,16,0)</f>
        <v>0</v>
      </c>
      <c r="I148" s="2">
        <f>VLOOKUP($C148,'[10]for slip'!$F:$BC,17,0)</f>
        <v>0</v>
      </c>
      <c r="J148" s="2">
        <f>VLOOKUP($C148,'[10]for slip'!$F:$BC,27,0)</f>
        <v>0</v>
      </c>
      <c r="K148" s="2">
        <f>VLOOKUP($C148,'[10]for slip'!$F:$BC,31,0)</f>
        <v>0</v>
      </c>
      <c r="L148" s="2">
        <f>VLOOKUP($C148,'[10]for slip'!$F:$BC,35,0)</f>
        <v>58624.709590749939</v>
      </c>
      <c r="M148" s="2">
        <f>VLOOKUP($C148,'[10]for slip'!$F:$BC,36,0)</f>
        <v>0</v>
      </c>
      <c r="N148" s="2">
        <f>VLOOKUP($C148,'[10]for slip'!$F:$BC,37,0)</f>
        <v>0</v>
      </c>
      <c r="O148" s="2">
        <f>VLOOKUP($C148,'[10]for slip'!$F:$BC,38,0)</f>
        <v>0</v>
      </c>
      <c r="P148" s="2">
        <f>VLOOKUP($C148,'[10]for slip'!$F:$BC,39,0)</f>
        <v>0</v>
      </c>
      <c r="Q148" s="2">
        <f>VLOOKUP($C148,'[10]for slip'!$F:$BC,40,0)</f>
        <v>31700</v>
      </c>
      <c r="R148" s="2">
        <f>VLOOKUP($C148,'[10]for slip'!$F:$BC,41,0)</f>
        <v>0</v>
      </c>
      <c r="S148" s="2">
        <f>VLOOKUP($C148,'[10]for slip'!$F:$BC,42,0)</f>
        <v>0</v>
      </c>
      <c r="T148" s="2">
        <f>VLOOKUP($C148,'[10]for slip'!$F:$BC,43,0)</f>
        <v>58430.83</v>
      </c>
      <c r="U148" s="2">
        <f>VLOOKUP($C148,'[10]for slip'!$F:$BC,44,0)</f>
        <v>116861.66</v>
      </c>
      <c r="V148" s="2">
        <f>VLOOKUP($C148,'[10]for slip'!$F:$BC,45,0)</f>
        <v>58430.83</v>
      </c>
      <c r="W148" s="2">
        <f>VLOOKUP($C148,'[10]for slip'!$F:$BC,48,0)</f>
        <v>58624.709590749939</v>
      </c>
    </row>
    <row r="149" spans="1:23" x14ac:dyDescent="0.25">
      <c r="A149" s="1">
        <v>148</v>
      </c>
      <c r="B149" s="2" t="s">
        <v>317</v>
      </c>
      <c r="C149" s="2" t="s">
        <v>318</v>
      </c>
      <c r="D149" s="2" t="str">
        <f>VLOOKUP($C149,'[10]for slip'!$F:$BC,3,0)</f>
        <v xml:space="preserve">Leader </v>
      </c>
      <c r="E149" s="2" t="str">
        <f>VLOOKUP($C149,'[10]for slip'!$F:$BC,4,0)</f>
        <v>Assembly</v>
      </c>
      <c r="F149" s="2">
        <f>VLOOKUP($C149,'[10]for slip'!$F:$BC,14,0)</f>
        <v>5343083</v>
      </c>
      <c r="G149" s="2">
        <f>VLOOKUP($C149,'[10]for slip'!$F:$BC,15,0)</f>
        <v>500000</v>
      </c>
      <c r="H149" s="2">
        <f>VLOOKUP($C149,'[10]for slip'!$F:$BC,16,0)</f>
        <v>0</v>
      </c>
      <c r="I149" s="2">
        <f>VLOOKUP($C149,'[10]for slip'!$F:$BC,17,0)</f>
        <v>0</v>
      </c>
      <c r="J149" s="2">
        <f>VLOOKUP($C149,'[10]for slip'!$F:$BC,27,0)</f>
        <v>0</v>
      </c>
      <c r="K149" s="2">
        <f>VLOOKUP($C149,'[10]for slip'!$F:$BC,31,0)</f>
        <v>0</v>
      </c>
      <c r="L149" s="2">
        <f>VLOOKUP($C149,'[10]for slip'!$F:$BC,35,0)</f>
        <v>21124.709590749942</v>
      </c>
      <c r="M149" s="2">
        <f>VLOOKUP($C149,'[10]for slip'!$F:$BC,36,0)</f>
        <v>0</v>
      </c>
      <c r="N149" s="2">
        <f>VLOOKUP($C149,'[10]for slip'!$F:$BC,37,0)</f>
        <v>0</v>
      </c>
      <c r="O149" s="2">
        <f>VLOOKUP($C149,'[10]for slip'!$F:$BC,38,0)</f>
        <v>0</v>
      </c>
      <c r="P149" s="2">
        <f>VLOOKUP($C149,'[10]for slip'!$F:$BC,39,0)</f>
        <v>38000</v>
      </c>
      <c r="Q149" s="2">
        <f>VLOOKUP($C149,'[10]for slip'!$F:$BC,40,0)</f>
        <v>31700</v>
      </c>
      <c r="R149" s="2">
        <f>VLOOKUP($C149,'[10]for slip'!$F:$BC,41,0)</f>
        <v>0</v>
      </c>
      <c r="S149" s="2">
        <f>VLOOKUP($C149,'[10]for slip'!$F:$BC,42,0)</f>
        <v>0</v>
      </c>
      <c r="T149" s="2">
        <f>VLOOKUP($C149,'[10]for slip'!$F:$BC,43,0)</f>
        <v>58430.83</v>
      </c>
      <c r="U149" s="2">
        <f>VLOOKUP($C149,'[10]for slip'!$F:$BC,44,0)</f>
        <v>116861.66</v>
      </c>
      <c r="V149" s="2">
        <f>VLOOKUP($C149,'[10]for slip'!$F:$BC,45,0)</f>
        <v>58430.83</v>
      </c>
      <c r="W149" s="2">
        <f>VLOOKUP($C149,'[10]for slip'!$F:$BC,48,0)</f>
        <v>21124.709590749942</v>
      </c>
    </row>
    <row r="150" spans="1:23" x14ac:dyDescent="0.25">
      <c r="A150" s="1">
        <v>149</v>
      </c>
      <c r="B150" s="2" t="s">
        <v>319</v>
      </c>
      <c r="C150" s="2" t="s">
        <v>320</v>
      </c>
      <c r="D150" s="2" t="str">
        <f>VLOOKUP($C150,'[10]for slip'!$F:$BC,3,0)</f>
        <v xml:space="preserve">Leader </v>
      </c>
      <c r="E150" s="2" t="str">
        <f>VLOOKUP($C150,'[10]for slip'!$F:$BC,4,0)</f>
        <v>Assembly</v>
      </c>
      <c r="F150" s="2">
        <f>VLOOKUP($C150,'[10]for slip'!$F:$BC,14,0)</f>
        <v>5343083</v>
      </c>
      <c r="G150" s="2">
        <f>VLOOKUP($C150,'[10]for slip'!$F:$BC,15,0)</f>
        <v>500000</v>
      </c>
      <c r="H150" s="2">
        <f>VLOOKUP($C150,'[10]for slip'!$F:$BC,16,0)</f>
        <v>0</v>
      </c>
      <c r="I150" s="2">
        <f>VLOOKUP($C150,'[10]for slip'!$F:$BC,17,0)</f>
        <v>0</v>
      </c>
      <c r="J150" s="2">
        <f>VLOOKUP($C150,'[10]for slip'!$F:$BC,27,0)</f>
        <v>0</v>
      </c>
      <c r="K150" s="2">
        <f>VLOOKUP($C150,'[10]for slip'!$F:$BC,31,0)</f>
        <v>0</v>
      </c>
      <c r="L150" s="2">
        <f>VLOOKUP($C150,'[10]for slip'!$F:$BC,35,0)</f>
        <v>0</v>
      </c>
      <c r="M150" s="2">
        <f>VLOOKUP($C150,'[10]for slip'!$F:$BC,36,0)</f>
        <v>0</v>
      </c>
      <c r="N150" s="2">
        <f>VLOOKUP($C150,'[10]for slip'!$F:$BC,37,0)</f>
        <v>0</v>
      </c>
      <c r="O150" s="2">
        <f>VLOOKUP($C150,'[10]for slip'!$F:$BC,38,0)</f>
        <v>0</v>
      </c>
      <c r="P150" s="2">
        <f>VLOOKUP($C150,'[10]for slip'!$F:$BC,39,0)</f>
        <v>38000</v>
      </c>
      <c r="Q150" s="2">
        <f>VLOOKUP($C150,'[10]for slip'!$F:$BC,40,0)</f>
        <v>31700</v>
      </c>
      <c r="R150" s="2">
        <f>VLOOKUP($C150,'[10]for slip'!$F:$BC,41,0)</f>
        <v>0</v>
      </c>
      <c r="S150" s="2">
        <f>VLOOKUP($C150,'[10]for slip'!$F:$BC,42,0)</f>
        <v>0</v>
      </c>
      <c r="T150" s="2">
        <f>VLOOKUP($C150,'[10]for slip'!$F:$BC,43,0)</f>
        <v>58430.83</v>
      </c>
      <c r="U150" s="2">
        <f>VLOOKUP($C150,'[10]for slip'!$F:$BC,44,0)</f>
        <v>116861.66</v>
      </c>
      <c r="V150" s="2">
        <f>VLOOKUP($C150,'[10]for slip'!$F:$BC,45,0)</f>
        <v>58430.83</v>
      </c>
      <c r="W150" s="2">
        <f>VLOOKUP($C150,'[10]for slip'!$F:$BC,48,0)</f>
        <v>0</v>
      </c>
    </row>
    <row r="151" spans="1:23" x14ac:dyDescent="0.25">
      <c r="A151" s="1">
        <v>150</v>
      </c>
      <c r="B151" s="2" t="s">
        <v>321</v>
      </c>
      <c r="C151" s="2" t="s">
        <v>322</v>
      </c>
      <c r="D151" s="2" t="str">
        <f>VLOOKUP($C151,'[10]for slip'!$F:$BC,3,0)</f>
        <v xml:space="preserve">Leader </v>
      </c>
      <c r="E151" s="2" t="str">
        <f>VLOOKUP($C151,'[10]for slip'!$F:$BC,4,0)</f>
        <v>Assembly</v>
      </c>
      <c r="F151" s="2">
        <f>VLOOKUP($C151,'[10]for slip'!$F:$BC,14,0)</f>
        <v>5343083</v>
      </c>
      <c r="G151" s="2">
        <f>VLOOKUP($C151,'[10]for slip'!$F:$BC,15,0)</f>
        <v>500000</v>
      </c>
      <c r="H151" s="2">
        <f>VLOOKUP($C151,'[10]for slip'!$F:$BC,16,0)</f>
        <v>0</v>
      </c>
      <c r="I151" s="2">
        <f>VLOOKUP($C151,'[10]for slip'!$F:$BC,17,0)</f>
        <v>0</v>
      </c>
      <c r="J151" s="2">
        <f>VLOOKUP($C151,'[10]for slip'!$F:$BC,27,0)</f>
        <v>0</v>
      </c>
      <c r="K151" s="2">
        <f>VLOOKUP($C151,'[10]for slip'!$F:$BC,31,0)</f>
        <v>0</v>
      </c>
      <c r="L151" s="2">
        <f>VLOOKUP($C151,'[10]for slip'!$F:$BC,35,0)</f>
        <v>2374.7095907499393</v>
      </c>
      <c r="M151" s="2">
        <f>VLOOKUP($C151,'[10]for slip'!$F:$BC,36,0)</f>
        <v>0</v>
      </c>
      <c r="N151" s="2">
        <f>VLOOKUP($C151,'[10]for slip'!$F:$BC,37,0)</f>
        <v>0</v>
      </c>
      <c r="O151" s="2">
        <f>VLOOKUP($C151,'[10]for slip'!$F:$BC,38,0)</f>
        <v>0</v>
      </c>
      <c r="P151" s="2">
        <f>VLOOKUP($C151,'[10]for slip'!$F:$BC,39,0)</f>
        <v>0</v>
      </c>
      <c r="Q151" s="2">
        <f>VLOOKUP($C151,'[10]for slip'!$F:$BC,40,0)</f>
        <v>31700</v>
      </c>
      <c r="R151" s="2">
        <f>VLOOKUP($C151,'[10]for slip'!$F:$BC,41,0)</f>
        <v>0</v>
      </c>
      <c r="S151" s="2">
        <f>VLOOKUP($C151,'[10]for slip'!$F:$BC,42,0)</f>
        <v>0</v>
      </c>
      <c r="T151" s="2">
        <f>VLOOKUP($C151,'[10]for slip'!$F:$BC,43,0)</f>
        <v>58430.83</v>
      </c>
      <c r="U151" s="2">
        <f>VLOOKUP($C151,'[10]for slip'!$F:$BC,44,0)</f>
        <v>116861.66</v>
      </c>
      <c r="V151" s="2">
        <f>VLOOKUP($C151,'[10]for slip'!$F:$BC,45,0)</f>
        <v>58430.83</v>
      </c>
      <c r="W151" s="2">
        <f>VLOOKUP($C151,'[10]for slip'!$F:$BC,48,0)</f>
        <v>2374.7095907499393</v>
      </c>
    </row>
    <row r="152" spans="1:23" x14ac:dyDescent="0.25">
      <c r="A152" s="1">
        <v>151</v>
      </c>
      <c r="B152" s="2" t="s">
        <v>323</v>
      </c>
      <c r="C152" s="2" t="s">
        <v>324</v>
      </c>
      <c r="D152" s="2" t="str">
        <f>VLOOKUP($C152,'[10]for slip'!$F:$BC,3,0)</f>
        <v xml:space="preserve">Leader </v>
      </c>
      <c r="E152" s="2" t="str">
        <f>VLOOKUP($C152,'[10]for slip'!$F:$BC,4,0)</f>
        <v>Assembly</v>
      </c>
      <c r="F152" s="2">
        <f>VLOOKUP($C152,'[10]for slip'!$F:$BC,14,0)</f>
        <v>5343083</v>
      </c>
      <c r="G152" s="2">
        <f>VLOOKUP($C152,'[10]for slip'!$F:$BC,15,0)</f>
        <v>500000</v>
      </c>
      <c r="H152" s="2">
        <f>VLOOKUP($C152,'[10]for slip'!$F:$BC,16,0)</f>
        <v>0</v>
      </c>
      <c r="I152" s="2">
        <f>VLOOKUP($C152,'[10]for slip'!$F:$BC,17,0)</f>
        <v>0</v>
      </c>
      <c r="J152" s="2">
        <f>VLOOKUP($C152,'[10]for slip'!$F:$BC,27,0)</f>
        <v>0</v>
      </c>
      <c r="K152" s="2">
        <f>VLOOKUP($C152,'[10]for slip'!$F:$BC,31,0)</f>
        <v>0</v>
      </c>
      <c r="L152" s="2">
        <f>VLOOKUP($C152,'[10]for slip'!$F:$BC,35,0)</f>
        <v>2374.7095907499393</v>
      </c>
      <c r="M152" s="2">
        <f>VLOOKUP($C152,'[10]for slip'!$F:$BC,36,0)</f>
        <v>0</v>
      </c>
      <c r="N152" s="2">
        <f>VLOOKUP($C152,'[10]for slip'!$F:$BC,37,0)</f>
        <v>0</v>
      </c>
      <c r="O152" s="2">
        <f>VLOOKUP($C152,'[10]for slip'!$F:$BC,38,0)</f>
        <v>0</v>
      </c>
      <c r="P152" s="2">
        <f>VLOOKUP($C152,'[10]for slip'!$F:$BC,39,0)</f>
        <v>38000</v>
      </c>
      <c r="Q152" s="2">
        <f>VLOOKUP($C152,'[10]for slip'!$F:$BC,40,0)</f>
        <v>31700</v>
      </c>
      <c r="R152" s="2">
        <f>VLOOKUP($C152,'[10]for slip'!$F:$BC,41,0)</f>
        <v>0</v>
      </c>
      <c r="S152" s="2">
        <f>VLOOKUP($C152,'[10]for slip'!$F:$BC,42,0)</f>
        <v>0</v>
      </c>
      <c r="T152" s="2">
        <f>VLOOKUP($C152,'[10]for slip'!$F:$BC,43,0)</f>
        <v>58430.83</v>
      </c>
      <c r="U152" s="2">
        <f>VLOOKUP($C152,'[10]for slip'!$F:$BC,44,0)</f>
        <v>116861.66</v>
      </c>
      <c r="V152" s="2">
        <f>VLOOKUP($C152,'[10]for slip'!$F:$BC,45,0)</f>
        <v>58430.83</v>
      </c>
      <c r="W152" s="2">
        <f>VLOOKUP($C152,'[10]for slip'!$F:$BC,48,0)</f>
        <v>2374.7095907499393</v>
      </c>
    </row>
    <row r="153" spans="1:23" x14ac:dyDescent="0.25">
      <c r="A153" s="1">
        <v>152</v>
      </c>
      <c r="B153" s="2" t="s">
        <v>325</v>
      </c>
      <c r="C153" s="2" t="s">
        <v>326</v>
      </c>
      <c r="D153" s="2" t="str">
        <f>VLOOKUP($C153,'[10]for slip'!$F:$BC,3,0)</f>
        <v xml:space="preserve">Leader </v>
      </c>
      <c r="E153" s="2" t="str">
        <f>VLOOKUP($C153,'[10]for slip'!$F:$BC,4,0)</f>
        <v>Assembly</v>
      </c>
      <c r="F153" s="2">
        <f>VLOOKUP($C153,'[10]for slip'!$F:$BC,14,0)</f>
        <v>5343083</v>
      </c>
      <c r="G153" s="2">
        <f>VLOOKUP($C153,'[10]for slip'!$F:$BC,15,0)</f>
        <v>500000</v>
      </c>
      <c r="H153" s="2">
        <f>VLOOKUP($C153,'[10]for slip'!$F:$BC,16,0)</f>
        <v>0</v>
      </c>
      <c r="I153" s="2">
        <f>VLOOKUP($C153,'[10]for slip'!$F:$BC,17,0)</f>
        <v>0</v>
      </c>
      <c r="J153" s="2">
        <f>VLOOKUP($C153,'[10]for slip'!$F:$BC,27,0)</f>
        <v>0</v>
      </c>
      <c r="K153" s="2">
        <f>VLOOKUP($C153,'[10]for slip'!$F:$BC,31,0)</f>
        <v>0</v>
      </c>
      <c r="L153" s="2">
        <f>VLOOKUP($C153,'[10]for slip'!$F:$BC,35,0)</f>
        <v>2374.7095907499393</v>
      </c>
      <c r="M153" s="2">
        <f>VLOOKUP($C153,'[10]for slip'!$F:$BC,36,0)</f>
        <v>0</v>
      </c>
      <c r="N153" s="2">
        <f>VLOOKUP($C153,'[10]for slip'!$F:$BC,37,0)</f>
        <v>0</v>
      </c>
      <c r="O153" s="2">
        <f>VLOOKUP($C153,'[10]for slip'!$F:$BC,38,0)</f>
        <v>0</v>
      </c>
      <c r="P153" s="2">
        <f>VLOOKUP($C153,'[10]for slip'!$F:$BC,39,0)</f>
        <v>38000</v>
      </c>
      <c r="Q153" s="2">
        <f>VLOOKUP($C153,'[10]for slip'!$F:$BC,40,0)</f>
        <v>31700</v>
      </c>
      <c r="R153" s="2">
        <f>VLOOKUP($C153,'[10]for slip'!$F:$BC,41,0)</f>
        <v>2359067</v>
      </c>
      <c r="S153" s="2">
        <f>VLOOKUP($C153,'[10]for slip'!$F:$BC,42,0)</f>
        <v>0</v>
      </c>
      <c r="T153" s="2">
        <f>VLOOKUP($C153,'[10]for slip'!$F:$BC,43,0)</f>
        <v>58430.83</v>
      </c>
      <c r="U153" s="2">
        <f>VLOOKUP($C153,'[10]for slip'!$F:$BC,44,0)</f>
        <v>116861.66</v>
      </c>
      <c r="V153" s="2">
        <f>VLOOKUP($C153,'[10]for slip'!$F:$BC,45,0)</f>
        <v>58430.83</v>
      </c>
      <c r="W153" s="2">
        <f>VLOOKUP($C153,'[10]for slip'!$F:$BC,48,0)</f>
        <v>2374.7095907499393</v>
      </c>
    </row>
    <row r="154" spans="1:23" x14ac:dyDescent="0.25">
      <c r="A154" s="1">
        <v>153</v>
      </c>
      <c r="B154" s="2" t="s">
        <v>327</v>
      </c>
      <c r="C154" s="2" t="s">
        <v>328</v>
      </c>
      <c r="D154" s="2" t="str">
        <f>VLOOKUP($C154,'[10]for slip'!$F:$BC,3,0)</f>
        <v xml:space="preserve">Leader </v>
      </c>
      <c r="E154" s="2" t="str">
        <f>VLOOKUP($C154,'[10]for slip'!$F:$BC,4,0)</f>
        <v>Assembly</v>
      </c>
      <c r="F154" s="2">
        <f>VLOOKUP($C154,'[10]for slip'!$F:$BC,14,0)</f>
        <v>5343083</v>
      </c>
      <c r="G154" s="2">
        <f>VLOOKUP($C154,'[10]for slip'!$F:$BC,15,0)</f>
        <v>500000</v>
      </c>
      <c r="H154" s="2">
        <f>VLOOKUP($C154,'[10]for slip'!$F:$BC,16,0)</f>
        <v>0</v>
      </c>
      <c r="I154" s="2">
        <f>VLOOKUP($C154,'[10]for slip'!$F:$BC,17,0)</f>
        <v>0</v>
      </c>
      <c r="J154" s="2">
        <f>VLOOKUP($C154,'[10]for slip'!$F:$BC,27,0)</f>
        <v>0</v>
      </c>
      <c r="K154" s="2">
        <f>VLOOKUP($C154,'[10]for slip'!$F:$BC,31,0)</f>
        <v>0</v>
      </c>
      <c r="L154" s="2">
        <f>VLOOKUP($C154,'[10]for slip'!$F:$BC,35,0)</f>
        <v>21124.709590749942</v>
      </c>
      <c r="M154" s="2">
        <f>VLOOKUP($C154,'[10]for slip'!$F:$BC,36,0)</f>
        <v>0</v>
      </c>
      <c r="N154" s="2">
        <f>VLOOKUP($C154,'[10]for slip'!$F:$BC,37,0)</f>
        <v>0</v>
      </c>
      <c r="O154" s="2">
        <f>VLOOKUP($C154,'[10]for slip'!$F:$BC,38,0)</f>
        <v>0</v>
      </c>
      <c r="P154" s="2">
        <f>VLOOKUP($C154,'[10]for slip'!$F:$BC,39,0)</f>
        <v>38000</v>
      </c>
      <c r="Q154" s="2">
        <f>VLOOKUP($C154,'[10]for slip'!$F:$BC,40,0)</f>
        <v>31700</v>
      </c>
      <c r="R154" s="2">
        <f>VLOOKUP($C154,'[10]for slip'!$F:$BC,41,0)</f>
        <v>0</v>
      </c>
      <c r="S154" s="2">
        <f>VLOOKUP($C154,'[10]for slip'!$F:$BC,42,0)</f>
        <v>0</v>
      </c>
      <c r="T154" s="2">
        <f>VLOOKUP($C154,'[10]for slip'!$F:$BC,43,0)</f>
        <v>58430.83</v>
      </c>
      <c r="U154" s="2">
        <f>VLOOKUP($C154,'[10]for slip'!$F:$BC,44,0)</f>
        <v>116861.66</v>
      </c>
      <c r="V154" s="2">
        <f>VLOOKUP($C154,'[10]for slip'!$F:$BC,45,0)</f>
        <v>58430.83</v>
      </c>
      <c r="W154" s="2">
        <f>VLOOKUP($C154,'[10]for slip'!$F:$BC,48,0)</f>
        <v>21124.709590749942</v>
      </c>
    </row>
    <row r="155" spans="1:23" x14ac:dyDescent="0.25">
      <c r="A155" s="1">
        <v>154</v>
      </c>
      <c r="B155" s="2" t="s">
        <v>329</v>
      </c>
      <c r="C155" s="2" t="s">
        <v>330</v>
      </c>
      <c r="D155" s="2" t="str">
        <f>VLOOKUP($C155,'[10]for slip'!$F:$BC,3,0)</f>
        <v xml:space="preserve">Leader </v>
      </c>
      <c r="E155" s="2" t="str">
        <f>VLOOKUP($C155,'[10]for slip'!$F:$BC,4,0)</f>
        <v>Assembly</v>
      </c>
      <c r="F155" s="2">
        <f>VLOOKUP($C155,'[10]for slip'!$F:$BC,14,0)</f>
        <v>5343083</v>
      </c>
      <c r="G155" s="2">
        <f>VLOOKUP($C155,'[10]for slip'!$F:$BC,15,0)</f>
        <v>500000</v>
      </c>
      <c r="H155" s="2">
        <f>VLOOKUP($C155,'[10]for slip'!$F:$BC,16,0)</f>
        <v>0</v>
      </c>
      <c r="I155" s="2">
        <f>VLOOKUP($C155,'[10]for slip'!$F:$BC,17,0)</f>
        <v>0</v>
      </c>
      <c r="J155" s="2">
        <f>VLOOKUP($C155,'[10]for slip'!$F:$BC,27,0)</f>
        <v>0</v>
      </c>
      <c r="K155" s="2">
        <f>VLOOKUP($C155,'[10]for slip'!$F:$BC,31,0)</f>
        <v>0</v>
      </c>
      <c r="L155" s="2">
        <f>VLOOKUP($C155,'[10]for slip'!$F:$BC,35,0)</f>
        <v>21124.709590749942</v>
      </c>
      <c r="M155" s="2">
        <f>VLOOKUP($C155,'[10]for slip'!$F:$BC,36,0)</f>
        <v>0</v>
      </c>
      <c r="N155" s="2">
        <f>VLOOKUP($C155,'[10]for slip'!$F:$BC,37,0)</f>
        <v>0</v>
      </c>
      <c r="O155" s="2">
        <f>VLOOKUP($C155,'[10]for slip'!$F:$BC,38,0)</f>
        <v>0</v>
      </c>
      <c r="P155" s="2">
        <f>VLOOKUP($C155,'[10]for slip'!$F:$BC,39,0)</f>
        <v>38000</v>
      </c>
      <c r="Q155" s="2">
        <f>VLOOKUP($C155,'[10]for slip'!$F:$BC,40,0)</f>
        <v>31700</v>
      </c>
      <c r="R155" s="2">
        <f>VLOOKUP($C155,'[10]for slip'!$F:$BC,41,0)</f>
        <v>0</v>
      </c>
      <c r="S155" s="2">
        <f>VLOOKUP($C155,'[10]for slip'!$F:$BC,42,0)</f>
        <v>0</v>
      </c>
      <c r="T155" s="2">
        <f>VLOOKUP($C155,'[10]for slip'!$F:$BC,43,0)</f>
        <v>58430.83</v>
      </c>
      <c r="U155" s="2">
        <f>VLOOKUP($C155,'[10]for slip'!$F:$BC,44,0)</f>
        <v>116861.66</v>
      </c>
      <c r="V155" s="2">
        <f>VLOOKUP($C155,'[10]for slip'!$F:$BC,45,0)</f>
        <v>58430.83</v>
      </c>
      <c r="W155" s="2">
        <f>VLOOKUP($C155,'[10]for slip'!$F:$BC,48,0)</f>
        <v>21124.709590749942</v>
      </c>
    </row>
    <row r="156" spans="1:23" x14ac:dyDescent="0.25">
      <c r="A156" s="1">
        <v>155</v>
      </c>
      <c r="B156" s="2" t="s">
        <v>331</v>
      </c>
      <c r="C156" s="2" t="s">
        <v>332</v>
      </c>
      <c r="D156" s="2" t="str">
        <f>VLOOKUP($C156,'[10]for slip'!$F:$BC,3,0)</f>
        <v xml:space="preserve">Leader </v>
      </c>
      <c r="E156" s="2" t="str">
        <f>VLOOKUP($C156,'[10]for slip'!$F:$BC,4,0)</f>
        <v>Assembly</v>
      </c>
      <c r="F156" s="2">
        <f>VLOOKUP($C156,'[10]for slip'!$F:$BC,14,0)</f>
        <v>5343083</v>
      </c>
      <c r="G156" s="2">
        <f>VLOOKUP($C156,'[10]for slip'!$F:$BC,15,0)</f>
        <v>500000</v>
      </c>
      <c r="H156" s="2">
        <f>VLOOKUP($C156,'[10]for slip'!$F:$BC,16,0)</f>
        <v>0</v>
      </c>
      <c r="I156" s="2">
        <f>VLOOKUP($C156,'[10]for slip'!$F:$BC,17,0)</f>
        <v>0</v>
      </c>
      <c r="J156" s="2">
        <f>VLOOKUP($C156,'[10]for slip'!$F:$BC,27,0)</f>
        <v>0</v>
      </c>
      <c r="K156" s="2">
        <f>VLOOKUP($C156,'[10]for slip'!$F:$BC,31,0)</f>
        <v>0</v>
      </c>
      <c r="L156" s="2">
        <f>VLOOKUP($C156,'[10]for slip'!$F:$BC,35,0)</f>
        <v>21124.709590749942</v>
      </c>
      <c r="M156" s="2">
        <f>VLOOKUP($C156,'[10]for slip'!$F:$BC,36,0)</f>
        <v>0</v>
      </c>
      <c r="N156" s="2">
        <f>VLOOKUP($C156,'[10]for slip'!$F:$BC,37,0)</f>
        <v>0</v>
      </c>
      <c r="O156" s="2">
        <f>VLOOKUP($C156,'[10]for slip'!$F:$BC,38,0)</f>
        <v>0</v>
      </c>
      <c r="P156" s="2">
        <f>VLOOKUP($C156,'[10]for slip'!$F:$BC,39,0)</f>
        <v>38000</v>
      </c>
      <c r="Q156" s="2">
        <f>VLOOKUP($C156,'[10]for slip'!$F:$BC,40,0)</f>
        <v>31700</v>
      </c>
      <c r="R156" s="2">
        <f>VLOOKUP($C156,'[10]for slip'!$F:$BC,41,0)</f>
        <v>0</v>
      </c>
      <c r="S156" s="2">
        <f>VLOOKUP($C156,'[10]for slip'!$F:$BC,42,0)</f>
        <v>0</v>
      </c>
      <c r="T156" s="2">
        <f>VLOOKUP($C156,'[10]for slip'!$F:$BC,43,0)</f>
        <v>58430.83</v>
      </c>
      <c r="U156" s="2">
        <f>VLOOKUP($C156,'[10]for slip'!$F:$BC,44,0)</f>
        <v>116861.66</v>
      </c>
      <c r="V156" s="2">
        <f>VLOOKUP($C156,'[10]for slip'!$F:$BC,45,0)</f>
        <v>58430.83</v>
      </c>
      <c r="W156" s="2">
        <f>VLOOKUP($C156,'[10]for slip'!$F:$BC,48,0)</f>
        <v>21124.709590749942</v>
      </c>
    </row>
    <row r="157" spans="1:23" x14ac:dyDescent="0.25">
      <c r="A157" s="1">
        <v>156</v>
      </c>
      <c r="B157" s="2" t="s">
        <v>333</v>
      </c>
      <c r="C157" s="2" t="s">
        <v>334</v>
      </c>
      <c r="D157" s="2" t="str">
        <f>VLOOKUP($C157,'[10]for slip'!$F:$BC,3,0)</f>
        <v>Pelaksana</v>
      </c>
      <c r="E157" s="2" t="str">
        <f>VLOOKUP($C157,'[10]for slip'!$F:$BC,4,0)</f>
        <v>Assembly</v>
      </c>
      <c r="F157" s="2">
        <f>VLOOKUP($C157,'[10]for slip'!$F:$BC,14,0)</f>
        <v>5343083</v>
      </c>
      <c r="G157" s="2">
        <f>VLOOKUP($C157,'[10]for slip'!$F:$BC,15,0)</f>
        <v>0</v>
      </c>
      <c r="H157" s="2">
        <f>VLOOKUP($C157,'[10]for slip'!$F:$BC,16,0)</f>
        <v>0</v>
      </c>
      <c r="I157" s="2">
        <f>VLOOKUP($C157,'[10]for slip'!$F:$BC,17,0)</f>
        <v>0</v>
      </c>
      <c r="J157" s="2">
        <f>VLOOKUP($C157,'[10]for slip'!$F:$BC,27,0)</f>
        <v>0</v>
      </c>
      <c r="K157" s="2">
        <f>VLOOKUP($C157,'[10]for slip'!$F:$BC,31,0)</f>
        <v>0</v>
      </c>
      <c r="L157" s="2">
        <f>VLOOKUP($C157,'[10]for slip'!$F:$BC,35,0)</f>
        <v>0</v>
      </c>
      <c r="M157" s="2">
        <f>VLOOKUP($C157,'[10]for slip'!$F:$BC,36,0)</f>
        <v>0</v>
      </c>
      <c r="N157" s="2">
        <f>VLOOKUP($C157,'[10]for slip'!$F:$BC,37,0)</f>
        <v>0</v>
      </c>
      <c r="O157" s="2">
        <f>VLOOKUP($C157,'[10]for slip'!$F:$BC,38,0)</f>
        <v>0</v>
      </c>
      <c r="P157" s="2">
        <f>VLOOKUP($C157,'[10]for slip'!$F:$BC,39,0)</f>
        <v>38000</v>
      </c>
      <c r="Q157" s="2">
        <f>VLOOKUP($C157,'[10]for slip'!$F:$BC,40,0)</f>
        <v>31700</v>
      </c>
      <c r="R157" s="2">
        <f>VLOOKUP($C157,'[10]for slip'!$F:$BC,41,0)</f>
        <v>0</v>
      </c>
      <c r="S157" s="2">
        <f>VLOOKUP($C157,'[10]for slip'!$F:$BC,42,0)</f>
        <v>0</v>
      </c>
      <c r="T157" s="2">
        <f>VLOOKUP($C157,'[10]for slip'!$F:$BC,43,0)</f>
        <v>53430.83</v>
      </c>
      <c r="U157" s="2">
        <f>VLOOKUP($C157,'[10]for slip'!$F:$BC,44,0)</f>
        <v>106861.66</v>
      </c>
      <c r="V157" s="2">
        <f>VLOOKUP($C157,'[10]for slip'!$F:$BC,45,0)</f>
        <v>53430.83</v>
      </c>
      <c r="W157" s="2">
        <f>VLOOKUP($C157,'[10]for slip'!$F:$BC,48,0)</f>
        <v>0</v>
      </c>
    </row>
    <row r="158" spans="1:23" x14ac:dyDescent="0.25">
      <c r="A158" s="1">
        <v>157</v>
      </c>
      <c r="B158" s="2" t="s">
        <v>335</v>
      </c>
      <c r="C158" s="2" t="s">
        <v>336</v>
      </c>
      <c r="D158" s="2" t="str">
        <f>VLOOKUP($C158,'[10]for slip'!$F:$BC,3,0)</f>
        <v>Pelaksana</v>
      </c>
      <c r="E158" s="2" t="str">
        <f>VLOOKUP($C158,'[10]for slip'!$F:$BC,4,0)</f>
        <v>Assembly</v>
      </c>
      <c r="F158" s="2">
        <f>VLOOKUP($C158,'[10]for slip'!$F:$BC,14,0)</f>
        <v>5343083</v>
      </c>
      <c r="G158" s="2">
        <f>VLOOKUP($C158,'[10]for slip'!$F:$BC,15,0)</f>
        <v>0</v>
      </c>
      <c r="H158" s="2">
        <f>VLOOKUP($C158,'[10]for slip'!$F:$BC,16,0)</f>
        <v>0</v>
      </c>
      <c r="I158" s="2">
        <f>VLOOKUP($C158,'[10]for slip'!$F:$BC,17,0)</f>
        <v>0</v>
      </c>
      <c r="J158" s="2">
        <f>VLOOKUP($C158,'[10]for slip'!$F:$BC,27,0)</f>
        <v>0</v>
      </c>
      <c r="K158" s="2">
        <f>VLOOKUP($C158,'[10]for slip'!$F:$BC,31,0)</f>
        <v>0</v>
      </c>
      <c r="L158" s="2">
        <f>VLOOKUP($C158,'[10]for slip'!$F:$BC,35,0)</f>
        <v>34354.584590750004</v>
      </c>
      <c r="M158" s="2">
        <f>VLOOKUP($C158,'[10]for slip'!$F:$BC,36,0)</f>
        <v>0</v>
      </c>
      <c r="N158" s="2">
        <f>VLOOKUP($C158,'[10]for slip'!$F:$BC,37,0)</f>
        <v>0</v>
      </c>
      <c r="O158" s="2">
        <f>VLOOKUP($C158,'[10]for slip'!$F:$BC,38,0)</f>
        <v>0</v>
      </c>
      <c r="P158" s="2">
        <f>VLOOKUP($C158,'[10]for slip'!$F:$BC,39,0)</f>
        <v>38000</v>
      </c>
      <c r="Q158" s="2">
        <f>VLOOKUP($C158,'[10]for slip'!$F:$BC,40,0)</f>
        <v>31700</v>
      </c>
      <c r="R158" s="2">
        <f>VLOOKUP($C158,'[10]for slip'!$F:$BC,41,0)</f>
        <v>0</v>
      </c>
      <c r="S158" s="2">
        <f>VLOOKUP($C158,'[10]for slip'!$F:$BC,42,0)</f>
        <v>10000</v>
      </c>
      <c r="T158" s="2">
        <f>VLOOKUP($C158,'[10]for slip'!$F:$BC,43,0)</f>
        <v>53430.83</v>
      </c>
      <c r="U158" s="2">
        <f>VLOOKUP($C158,'[10]for slip'!$F:$BC,44,0)</f>
        <v>106861.66</v>
      </c>
      <c r="V158" s="2">
        <f>VLOOKUP($C158,'[10]for slip'!$F:$BC,45,0)</f>
        <v>53430.83</v>
      </c>
      <c r="W158" s="2">
        <f>VLOOKUP($C158,'[10]for slip'!$F:$BC,48,0)</f>
        <v>34354.584590750004</v>
      </c>
    </row>
    <row r="159" spans="1:23" x14ac:dyDescent="0.25">
      <c r="A159" s="1">
        <v>158</v>
      </c>
      <c r="B159" s="2" t="s">
        <v>337</v>
      </c>
      <c r="C159" s="2" t="s">
        <v>338</v>
      </c>
      <c r="D159" s="2" t="str">
        <f>VLOOKUP($C159,'[10]for slip'!$F:$BC,3,0)</f>
        <v>Pelaksana</v>
      </c>
      <c r="E159" s="2" t="str">
        <f>VLOOKUP($C159,'[10]for slip'!$F:$BC,4,0)</f>
        <v>Assembly</v>
      </c>
      <c r="F159" s="2">
        <f>VLOOKUP($C159,'[10]for slip'!$F:$BC,14,0)</f>
        <v>5343083</v>
      </c>
      <c r="G159" s="2">
        <f>VLOOKUP($C159,'[10]for slip'!$F:$BC,15,0)</f>
        <v>0</v>
      </c>
      <c r="H159" s="2">
        <f>VLOOKUP($C159,'[10]for slip'!$F:$BC,16,0)</f>
        <v>0</v>
      </c>
      <c r="I159" s="2">
        <f>VLOOKUP($C159,'[10]for slip'!$F:$BC,17,0)</f>
        <v>0</v>
      </c>
      <c r="J159" s="2">
        <f>VLOOKUP($C159,'[10]for slip'!$F:$BC,27,0)</f>
        <v>0</v>
      </c>
      <c r="K159" s="2">
        <f>VLOOKUP($C159,'[10]for slip'!$F:$BC,31,0)</f>
        <v>0</v>
      </c>
      <c r="L159" s="2">
        <f>VLOOKUP($C159,'[10]for slip'!$F:$BC,35,0)</f>
        <v>0</v>
      </c>
      <c r="M159" s="2">
        <f>VLOOKUP($C159,'[10]for slip'!$F:$BC,36,0)</f>
        <v>0</v>
      </c>
      <c r="N159" s="2">
        <f>VLOOKUP($C159,'[10]for slip'!$F:$BC,37,0)</f>
        <v>0</v>
      </c>
      <c r="O159" s="2">
        <f>VLOOKUP($C159,'[10]for slip'!$F:$BC,38,0)</f>
        <v>0</v>
      </c>
      <c r="P159" s="2">
        <f>VLOOKUP($C159,'[10]for slip'!$F:$BC,39,0)</f>
        <v>0</v>
      </c>
      <c r="Q159" s="2">
        <f>VLOOKUP($C159,'[10]for slip'!$F:$BC,40,0)</f>
        <v>31700</v>
      </c>
      <c r="R159" s="2">
        <f>VLOOKUP($C159,'[10]for slip'!$F:$BC,41,0)</f>
        <v>0</v>
      </c>
      <c r="S159" s="2">
        <f>VLOOKUP($C159,'[10]for slip'!$F:$BC,42,0)</f>
        <v>0</v>
      </c>
      <c r="T159" s="2">
        <f>VLOOKUP($C159,'[10]for slip'!$F:$BC,43,0)</f>
        <v>53430.83</v>
      </c>
      <c r="U159" s="2">
        <f>VLOOKUP($C159,'[10]for slip'!$F:$BC,44,0)</f>
        <v>106861.66</v>
      </c>
      <c r="V159" s="2">
        <f>VLOOKUP($C159,'[10]for slip'!$F:$BC,45,0)</f>
        <v>53430.83</v>
      </c>
      <c r="W159" s="2">
        <f>VLOOKUP($C159,'[10]for slip'!$F:$BC,48,0)</f>
        <v>0</v>
      </c>
    </row>
    <row r="160" spans="1:23" x14ac:dyDescent="0.25">
      <c r="A160" s="1">
        <v>159</v>
      </c>
      <c r="B160" s="2" t="s">
        <v>339</v>
      </c>
      <c r="C160" s="2" t="s">
        <v>340</v>
      </c>
      <c r="D160" s="2" t="str">
        <f>VLOOKUP($C160,'[10]for slip'!$F:$BC,3,0)</f>
        <v>Pelaksana</v>
      </c>
      <c r="E160" s="2" t="str">
        <f>VLOOKUP($C160,'[10]for slip'!$F:$BC,4,0)</f>
        <v>Assembly</v>
      </c>
      <c r="F160" s="2">
        <f>VLOOKUP($C160,'[10]for slip'!$F:$BC,14,0)</f>
        <v>5343083</v>
      </c>
      <c r="G160" s="2">
        <f>VLOOKUP($C160,'[10]for slip'!$F:$BC,15,0)</f>
        <v>0</v>
      </c>
      <c r="H160" s="2">
        <f>VLOOKUP($C160,'[10]for slip'!$F:$BC,16,0)</f>
        <v>0</v>
      </c>
      <c r="I160" s="2">
        <f>VLOOKUP($C160,'[10]for slip'!$F:$BC,17,0)</f>
        <v>200000</v>
      </c>
      <c r="J160" s="2">
        <f>VLOOKUP($C160,'[10]for slip'!$F:$BC,27,0)</f>
        <v>0</v>
      </c>
      <c r="K160" s="2">
        <f>VLOOKUP($C160,'[10]for slip'!$F:$BC,31,0)</f>
        <v>0</v>
      </c>
      <c r="L160" s="2">
        <f>VLOOKUP($C160,'[10]for slip'!$F:$BC,35,0)</f>
        <v>44062.634590749971</v>
      </c>
      <c r="M160" s="2">
        <f>VLOOKUP($C160,'[10]for slip'!$F:$BC,36,0)</f>
        <v>0</v>
      </c>
      <c r="N160" s="2">
        <f>VLOOKUP($C160,'[10]for slip'!$F:$BC,37,0)</f>
        <v>0</v>
      </c>
      <c r="O160" s="2">
        <f>VLOOKUP($C160,'[10]for slip'!$F:$BC,38,0)</f>
        <v>0</v>
      </c>
      <c r="P160" s="2">
        <f>VLOOKUP($C160,'[10]for slip'!$F:$BC,39,0)</f>
        <v>0</v>
      </c>
      <c r="Q160" s="2">
        <f>VLOOKUP($C160,'[10]for slip'!$F:$BC,40,0)</f>
        <v>31700</v>
      </c>
      <c r="R160" s="2">
        <f>VLOOKUP($C160,'[10]for slip'!$F:$BC,41,0)</f>
        <v>0</v>
      </c>
      <c r="S160" s="2">
        <f>VLOOKUP($C160,'[10]for slip'!$F:$BC,42,0)</f>
        <v>10000</v>
      </c>
      <c r="T160" s="2">
        <f>VLOOKUP($C160,'[10]for slip'!$F:$BC,43,0)</f>
        <v>55430.83</v>
      </c>
      <c r="U160" s="2">
        <f>VLOOKUP($C160,'[10]for slip'!$F:$BC,44,0)</f>
        <v>110861.66</v>
      </c>
      <c r="V160" s="2">
        <f>VLOOKUP($C160,'[10]for slip'!$F:$BC,45,0)</f>
        <v>55430.83</v>
      </c>
      <c r="W160" s="2">
        <f>VLOOKUP($C160,'[10]for slip'!$F:$BC,48,0)</f>
        <v>44062.634590749971</v>
      </c>
    </row>
    <row r="161" spans="1:23" x14ac:dyDescent="0.25">
      <c r="A161" s="1">
        <v>160</v>
      </c>
      <c r="B161" s="2" t="s">
        <v>341</v>
      </c>
      <c r="C161" s="2" t="s">
        <v>342</v>
      </c>
      <c r="D161" s="2" t="str">
        <f>VLOOKUP($C161,'[10]for slip'!$F:$BC,3,0)</f>
        <v>Pelaksana</v>
      </c>
      <c r="E161" s="2" t="str">
        <f>VLOOKUP($C161,'[10]for slip'!$F:$BC,4,0)</f>
        <v>Assembly</v>
      </c>
      <c r="F161" s="2">
        <f>VLOOKUP($C161,'[10]for slip'!$F:$BC,14,0)</f>
        <v>5343083</v>
      </c>
      <c r="G161" s="2">
        <f>VLOOKUP($C161,'[10]for slip'!$F:$BC,15,0)</f>
        <v>0</v>
      </c>
      <c r="H161" s="2">
        <f>VLOOKUP($C161,'[10]for slip'!$F:$BC,16,0)</f>
        <v>0</v>
      </c>
      <c r="I161" s="2">
        <f>VLOOKUP($C161,'[10]for slip'!$F:$BC,17,0)</f>
        <v>0</v>
      </c>
      <c r="J161" s="2">
        <f>VLOOKUP($C161,'[10]for slip'!$F:$BC,27,0)</f>
        <v>0</v>
      </c>
      <c r="K161" s="2">
        <f>VLOOKUP($C161,'[10]for slip'!$F:$BC,31,0)</f>
        <v>0</v>
      </c>
      <c r="L161" s="2">
        <f>VLOOKUP($C161,'[10]for slip'!$F:$BC,35,0)</f>
        <v>0</v>
      </c>
      <c r="M161" s="2">
        <f>VLOOKUP($C161,'[10]for slip'!$F:$BC,36,0)</f>
        <v>0</v>
      </c>
      <c r="N161" s="2">
        <f>VLOOKUP($C161,'[10]for slip'!$F:$BC,37,0)</f>
        <v>0</v>
      </c>
      <c r="O161" s="2">
        <f>VLOOKUP($C161,'[10]for slip'!$F:$BC,38,0)</f>
        <v>0</v>
      </c>
      <c r="P161" s="2">
        <f>VLOOKUP($C161,'[10]for slip'!$F:$BC,39,0)</f>
        <v>38000</v>
      </c>
      <c r="Q161" s="2">
        <f>VLOOKUP($C161,'[10]for slip'!$F:$BC,40,0)</f>
        <v>31700</v>
      </c>
      <c r="R161" s="2">
        <f>VLOOKUP($C161,'[10]for slip'!$F:$BC,41,0)</f>
        <v>0</v>
      </c>
      <c r="S161" s="2">
        <f>VLOOKUP($C161,'[10]for slip'!$F:$BC,42,0)</f>
        <v>0</v>
      </c>
      <c r="T161" s="2">
        <f>VLOOKUP($C161,'[10]for slip'!$F:$BC,43,0)</f>
        <v>53430.83</v>
      </c>
      <c r="U161" s="2">
        <f>VLOOKUP($C161,'[10]for slip'!$F:$BC,44,0)</f>
        <v>106861.66</v>
      </c>
      <c r="V161" s="2">
        <f>VLOOKUP($C161,'[10]for slip'!$F:$BC,45,0)</f>
        <v>53430.83</v>
      </c>
      <c r="W161" s="2">
        <f>VLOOKUP($C161,'[10]for slip'!$F:$BC,48,0)</f>
        <v>0</v>
      </c>
    </row>
    <row r="162" spans="1:23" x14ac:dyDescent="0.25">
      <c r="A162" s="1">
        <v>161</v>
      </c>
      <c r="B162" s="2" t="s">
        <v>343</v>
      </c>
      <c r="C162" s="2" t="s">
        <v>344</v>
      </c>
      <c r="D162" s="2" t="str">
        <f>VLOOKUP($C162,'[10]for slip'!$F:$BC,3,0)</f>
        <v>Pelaksana</v>
      </c>
      <c r="E162" s="2" t="str">
        <f>VLOOKUP($C162,'[10]for slip'!$F:$BC,4,0)</f>
        <v>Assembly</v>
      </c>
      <c r="F162" s="2">
        <f>VLOOKUP($C162,'[10]for slip'!$F:$BC,14,0)</f>
        <v>5343083</v>
      </c>
      <c r="G162" s="2">
        <f>VLOOKUP($C162,'[10]for slip'!$F:$BC,15,0)</f>
        <v>0</v>
      </c>
      <c r="H162" s="2">
        <f>VLOOKUP($C162,'[10]for slip'!$F:$BC,16,0)</f>
        <v>0</v>
      </c>
      <c r="I162" s="2">
        <f>VLOOKUP($C162,'[10]for slip'!$F:$BC,17,0)</f>
        <v>0</v>
      </c>
      <c r="J162" s="2">
        <f>VLOOKUP($C162,'[10]for slip'!$F:$BC,27,0)</f>
        <v>0</v>
      </c>
      <c r="K162" s="2">
        <f>VLOOKUP($C162,'[10]for slip'!$F:$BC,31,0)</f>
        <v>0</v>
      </c>
      <c r="L162" s="2">
        <f>VLOOKUP($C162,'[10]for slip'!$F:$BC,35,0)</f>
        <v>0</v>
      </c>
      <c r="M162" s="2">
        <f>VLOOKUP($C162,'[10]for slip'!$F:$BC,36,0)</f>
        <v>0</v>
      </c>
      <c r="N162" s="2">
        <f>VLOOKUP($C162,'[10]for slip'!$F:$BC,37,0)</f>
        <v>0</v>
      </c>
      <c r="O162" s="2">
        <f>VLOOKUP($C162,'[10]for slip'!$F:$BC,38,0)</f>
        <v>0</v>
      </c>
      <c r="P162" s="2">
        <f>VLOOKUP($C162,'[10]for slip'!$F:$BC,39,0)</f>
        <v>38000</v>
      </c>
      <c r="Q162" s="2">
        <f>VLOOKUP($C162,'[10]for slip'!$F:$BC,40,0)</f>
        <v>31700</v>
      </c>
      <c r="R162" s="2">
        <f>VLOOKUP($C162,'[10]for slip'!$F:$BC,41,0)</f>
        <v>0</v>
      </c>
      <c r="S162" s="2">
        <f>VLOOKUP($C162,'[10]for slip'!$F:$BC,42,0)</f>
        <v>0</v>
      </c>
      <c r="T162" s="2">
        <f>VLOOKUP($C162,'[10]for slip'!$F:$BC,43,0)</f>
        <v>53430.83</v>
      </c>
      <c r="U162" s="2">
        <f>VLOOKUP($C162,'[10]for slip'!$F:$BC,44,0)</f>
        <v>106861.66</v>
      </c>
      <c r="V162" s="2">
        <f>VLOOKUP($C162,'[10]for slip'!$F:$BC,45,0)</f>
        <v>53430.83</v>
      </c>
      <c r="W162" s="2">
        <f>VLOOKUP($C162,'[10]for slip'!$F:$BC,48,0)</f>
        <v>0</v>
      </c>
    </row>
    <row r="163" spans="1:23" x14ac:dyDescent="0.25">
      <c r="A163" s="1">
        <v>162</v>
      </c>
      <c r="B163" s="2" t="s">
        <v>345</v>
      </c>
      <c r="C163" s="2" t="s">
        <v>346</v>
      </c>
      <c r="D163" s="2" t="str">
        <f>VLOOKUP($C163,'[10]for slip'!$F:$BC,3,0)</f>
        <v>Pelaksana</v>
      </c>
      <c r="E163" s="2" t="str">
        <f>VLOOKUP($C163,'[10]for slip'!$F:$BC,4,0)</f>
        <v>Assembly</v>
      </c>
      <c r="F163" s="2">
        <f>VLOOKUP($C163,'[10]for slip'!$F:$BC,14,0)</f>
        <v>5343083</v>
      </c>
      <c r="G163" s="2">
        <f>VLOOKUP($C163,'[10]for slip'!$F:$BC,15,0)</f>
        <v>0</v>
      </c>
      <c r="H163" s="2">
        <f>VLOOKUP($C163,'[10]for slip'!$F:$BC,16,0)</f>
        <v>0</v>
      </c>
      <c r="I163" s="2">
        <f>VLOOKUP($C163,'[10]for slip'!$F:$BC,17,0)</f>
        <v>0</v>
      </c>
      <c r="J163" s="2">
        <f>VLOOKUP($C163,'[10]for slip'!$F:$BC,27,0)</f>
        <v>0</v>
      </c>
      <c r="K163" s="2">
        <f>VLOOKUP($C163,'[10]for slip'!$F:$BC,31,0)</f>
        <v>0</v>
      </c>
      <c r="L163" s="2">
        <f>VLOOKUP($C163,'[10]for slip'!$F:$BC,35,0)</f>
        <v>15604.584590750002</v>
      </c>
      <c r="M163" s="2">
        <f>VLOOKUP($C163,'[10]for slip'!$F:$BC,36,0)</f>
        <v>0</v>
      </c>
      <c r="N163" s="2">
        <f>VLOOKUP($C163,'[10]for slip'!$F:$BC,37,0)</f>
        <v>0</v>
      </c>
      <c r="O163" s="2">
        <f>VLOOKUP($C163,'[10]for slip'!$F:$BC,38,0)</f>
        <v>0</v>
      </c>
      <c r="P163" s="2">
        <f>VLOOKUP($C163,'[10]for slip'!$F:$BC,39,0)</f>
        <v>38000</v>
      </c>
      <c r="Q163" s="2">
        <f>VLOOKUP($C163,'[10]for slip'!$F:$BC,40,0)</f>
        <v>31700</v>
      </c>
      <c r="R163" s="2">
        <f>VLOOKUP($C163,'[10]for slip'!$F:$BC,41,0)</f>
        <v>0</v>
      </c>
      <c r="S163" s="2">
        <f>VLOOKUP($C163,'[10]for slip'!$F:$BC,42,0)</f>
        <v>0</v>
      </c>
      <c r="T163" s="2">
        <f>VLOOKUP($C163,'[10]for slip'!$F:$BC,43,0)</f>
        <v>53430.83</v>
      </c>
      <c r="U163" s="2">
        <f>VLOOKUP($C163,'[10]for slip'!$F:$BC,44,0)</f>
        <v>106861.66</v>
      </c>
      <c r="V163" s="2">
        <f>VLOOKUP($C163,'[10]for slip'!$F:$BC,45,0)</f>
        <v>53430.83</v>
      </c>
      <c r="W163" s="2">
        <f>VLOOKUP($C163,'[10]for slip'!$F:$BC,48,0)</f>
        <v>15604.584590750002</v>
      </c>
    </row>
    <row r="164" spans="1:23" x14ac:dyDescent="0.25">
      <c r="A164" s="1">
        <v>163</v>
      </c>
      <c r="B164" s="2" t="s">
        <v>347</v>
      </c>
      <c r="C164" s="2" t="s">
        <v>348</v>
      </c>
      <c r="D164" s="2" t="str">
        <f>VLOOKUP($C164,'[10]for slip'!$F:$BC,3,0)</f>
        <v>Pelaksana</v>
      </c>
      <c r="E164" s="2" t="str">
        <f>VLOOKUP($C164,'[10]for slip'!$F:$BC,4,0)</f>
        <v>Assembly</v>
      </c>
      <c r="F164" s="2">
        <f>VLOOKUP($C164,'[10]for slip'!$F:$BC,14,0)</f>
        <v>5343083</v>
      </c>
      <c r="G164" s="2">
        <f>VLOOKUP($C164,'[10]for slip'!$F:$BC,15,0)</f>
        <v>0</v>
      </c>
      <c r="H164" s="2">
        <f>VLOOKUP($C164,'[10]for slip'!$F:$BC,16,0)</f>
        <v>0</v>
      </c>
      <c r="I164" s="2">
        <f>VLOOKUP($C164,'[10]for slip'!$F:$BC,17,0)</f>
        <v>0</v>
      </c>
      <c r="J164" s="2">
        <f>VLOOKUP($C164,'[10]for slip'!$F:$BC,27,0)</f>
        <v>0</v>
      </c>
      <c r="K164" s="2">
        <f>VLOOKUP($C164,'[10]for slip'!$F:$BC,31,0)</f>
        <v>0</v>
      </c>
      <c r="L164" s="2">
        <f>VLOOKUP($C164,'[10]for slip'!$F:$BC,35,0)</f>
        <v>0</v>
      </c>
      <c r="M164" s="2">
        <f>VLOOKUP($C164,'[10]for slip'!$F:$BC,36,0)</f>
        <v>0</v>
      </c>
      <c r="N164" s="2">
        <f>VLOOKUP($C164,'[10]for slip'!$F:$BC,37,0)</f>
        <v>0</v>
      </c>
      <c r="O164" s="2">
        <f>VLOOKUP($C164,'[10]for slip'!$F:$BC,38,0)</f>
        <v>0</v>
      </c>
      <c r="P164" s="2">
        <f>VLOOKUP($C164,'[10]for slip'!$F:$BC,39,0)</f>
        <v>38000</v>
      </c>
      <c r="Q164" s="2">
        <f>VLOOKUP($C164,'[10]for slip'!$F:$BC,40,0)</f>
        <v>31700</v>
      </c>
      <c r="R164" s="2">
        <f>VLOOKUP($C164,'[10]for slip'!$F:$BC,41,0)</f>
        <v>0</v>
      </c>
      <c r="S164" s="2">
        <f>VLOOKUP($C164,'[10]for slip'!$F:$BC,42,0)</f>
        <v>0</v>
      </c>
      <c r="T164" s="2">
        <f>VLOOKUP($C164,'[10]for slip'!$F:$BC,43,0)</f>
        <v>53430.83</v>
      </c>
      <c r="U164" s="2">
        <f>VLOOKUP($C164,'[10]for slip'!$F:$BC,44,0)</f>
        <v>106861.66</v>
      </c>
      <c r="V164" s="2">
        <f>VLOOKUP($C164,'[10]for slip'!$F:$BC,45,0)</f>
        <v>53430.83</v>
      </c>
      <c r="W164" s="2">
        <f>VLOOKUP($C164,'[10]for slip'!$F:$BC,48,0)</f>
        <v>0</v>
      </c>
    </row>
    <row r="165" spans="1:23" x14ac:dyDescent="0.25">
      <c r="A165" s="1">
        <v>164</v>
      </c>
      <c r="B165" s="2" t="s">
        <v>349</v>
      </c>
      <c r="C165" s="2" t="s">
        <v>350</v>
      </c>
      <c r="D165" s="2" t="str">
        <f>VLOOKUP($C165,'[10]for slip'!$F:$BC,3,0)</f>
        <v>Pelaksana</v>
      </c>
      <c r="E165" s="2" t="str">
        <f>VLOOKUP($C165,'[10]for slip'!$F:$BC,4,0)</f>
        <v>Assembly</v>
      </c>
      <c r="F165" s="2">
        <f>VLOOKUP($C165,'[10]for slip'!$F:$BC,14,0)</f>
        <v>5343083</v>
      </c>
      <c r="G165" s="2">
        <f>VLOOKUP($C165,'[10]for slip'!$F:$BC,15,0)</f>
        <v>0</v>
      </c>
      <c r="H165" s="2">
        <f>VLOOKUP($C165,'[10]for slip'!$F:$BC,16,0)</f>
        <v>0</v>
      </c>
      <c r="I165" s="2">
        <f>VLOOKUP($C165,'[10]for slip'!$F:$BC,17,0)</f>
        <v>0</v>
      </c>
      <c r="J165" s="2">
        <f>VLOOKUP($C165,'[10]for slip'!$F:$BC,27,0)</f>
        <v>0</v>
      </c>
      <c r="K165" s="2">
        <f>VLOOKUP($C165,'[10]for slip'!$F:$BC,31,0)</f>
        <v>0</v>
      </c>
      <c r="L165" s="2">
        <f>VLOOKUP($C165,'[10]for slip'!$F:$BC,35,0)</f>
        <v>0</v>
      </c>
      <c r="M165" s="2">
        <f>VLOOKUP($C165,'[10]for slip'!$F:$BC,36,0)</f>
        <v>0</v>
      </c>
      <c r="N165" s="2">
        <f>VLOOKUP($C165,'[10]for slip'!$F:$BC,37,0)</f>
        <v>0</v>
      </c>
      <c r="O165" s="2">
        <f>VLOOKUP($C165,'[10]for slip'!$F:$BC,38,0)</f>
        <v>0</v>
      </c>
      <c r="P165" s="2">
        <f>VLOOKUP($C165,'[10]for slip'!$F:$BC,39,0)</f>
        <v>38000</v>
      </c>
      <c r="Q165" s="2">
        <f>VLOOKUP($C165,'[10]for slip'!$F:$BC,40,0)</f>
        <v>31700</v>
      </c>
      <c r="R165" s="2">
        <f>VLOOKUP($C165,'[10]for slip'!$F:$BC,41,0)</f>
        <v>0</v>
      </c>
      <c r="S165" s="2">
        <f>VLOOKUP($C165,'[10]for slip'!$F:$BC,42,0)</f>
        <v>0</v>
      </c>
      <c r="T165" s="2">
        <f>VLOOKUP($C165,'[10]for slip'!$F:$BC,43,0)</f>
        <v>53430.83</v>
      </c>
      <c r="U165" s="2">
        <f>VLOOKUP($C165,'[10]for slip'!$F:$BC,44,0)</f>
        <v>106861.66</v>
      </c>
      <c r="V165" s="2">
        <f>VLOOKUP($C165,'[10]for slip'!$F:$BC,45,0)</f>
        <v>53430.83</v>
      </c>
      <c r="W165" s="2">
        <f>VLOOKUP($C165,'[10]for slip'!$F:$BC,48,0)</f>
        <v>0</v>
      </c>
    </row>
    <row r="166" spans="1:23" x14ac:dyDescent="0.25">
      <c r="A166" s="1">
        <v>165</v>
      </c>
      <c r="B166" s="2" t="s">
        <v>351</v>
      </c>
      <c r="C166" s="2" t="s">
        <v>352</v>
      </c>
      <c r="D166" s="2" t="str">
        <f>VLOOKUP($C166,'[10]for slip'!$F:$BC,3,0)</f>
        <v>Pelaksana</v>
      </c>
      <c r="E166" s="2" t="str">
        <f>VLOOKUP($C166,'[10]for slip'!$F:$BC,4,0)</f>
        <v>Assembly</v>
      </c>
      <c r="F166" s="2">
        <f>VLOOKUP($C166,'[10]for slip'!$F:$BC,14,0)</f>
        <v>5343083</v>
      </c>
      <c r="G166" s="2">
        <f>VLOOKUP($C166,'[10]for slip'!$F:$BC,15,0)</f>
        <v>0</v>
      </c>
      <c r="H166" s="2">
        <f>VLOOKUP($C166,'[10]for slip'!$F:$BC,16,0)</f>
        <v>0</v>
      </c>
      <c r="I166" s="2">
        <f>VLOOKUP($C166,'[10]for slip'!$F:$BC,17,0)</f>
        <v>0</v>
      </c>
      <c r="J166" s="2">
        <f>VLOOKUP($C166,'[10]for slip'!$F:$BC,27,0)</f>
        <v>0</v>
      </c>
      <c r="K166" s="2">
        <f>VLOOKUP($C166,'[10]for slip'!$F:$BC,31,0)</f>
        <v>0</v>
      </c>
      <c r="L166" s="2">
        <f>VLOOKUP($C166,'[10]for slip'!$F:$BC,35,0)</f>
        <v>15604.584590750002</v>
      </c>
      <c r="M166" s="2">
        <f>VLOOKUP($C166,'[10]for slip'!$F:$BC,36,0)</f>
        <v>0</v>
      </c>
      <c r="N166" s="2">
        <f>VLOOKUP($C166,'[10]for slip'!$F:$BC,37,0)</f>
        <v>0</v>
      </c>
      <c r="O166" s="2">
        <f>VLOOKUP($C166,'[10]for slip'!$F:$BC,38,0)</f>
        <v>0</v>
      </c>
      <c r="P166" s="2">
        <f>VLOOKUP($C166,'[10]for slip'!$F:$BC,39,0)</f>
        <v>38000</v>
      </c>
      <c r="Q166" s="2">
        <f>VLOOKUP($C166,'[10]for slip'!$F:$BC,40,0)</f>
        <v>31700</v>
      </c>
      <c r="R166" s="2">
        <f>VLOOKUP($C166,'[10]for slip'!$F:$BC,41,0)</f>
        <v>0</v>
      </c>
      <c r="S166" s="2">
        <f>VLOOKUP($C166,'[10]for slip'!$F:$BC,42,0)</f>
        <v>0</v>
      </c>
      <c r="T166" s="2">
        <f>VLOOKUP($C166,'[10]for slip'!$F:$BC,43,0)</f>
        <v>53430.83</v>
      </c>
      <c r="U166" s="2">
        <f>VLOOKUP($C166,'[10]for slip'!$F:$BC,44,0)</f>
        <v>106861.66</v>
      </c>
      <c r="V166" s="2">
        <f>VLOOKUP($C166,'[10]for slip'!$F:$BC,45,0)</f>
        <v>53430.83</v>
      </c>
      <c r="W166" s="2">
        <f>VLOOKUP($C166,'[10]for slip'!$F:$BC,48,0)</f>
        <v>15604.584590750002</v>
      </c>
    </row>
    <row r="167" spans="1:23" x14ac:dyDescent="0.25">
      <c r="A167" s="1">
        <v>166</v>
      </c>
      <c r="B167" s="2" t="s">
        <v>353</v>
      </c>
      <c r="C167" s="2" t="s">
        <v>354</v>
      </c>
      <c r="D167" s="2" t="str">
        <f>VLOOKUP($C167,'[10]for slip'!$F:$BC,3,0)</f>
        <v>Pelaksana</v>
      </c>
      <c r="E167" s="2" t="str">
        <f>VLOOKUP($C167,'[10]for slip'!$F:$BC,4,0)</f>
        <v>Assembly</v>
      </c>
      <c r="F167" s="2">
        <f>VLOOKUP($C167,'[10]for slip'!$F:$BC,14,0)</f>
        <v>5343083</v>
      </c>
      <c r="G167" s="2">
        <f>VLOOKUP($C167,'[10]for slip'!$F:$BC,15,0)</f>
        <v>0</v>
      </c>
      <c r="H167" s="2">
        <f>VLOOKUP($C167,'[10]for slip'!$F:$BC,16,0)</f>
        <v>0</v>
      </c>
      <c r="I167" s="2">
        <f>VLOOKUP($C167,'[10]for slip'!$F:$BC,17,0)</f>
        <v>0</v>
      </c>
      <c r="J167" s="2">
        <f>VLOOKUP($C167,'[10]for slip'!$F:$BC,27,0)</f>
        <v>0</v>
      </c>
      <c r="K167" s="2">
        <f>VLOOKUP($C167,'[10]for slip'!$F:$BC,31,0)</f>
        <v>0</v>
      </c>
      <c r="L167" s="2">
        <f>VLOOKUP($C167,'[10]for slip'!$F:$BC,35,0)</f>
        <v>0</v>
      </c>
      <c r="M167" s="2">
        <f>VLOOKUP($C167,'[10]for slip'!$F:$BC,36,0)</f>
        <v>0</v>
      </c>
      <c r="N167" s="2">
        <f>VLOOKUP($C167,'[10]for slip'!$F:$BC,37,0)</f>
        <v>0</v>
      </c>
      <c r="O167" s="2">
        <f>VLOOKUP($C167,'[10]for slip'!$F:$BC,38,0)</f>
        <v>0</v>
      </c>
      <c r="P167" s="2">
        <f>VLOOKUP($C167,'[10]for slip'!$F:$BC,39,0)</f>
        <v>38000</v>
      </c>
      <c r="Q167" s="2">
        <f>VLOOKUP($C167,'[10]for slip'!$F:$BC,40,0)</f>
        <v>31700</v>
      </c>
      <c r="R167" s="2">
        <f>VLOOKUP($C167,'[10]for slip'!$F:$BC,41,0)</f>
        <v>0</v>
      </c>
      <c r="S167" s="2">
        <f>VLOOKUP($C167,'[10]for slip'!$F:$BC,42,0)</f>
        <v>0</v>
      </c>
      <c r="T167" s="2">
        <f>VLOOKUP($C167,'[10]for slip'!$F:$BC,43,0)</f>
        <v>47983.1</v>
      </c>
      <c r="U167" s="2">
        <f>VLOOKUP($C167,'[10]for slip'!$F:$BC,44,0)</f>
        <v>106861.66</v>
      </c>
      <c r="V167" s="2">
        <f>VLOOKUP($C167,'[10]for slip'!$F:$BC,45,0)</f>
        <v>53430.83</v>
      </c>
      <c r="W167" s="2">
        <f>VLOOKUP($C167,'[10]for slip'!$F:$BC,48,0)</f>
        <v>0</v>
      </c>
    </row>
    <row r="168" spans="1:23" x14ac:dyDescent="0.25">
      <c r="A168" s="1">
        <v>167</v>
      </c>
      <c r="B168" s="2" t="s">
        <v>355</v>
      </c>
      <c r="C168" s="2" t="s">
        <v>356</v>
      </c>
      <c r="D168" s="2" t="str">
        <f>VLOOKUP($C168,'[10]for slip'!$F:$BC,3,0)</f>
        <v>Pelaksana</v>
      </c>
      <c r="E168" s="2" t="str">
        <f>VLOOKUP($C168,'[10]for slip'!$F:$BC,4,0)</f>
        <v>Assembly</v>
      </c>
      <c r="F168" s="2">
        <f>VLOOKUP($C168,'[10]for slip'!$F:$BC,14,0)</f>
        <v>5343083</v>
      </c>
      <c r="G168" s="2">
        <f>VLOOKUP($C168,'[10]for slip'!$F:$BC,15,0)</f>
        <v>0</v>
      </c>
      <c r="H168" s="2">
        <f>VLOOKUP($C168,'[10]for slip'!$F:$BC,16,0)</f>
        <v>0</v>
      </c>
      <c r="I168" s="2">
        <f>VLOOKUP($C168,'[10]for slip'!$F:$BC,17,0)</f>
        <v>0</v>
      </c>
      <c r="J168" s="2">
        <f>VLOOKUP($C168,'[10]for slip'!$F:$BC,27,0)</f>
        <v>0</v>
      </c>
      <c r="K168" s="2">
        <f>VLOOKUP($C168,'[10]for slip'!$F:$BC,31,0)</f>
        <v>0</v>
      </c>
      <c r="L168" s="2">
        <f>VLOOKUP($C168,'[10]for slip'!$F:$BC,35,0)</f>
        <v>0</v>
      </c>
      <c r="M168" s="2">
        <f>VLOOKUP($C168,'[10]for slip'!$F:$BC,36,0)</f>
        <v>0</v>
      </c>
      <c r="N168" s="2">
        <f>VLOOKUP($C168,'[10]for slip'!$F:$BC,37,0)</f>
        <v>0</v>
      </c>
      <c r="O168" s="2">
        <f>VLOOKUP($C168,'[10]for slip'!$F:$BC,38,0)</f>
        <v>0</v>
      </c>
      <c r="P168" s="2">
        <f>VLOOKUP($C168,'[10]for slip'!$F:$BC,39,0)</f>
        <v>38000</v>
      </c>
      <c r="Q168" s="2">
        <f>VLOOKUP($C168,'[10]for slip'!$F:$BC,40,0)</f>
        <v>31700</v>
      </c>
      <c r="R168" s="2">
        <f>VLOOKUP($C168,'[10]for slip'!$F:$BC,41,0)</f>
        <v>0</v>
      </c>
      <c r="S168" s="2">
        <f>VLOOKUP($C168,'[10]for slip'!$F:$BC,42,0)</f>
        <v>0</v>
      </c>
      <c r="T168" s="2">
        <f>VLOOKUP($C168,'[10]for slip'!$F:$BC,43,0)</f>
        <v>53430.83</v>
      </c>
      <c r="U168" s="2">
        <f>VLOOKUP($C168,'[10]for slip'!$F:$BC,44,0)</f>
        <v>106861.66</v>
      </c>
      <c r="V168" s="2">
        <f>VLOOKUP($C168,'[10]for slip'!$F:$BC,45,0)</f>
        <v>53430.83</v>
      </c>
      <c r="W168" s="2">
        <f>VLOOKUP($C168,'[10]for slip'!$F:$BC,48,0)</f>
        <v>0</v>
      </c>
    </row>
    <row r="169" spans="1:23" x14ac:dyDescent="0.25">
      <c r="A169" s="1">
        <v>168</v>
      </c>
      <c r="B169" s="2" t="s">
        <v>357</v>
      </c>
      <c r="C169" s="2" t="s">
        <v>358</v>
      </c>
      <c r="D169" s="2" t="str">
        <f>VLOOKUP($C169,'[10]for slip'!$F:$BC,3,0)</f>
        <v>Pelaksana</v>
      </c>
      <c r="E169" s="2" t="str">
        <f>VLOOKUP($C169,'[10]for slip'!$F:$BC,4,0)</f>
        <v>Assembly</v>
      </c>
      <c r="F169" s="2">
        <f>VLOOKUP($C169,'[10]for slip'!$F:$BC,14,0)</f>
        <v>5343083</v>
      </c>
      <c r="G169" s="2">
        <f>VLOOKUP($C169,'[10]for slip'!$F:$BC,15,0)</f>
        <v>0</v>
      </c>
      <c r="H169" s="2">
        <f>VLOOKUP($C169,'[10]for slip'!$F:$BC,16,0)</f>
        <v>0</v>
      </c>
      <c r="I169" s="2">
        <f>VLOOKUP($C169,'[10]for slip'!$F:$BC,17,0)</f>
        <v>0</v>
      </c>
      <c r="J169" s="2">
        <f>VLOOKUP($C169,'[10]for slip'!$F:$BC,27,0)</f>
        <v>0</v>
      </c>
      <c r="K169" s="2">
        <f>VLOOKUP($C169,'[10]for slip'!$F:$BC,31,0)</f>
        <v>0</v>
      </c>
      <c r="L169" s="2">
        <f>VLOOKUP($C169,'[10]for slip'!$F:$BC,35,0)</f>
        <v>34354.584590750004</v>
      </c>
      <c r="M169" s="2">
        <f>VLOOKUP($C169,'[10]for slip'!$F:$BC,36,0)</f>
        <v>0</v>
      </c>
      <c r="N169" s="2">
        <f>VLOOKUP($C169,'[10]for slip'!$F:$BC,37,0)</f>
        <v>0</v>
      </c>
      <c r="O169" s="2">
        <f>VLOOKUP($C169,'[10]for slip'!$F:$BC,38,0)</f>
        <v>0</v>
      </c>
      <c r="P169" s="2">
        <f>VLOOKUP($C169,'[10]for slip'!$F:$BC,39,0)</f>
        <v>38000</v>
      </c>
      <c r="Q169" s="2">
        <f>VLOOKUP($C169,'[10]for slip'!$F:$BC,40,0)</f>
        <v>31700</v>
      </c>
      <c r="R169" s="2">
        <f>VLOOKUP($C169,'[10]for slip'!$F:$BC,41,0)</f>
        <v>0</v>
      </c>
      <c r="S169" s="2">
        <f>VLOOKUP($C169,'[10]for slip'!$F:$BC,42,0)</f>
        <v>0</v>
      </c>
      <c r="T169" s="2">
        <f>VLOOKUP($C169,'[10]for slip'!$F:$BC,43,0)</f>
        <v>53430.83</v>
      </c>
      <c r="U169" s="2">
        <f>VLOOKUP($C169,'[10]for slip'!$F:$BC,44,0)</f>
        <v>106861.66</v>
      </c>
      <c r="V169" s="2">
        <f>VLOOKUP($C169,'[10]for slip'!$F:$BC,45,0)</f>
        <v>53430.83</v>
      </c>
      <c r="W169" s="2">
        <f>VLOOKUP($C169,'[10]for slip'!$F:$BC,48,0)</f>
        <v>34354.584590750004</v>
      </c>
    </row>
    <row r="170" spans="1:23" x14ac:dyDescent="0.25">
      <c r="A170" s="1">
        <v>169</v>
      </c>
      <c r="B170" s="2" t="s">
        <v>359</v>
      </c>
      <c r="C170" s="2" t="s">
        <v>360</v>
      </c>
      <c r="D170" s="2" t="str">
        <f>VLOOKUP($C170,'[10]for slip'!$F:$BC,3,0)</f>
        <v>Pelaksana</v>
      </c>
      <c r="E170" s="2" t="str">
        <f>VLOOKUP($C170,'[10]for slip'!$F:$BC,4,0)</f>
        <v>Assembly</v>
      </c>
      <c r="F170" s="2">
        <f>VLOOKUP($C170,'[10]for slip'!$F:$BC,14,0)</f>
        <v>5343083</v>
      </c>
      <c r="G170" s="2">
        <f>VLOOKUP($C170,'[10]for slip'!$F:$BC,15,0)</f>
        <v>0</v>
      </c>
      <c r="H170" s="2">
        <f>VLOOKUP($C170,'[10]for slip'!$F:$BC,16,0)</f>
        <v>0</v>
      </c>
      <c r="I170" s="2">
        <f>VLOOKUP($C170,'[10]for slip'!$F:$BC,17,0)</f>
        <v>0</v>
      </c>
      <c r="J170" s="2">
        <f>VLOOKUP($C170,'[10]for slip'!$F:$BC,27,0)</f>
        <v>0</v>
      </c>
      <c r="K170" s="2">
        <f>VLOOKUP($C170,'[10]for slip'!$F:$BC,31,0)</f>
        <v>0</v>
      </c>
      <c r="L170" s="2">
        <f>VLOOKUP($C170,'[10]for slip'!$F:$BC,35,0)</f>
        <v>0</v>
      </c>
      <c r="M170" s="2">
        <f>VLOOKUP($C170,'[10]for slip'!$F:$BC,36,0)</f>
        <v>0</v>
      </c>
      <c r="N170" s="2">
        <f>VLOOKUP($C170,'[10]for slip'!$F:$BC,37,0)</f>
        <v>0</v>
      </c>
      <c r="O170" s="2">
        <f>VLOOKUP($C170,'[10]for slip'!$F:$BC,38,0)</f>
        <v>0</v>
      </c>
      <c r="P170" s="2">
        <f>VLOOKUP($C170,'[10]for slip'!$F:$BC,39,0)</f>
        <v>0</v>
      </c>
      <c r="Q170" s="2">
        <f>VLOOKUP($C170,'[10]for slip'!$F:$BC,40,0)</f>
        <v>31700</v>
      </c>
      <c r="R170" s="2">
        <f>VLOOKUP($C170,'[10]for slip'!$F:$BC,41,0)</f>
        <v>0</v>
      </c>
      <c r="S170" s="2">
        <f>VLOOKUP($C170,'[10]for slip'!$F:$BC,42,0)</f>
        <v>10000</v>
      </c>
      <c r="T170" s="2">
        <f>VLOOKUP($C170,'[10]for slip'!$F:$BC,43,0)</f>
        <v>53430.83</v>
      </c>
      <c r="U170" s="2">
        <f>VLOOKUP($C170,'[10]for slip'!$F:$BC,44,0)</f>
        <v>106861.66</v>
      </c>
      <c r="V170" s="2">
        <f>VLOOKUP($C170,'[10]for slip'!$F:$BC,45,0)</f>
        <v>53430.83</v>
      </c>
      <c r="W170" s="2">
        <f>VLOOKUP($C170,'[10]for slip'!$F:$BC,48,0)</f>
        <v>0</v>
      </c>
    </row>
    <row r="171" spans="1:23" x14ac:dyDescent="0.25">
      <c r="A171" s="1">
        <v>170</v>
      </c>
      <c r="B171" s="2" t="s">
        <v>361</v>
      </c>
      <c r="C171" s="2" t="s">
        <v>362</v>
      </c>
      <c r="D171" s="2" t="str">
        <f>VLOOKUP($C171,'[10]for slip'!$F:$BC,3,0)</f>
        <v>Pelaksana</v>
      </c>
      <c r="E171" s="2" t="str">
        <f>VLOOKUP($C171,'[10]for slip'!$F:$BC,4,0)</f>
        <v>Assembly</v>
      </c>
      <c r="F171" s="2">
        <f>VLOOKUP($C171,'[10]for slip'!$F:$BC,14,0)</f>
        <v>5343083</v>
      </c>
      <c r="G171" s="2">
        <f>VLOOKUP($C171,'[10]for slip'!$F:$BC,15,0)</f>
        <v>0</v>
      </c>
      <c r="H171" s="2">
        <f>VLOOKUP($C171,'[10]for slip'!$F:$BC,16,0)</f>
        <v>0</v>
      </c>
      <c r="I171" s="2">
        <f>VLOOKUP($C171,'[10]for slip'!$F:$BC,17,0)</f>
        <v>0</v>
      </c>
      <c r="J171" s="2">
        <f>VLOOKUP($C171,'[10]for slip'!$F:$BC,27,0)</f>
        <v>0</v>
      </c>
      <c r="K171" s="2">
        <f>VLOOKUP($C171,'[10]for slip'!$F:$BC,31,0)</f>
        <v>0</v>
      </c>
      <c r="L171" s="2">
        <f>VLOOKUP($C171,'[10]for slip'!$F:$BC,35,0)</f>
        <v>0</v>
      </c>
      <c r="M171" s="2">
        <f>VLOOKUP($C171,'[10]for slip'!$F:$BC,36,0)</f>
        <v>0</v>
      </c>
      <c r="N171" s="2">
        <f>VLOOKUP($C171,'[10]for slip'!$F:$BC,37,0)</f>
        <v>0</v>
      </c>
      <c r="O171" s="2">
        <f>VLOOKUP($C171,'[10]for slip'!$F:$BC,38,0)</f>
        <v>0</v>
      </c>
      <c r="P171" s="2">
        <f>VLOOKUP($C171,'[10]for slip'!$F:$BC,39,0)</f>
        <v>38000</v>
      </c>
      <c r="Q171" s="2">
        <f>VLOOKUP($C171,'[10]for slip'!$F:$BC,40,0)</f>
        <v>31700</v>
      </c>
      <c r="R171" s="2">
        <f>VLOOKUP($C171,'[10]for slip'!$F:$BC,41,0)</f>
        <v>0</v>
      </c>
      <c r="S171" s="2">
        <f>VLOOKUP($C171,'[10]for slip'!$F:$BC,42,0)</f>
        <v>0</v>
      </c>
      <c r="T171" s="2">
        <f>VLOOKUP($C171,'[10]for slip'!$F:$BC,43,0)</f>
        <v>53430.83</v>
      </c>
      <c r="U171" s="2">
        <f>VLOOKUP($C171,'[10]for slip'!$F:$BC,44,0)</f>
        <v>106861.66</v>
      </c>
      <c r="V171" s="2">
        <f>VLOOKUP($C171,'[10]for slip'!$F:$BC,45,0)</f>
        <v>53430.83</v>
      </c>
      <c r="W171" s="2">
        <f>VLOOKUP($C171,'[10]for slip'!$F:$BC,48,0)</f>
        <v>0</v>
      </c>
    </row>
    <row r="172" spans="1:23" x14ac:dyDescent="0.25">
      <c r="A172" s="1">
        <v>171</v>
      </c>
      <c r="B172" s="2" t="s">
        <v>363</v>
      </c>
      <c r="C172" s="2" t="s">
        <v>364</v>
      </c>
      <c r="D172" s="2" t="str">
        <f>VLOOKUP($C172,'[10]for slip'!$F:$BC,3,0)</f>
        <v>Pelaksana</v>
      </c>
      <c r="E172" s="2" t="str">
        <f>VLOOKUP($C172,'[10]for slip'!$F:$BC,4,0)</f>
        <v>Assembly</v>
      </c>
      <c r="F172" s="2">
        <f>VLOOKUP($C172,'[10]for slip'!$F:$BC,14,0)</f>
        <v>5343083</v>
      </c>
      <c r="G172" s="2">
        <f>VLOOKUP($C172,'[10]for slip'!$F:$BC,15,0)</f>
        <v>0</v>
      </c>
      <c r="H172" s="2">
        <f>VLOOKUP($C172,'[10]for slip'!$F:$BC,16,0)</f>
        <v>0</v>
      </c>
      <c r="I172" s="2">
        <f>VLOOKUP($C172,'[10]for slip'!$F:$BC,17,0)</f>
        <v>0</v>
      </c>
      <c r="J172" s="2">
        <f>VLOOKUP($C172,'[10]for slip'!$F:$BC,27,0)</f>
        <v>0</v>
      </c>
      <c r="K172" s="2">
        <f>VLOOKUP($C172,'[10]for slip'!$F:$BC,31,0)</f>
        <v>0</v>
      </c>
      <c r="L172" s="2">
        <f>VLOOKUP($C172,'[10]for slip'!$F:$BC,35,0)</f>
        <v>15604.584590750002</v>
      </c>
      <c r="M172" s="2">
        <f>VLOOKUP($C172,'[10]for slip'!$F:$BC,36,0)</f>
        <v>0</v>
      </c>
      <c r="N172" s="2">
        <f>VLOOKUP($C172,'[10]for slip'!$F:$BC,37,0)</f>
        <v>0</v>
      </c>
      <c r="O172" s="2">
        <f>VLOOKUP($C172,'[10]for slip'!$F:$BC,38,0)</f>
        <v>0</v>
      </c>
      <c r="P172" s="2">
        <f>VLOOKUP($C172,'[10]for slip'!$F:$BC,39,0)</f>
        <v>38000</v>
      </c>
      <c r="Q172" s="2">
        <f>VLOOKUP($C172,'[10]for slip'!$F:$BC,40,0)</f>
        <v>31700</v>
      </c>
      <c r="R172" s="2">
        <f>VLOOKUP($C172,'[10]for slip'!$F:$BC,41,0)</f>
        <v>0</v>
      </c>
      <c r="S172" s="2">
        <f>VLOOKUP($C172,'[10]for slip'!$F:$BC,42,0)</f>
        <v>0</v>
      </c>
      <c r="T172" s="2">
        <f>VLOOKUP($C172,'[10]for slip'!$F:$BC,43,0)</f>
        <v>53430.83</v>
      </c>
      <c r="U172" s="2">
        <f>VLOOKUP($C172,'[10]for slip'!$F:$BC,44,0)</f>
        <v>106861.66</v>
      </c>
      <c r="V172" s="2">
        <f>VLOOKUP($C172,'[10]for slip'!$F:$BC,45,0)</f>
        <v>53430.83</v>
      </c>
      <c r="W172" s="2">
        <f>VLOOKUP($C172,'[10]for slip'!$F:$BC,48,0)</f>
        <v>15604.584590750002</v>
      </c>
    </row>
    <row r="173" spans="1:23" x14ac:dyDescent="0.25">
      <c r="A173" s="1">
        <v>172</v>
      </c>
      <c r="B173" s="2" t="s">
        <v>365</v>
      </c>
      <c r="C173" s="2" t="s">
        <v>366</v>
      </c>
      <c r="D173" s="2" t="str">
        <f>VLOOKUP($C173,'[10]for slip'!$F:$BC,3,0)</f>
        <v>Pelaksana</v>
      </c>
      <c r="E173" s="2" t="str">
        <f>VLOOKUP($C173,'[10]for slip'!$F:$BC,4,0)</f>
        <v>Assembly</v>
      </c>
      <c r="F173" s="2">
        <f>VLOOKUP($C173,'[10]for slip'!$F:$BC,14,0)</f>
        <v>5343083</v>
      </c>
      <c r="G173" s="2">
        <f>VLOOKUP($C173,'[10]for slip'!$F:$BC,15,0)</f>
        <v>0</v>
      </c>
      <c r="H173" s="2">
        <f>VLOOKUP($C173,'[10]for slip'!$F:$BC,16,0)</f>
        <v>0</v>
      </c>
      <c r="I173" s="2">
        <f>VLOOKUP($C173,'[10]for slip'!$F:$BC,17,0)</f>
        <v>0</v>
      </c>
      <c r="J173" s="2">
        <f>VLOOKUP($C173,'[10]for slip'!$F:$BC,27,0)</f>
        <v>0</v>
      </c>
      <c r="K173" s="2">
        <f>VLOOKUP($C173,'[10]for slip'!$F:$BC,31,0)</f>
        <v>0</v>
      </c>
      <c r="L173" s="2">
        <f>VLOOKUP($C173,'[10]for slip'!$F:$BC,35,0)</f>
        <v>0</v>
      </c>
      <c r="M173" s="2">
        <f>VLOOKUP($C173,'[10]for slip'!$F:$BC,36,0)</f>
        <v>0</v>
      </c>
      <c r="N173" s="2">
        <f>VLOOKUP($C173,'[10]for slip'!$F:$BC,37,0)</f>
        <v>0</v>
      </c>
      <c r="O173" s="2">
        <f>VLOOKUP($C173,'[10]for slip'!$F:$BC,38,0)</f>
        <v>0</v>
      </c>
      <c r="P173" s="2">
        <f>VLOOKUP($C173,'[10]for slip'!$F:$BC,39,0)</f>
        <v>38000</v>
      </c>
      <c r="Q173" s="2">
        <f>VLOOKUP($C173,'[10]for slip'!$F:$BC,40,0)</f>
        <v>31700</v>
      </c>
      <c r="R173" s="2">
        <f>VLOOKUP($C173,'[10]for slip'!$F:$BC,41,0)</f>
        <v>0</v>
      </c>
      <c r="S173" s="2">
        <f>VLOOKUP($C173,'[10]for slip'!$F:$BC,42,0)</f>
        <v>0</v>
      </c>
      <c r="T173" s="2">
        <f>VLOOKUP($C173,'[10]for slip'!$F:$BC,43,0)</f>
        <v>53430.83</v>
      </c>
      <c r="U173" s="2">
        <f>VLOOKUP($C173,'[10]for slip'!$F:$BC,44,0)</f>
        <v>106861.66</v>
      </c>
      <c r="V173" s="2">
        <f>VLOOKUP($C173,'[10]for slip'!$F:$BC,45,0)</f>
        <v>53430.83</v>
      </c>
      <c r="W173" s="2">
        <f>VLOOKUP($C173,'[10]for slip'!$F:$BC,48,0)</f>
        <v>0</v>
      </c>
    </row>
    <row r="174" spans="1:23" x14ac:dyDescent="0.25">
      <c r="A174" s="1">
        <v>173</v>
      </c>
      <c r="B174" s="2" t="s">
        <v>367</v>
      </c>
      <c r="C174" s="2" t="s">
        <v>368</v>
      </c>
      <c r="D174" s="2" t="str">
        <f>VLOOKUP($C174,'[10]for slip'!$F:$BC,3,0)</f>
        <v>Pelaksana</v>
      </c>
      <c r="E174" s="2" t="str">
        <f>VLOOKUP($C174,'[10]for slip'!$F:$BC,4,0)</f>
        <v>Assembly</v>
      </c>
      <c r="F174" s="2">
        <f>VLOOKUP($C174,'[10]for slip'!$F:$BC,14,0)</f>
        <v>5343083</v>
      </c>
      <c r="G174" s="2">
        <f>VLOOKUP($C174,'[10]for slip'!$F:$BC,15,0)</f>
        <v>0</v>
      </c>
      <c r="H174" s="2">
        <f>VLOOKUP($C174,'[10]for slip'!$F:$BC,16,0)</f>
        <v>0</v>
      </c>
      <c r="I174" s="2">
        <f>VLOOKUP($C174,'[10]for slip'!$F:$BC,17,0)</f>
        <v>0</v>
      </c>
      <c r="J174" s="2">
        <f>VLOOKUP($C174,'[10]for slip'!$F:$BC,27,0)</f>
        <v>0</v>
      </c>
      <c r="K174" s="2">
        <f>VLOOKUP($C174,'[10]for slip'!$F:$BC,31,0)</f>
        <v>0</v>
      </c>
      <c r="L174" s="2">
        <f>VLOOKUP($C174,'[10]for slip'!$F:$BC,35,0)</f>
        <v>0</v>
      </c>
      <c r="M174" s="2">
        <f>VLOOKUP($C174,'[10]for slip'!$F:$BC,36,0)</f>
        <v>0</v>
      </c>
      <c r="N174" s="2">
        <f>VLOOKUP($C174,'[10]for slip'!$F:$BC,37,0)</f>
        <v>0</v>
      </c>
      <c r="O174" s="2">
        <f>VLOOKUP($C174,'[10]for slip'!$F:$BC,38,0)</f>
        <v>0</v>
      </c>
      <c r="P174" s="2">
        <f>VLOOKUP($C174,'[10]for slip'!$F:$BC,39,0)</f>
        <v>38000</v>
      </c>
      <c r="Q174" s="2">
        <f>VLOOKUP($C174,'[10]for slip'!$F:$BC,40,0)</f>
        <v>31700</v>
      </c>
      <c r="R174" s="2">
        <f>VLOOKUP($C174,'[10]for slip'!$F:$BC,41,0)</f>
        <v>0</v>
      </c>
      <c r="S174" s="2">
        <f>VLOOKUP($C174,'[10]for slip'!$F:$BC,42,0)</f>
        <v>10000</v>
      </c>
      <c r="T174" s="2">
        <f>VLOOKUP($C174,'[10]for slip'!$F:$BC,43,0)</f>
        <v>53430.83</v>
      </c>
      <c r="U174" s="2">
        <f>VLOOKUP($C174,'[10]for slip'!$F:$BC,44,0)</f>
        <v>106861.66</v>
      </c>
      <c r="V174" s="2">
        <f>VLOOKUP($C174,'[10]for slip'!$F:$BC,45,0)</f>
        <v>53430.83</v>
      </c>
      <c r="W174" s="2">
        <f>VLOOKUP($C174,'[10]for slip'!$F:$BC,48,0)</f>
        <v>0</v>
      </c>
    </row>
    <row r="175" spans="1:23" x14ac:dyDescent="0.25">
      <c r="A175" s="1">
        <v>174</v>
      </c>
      <c r="B175" s="2" t="s">
        <v>369</v>
      </c>
      <c r="C175" s="2" t="s">
        <v>370</v>
      </c>
      <c r="D175" s="2" t="str">
        <f>VLOOKUP($C175,'[10]for slip'!$F:$BC,3,0)</f>
        <v>Pelaksana</v>
      </c>
      <c r="E175" s="2" t="str">
        <f>VLOOKUP($C175,'[10]for slip'!$F:$BC,4,0)</f>
        <v>Assembly</v>
      </c>
      <c r="F175" s="2">
        <f>VLOOKUP($C175,'[10]for slip'!$F:$BC,14,0)</f>
        <v>5343083</v>
      </c>
      <c r="G175" s="2">
        <f>VLOOKUP($C175,'[10]for slip'!$F:$BC,15,0)</f>
        <v>0</v>
      </c>
      <c r="H175" s="2">
        <f>VLOOKUP($C175,'[10]for slip'!$F:$BC,16,0)</f>
        <v>0</v>
      </c>
      <c r="I175" s="2">
        <f>VLOOKUP($C175,'[10]for slip'!$F:$BC,17,0)</f>
        <v>0</v>
      </c>
      <c r="J175" s="2">
        <f>VLOOKUP($C175,'[10]for slip'!$F:$BC,27,0)</f>
        <v>0</v>
      </c>
      <c r="K175" s="2">
        <f>VLOOKUP($C175,'[10]for slip'!$F:$BC,31,0)</f>
        <v>0</v>
      </c>
      <c r="L175" s="2">
        <f>VLOOKUP($C175,'[10]for slip'!$F:$BC,35,0)</f>
        <v>34354.584590750004</v>
      </c>
      <c r="M175" s="2">
        <f>VLOOKUP($C175,'[10]for slip'!$F:$BC,36,0)</f>
        <v>0</v>
      </c>
      <c r="N175" s="2">
        <f>VLOOKUP($C175,'[10]for slip'!$F:$BC,37,0)</f>
        <v>0</v>
      </c>
      <c r="O175" s="2">
        <f>VLOOKUP($C175,'[10]for slip'!$F:$BC,38,0)</f>
        <v>0</v>
      </c>
      <c r="P175" s="2">
        <f>VLOOKUP($C175,'[10]for slip'!$F:$BC,39,0)</f>
        <v>38000</v>
      </c>
      <c r="Q175" s="2">
        <f>VLOOKUP($C175,'[10]for slip'!$F:$BC,40,0)</f>
        <v>31700</v>
      </c>
      <c r="R175" s="2">
        <f>VLOOKUP($C175,'[10]for slip'!$F:$BC,41,0)</f>
        <v>0</v>
      </c>
      <c r="S175" s="2">
        <f>VLOOKUP($C175,'[10]for slip'!$F:$BC,42,0)</f>
        <v>0</v>
      </c>
      <c r="T175" s="2">
        <f>VLOOKUP($C175,'[10]for slip'!$F:$BC,43,0)</f>
        <v>53430.83</v>
      </c>
      <c r="U175" s="2">
        <f>VLOOKUP($C175,'[10]for slip'!$F:$BC,44,0)</f>
        <v>106861.66</v>
      </c>
      <c r="V175" s="2">
        <f>VLOOKUP($C175,'[10]for slip'!$F:$BC,45,0)</f>
        <v>53430.83</v>
      </c>
      <c r="W175" s="2">
        <f>VLOOKUP($C175,'[10]for slip'!$F:$BC,48,0)</f>
        <v>34354.584590750004</v>
      </c>
    </row>
    <row r="176" spans="1:23" x14ac:dyDescent="0.25">
      <c r="A176" s="1">
        <v>175</v>
      </c>
      <c r="B176" s="2" t="s">
        <v>371</v>
      </c>
      <c r="C176" s="2" t="s">
        <v>372</v>
      </c>
      <c r="D176" s="2" t="str">
        <f>VLOOKUP($C176,'[10]for slip'!$F:$BC,3,0)</f>
        <v>Pelaksana</v>
      </c>
      <c r="E176" s="2" t="str">
        <f>VLOOKUP($C176,'[10]for slip'!$F:$BC,4,0)</f>
        <v>Assembly</v>
      </c>
      <c r="F176" s="2">
        <f>VLOOKUP($C176,'[10]for slip'!$F:$BC,14,0)</f>
        <v>5343083</v>
      </c>
      <c r="G176" s="2">
        <f>VLOOKUP($C176,'[10]for slip'!$F:$BC,15,0)</f>
        <v>0</v>
      </c>
      <c r="H176" s="2">
        <f>VLOOKUP($C176,'[10]for slip'!$F:$BC,16,0)</f>
        <v>0</v>
      </c>
      <c r="I176" s="2">
        <f>VLOOKUP($C176,'[10]for slip'!$F:$BC,17,0)</f>
        <v>0</v>
      </c>
      <c r="J176" s="2">
        <f>VLOOKUP($C176,'[10]for slip'!$F:$BC,27,0)</f>
        <v>0</v>
      </c>
      <c r="K176" s="2">
        <f>VLOOKUP($C176,'[10]for slip'!$F:$BC,31,0)</f>
        <v>0</v>
      </c>
      <c r="L176" s="2">
        <f>VLOOKUP($C176,'[10]for slip'!$F:$BC,35,0)</f>
        <v>34354.584590750004</v>
      </c>
      <c r="M176" s="2">
        <f>VLOOKUP($C176,'[10]for slip'!$F:$BC,36,0)</f>
        <v>0</v>
      </c>
      <c r="N176" s="2">
        <f>VLOOKUP($C176,'[10]for slip'!$F:$BC,37,0)</f>
        <v>0</v>
      </c>
      <c r="O176" s="2">
        <f>VLOOKUP($C176,'[10]for slip'!$F:$BC,38,0)</f>
        <v>0</v>
      </c>
      <c r="P176" s="2">
        <f>VLOOKUP($C176,'[10]for slip'!$F:$BC,39,0)</f>
        <v>38000</v>
      </c>
      <c r="Q176" s="2">
        <f>VLOOKUP($C176,'[10]for slip'!$F:$BC,40,0)</f>
        <v>31700</v>
      </c>
      <c r="R176" s="2">
        <f>VLOOKUP($C176,'[10]for slip'!$F:$BC,41,0)</f>
        <v>0</v>
      </c>
      <c r="S176" s="2">
        <f>VLOOKUP($C176,'[10]for slip'!$F:$BC,42,0)</f>
        <v>0</v>
      </c>
      <c r="T176" s="2">
        <f>VLOOKUP($C176,'[10]for slip'!$F:$BC,43,0)</f>
        <v>53430.83</v>
      </c>
      <c r="U176" s="2">
        <f>VLOOKUP($C176,'[10]for slip'!$F:$BC,44,0)</f>
        <v>106861.66</v>
      </c>
      <c r="V176" s="2">
        <f>VLOOKUP($C176,'[10]for slip'!$F:$BC,45,0)</f>
        <v>53430.83</v>
      </c>
      <c r="W176" s="2">
        <f>VLOOKUP($C176,'[10]for slip'!$F:$BC,48,0)</f>
        <v>34354.584590750004</v>
      </c>
    </row>
    <row r="177" spans="1:23" x14ac:dyDescent="0.25">
      <c r="A177" s="1">
        <v>176</v>
      </c>
      <c r="B177" s="2" t="s">
        <v>373</v>
      </c>
      <c r="C177" s="2" t="s">
        <v>374</v>
      </c>
      <c r="D177" s="2" t="str">
        <f>VLOOKUP($C177,'[10]for slip'!$F:$BC,3,0)</f>
        <v>Pelaksana</v>
      </c>
      <c r="E177" s="2" t="str">
        <f>VLOOKUP($C177,'[10]for slip'!$F:$BC,4,0)</f>
        <v>Assembly</v>
      </c>
      <c r="F177" s="2">
        <f>VLOOKUP($C177,'[10]for slip'!$F:$BC,14,0)</f>
        <v>5343083</v>
      </c>
      <c r="G177" s="2">
        <f>VLOOKUP($C177,'[10]for slip'!$F:$BC,15,0)</f>
        <v>0</v>
      </c>
      <c r="H177" s="2">
        <f>VLOOKUP($C177,'[10]for slip'!$F:$BC,16,0)</f>
        <v>0</v>
      </c>
      <c r="I177" s="2">
        <f>VLOOKUP($C177,'[10]for slip'!$F:$BC,17,0)</f>
        <v>0</v>
      </c>
      <c r="J177" s="2">
        <f>VLOOKUP($C177,'[10]for slip'!$F:$BC,27,0)</f>
        <v>0</v>
      </c>
      <c r="K177" s="2">
        <f>VLOOKUP($C177,'[10]for slip'!$F:$BC,31,0)</f>
        <v>0</v>
      </c>
      <c r="L177" s="2">
        <f>VLOOKUP($C177,'[10]for slip'!$F:$BC,35,0)</f>
        <v>0</v>
      </c>
      <c r="M177" s="2">
        <f>VLOOKUP($C177,'[10]for slip'!$F:$BC,36,0)</f>
        <v>0</v>
      </c>
      <c r="N177" s="2">
        <f>VLOOKUP($C177,'[10]for slip'!$F:$BC,37,0)</f>
        <v>0</v>
      </c>
      <c r="O177" s="2">
        <f>VLOOKUP($C177,'[10]for slip'!$F:$BC,38,0)</f>
        <v>0</v>
      </c>
      <c r="P177" s="2">
        <f>VLOOKUP($C177,'[10]for slip'!$F:$BC,39,0)</f>
        <v>38000</v>
      </c>
      <c r="Q177" s="2">
        <f>VLOOKUP($C177,'[10]for slip'!$F:$BC,40,0)</f>
        <v>31700</v>
      </c>
      <c r="R177" s="2">
        <f>VLOOKUP($C177,'[10]for slip'!$F:$BC,41,0)</f>
        <v>0</v>
      </c>
      <c r="S177" s="2">
        <f>VLOOKUP($C177,'[10]for slip'!$F:$BC,42,0)</f>
        <v>10000</v>
      </c>
      <c r="T177" s="2">
        <f>VLOOKUP($C177,'[10]for slip'!$F:$BC,43,0)</f>
        <v>53430.83</v>
      </c>
      <c r="U177" s="2">
        <f>VLOOKUP($C177,'[10]for slip'!$F:$BC,44,0)</f>
        <v>106861.66</v>
      </c>
      <c r="V177" s="2">
        <f>VLOOKUP($C177,'[10]for slip'!$F:$BC,45,0)</f>
        <v>53430.83</v>
      </c>
      <c r="W177" s="2">
        <f>VLOOKUP($C177,'[10]for slip'!$F:$BC,48,0)</f>
        <v>0</v>
      </c>
    </row>
    <row r="178" spans="1:23" x14ac:dyDescent="0.25">
      <c r="A178" s="1">
        <v>177</v>
      </c>
      <c r="B178" s="2" t="s">
        <v>375</v>
      </c>
      <c r="C178" s="2" t="s">
        <v>376</v>
      </c>
      <c r="D178" s="2" t="str">
        <f>VLOOKUP($C178,'[10]for slip'!$F:$BC,3,0)</f>
        <v>Pelaksana</v>
      </c>
      <c r="E178" s="2" t="str">
        <f>VLOOKUP($C178,'[10]for slip'!$F:$BC,4,0)</f>
        <v>Assembly</v>
      </c>
      <c r="F178" s="2">
        <f>VLOOKUP($C178,'[10]for slip'!$F:$BC,14,0)</f>
        <v>5343083</v>
      </c>
      <c r="G178" s="2">
        <f>VLOOKUP($C178,'[10]for slip'!$F:$BC,15,0)</f>
        <v>0</v>
      </c>
      <c r="H178" s="2">
        <f>VLOOKUP($C178,'[10]for slip'!$F:$BC,16,0)</f>
        <v>0</v>
      </c>
      <c r="I178" s="2">
        <f>VLOOKUP($C178,'[10]for slip'!$F:$BC,17,0)</f>
        <v>0</v>
      </c>
      <c r="J178" s="2">
        <f>VLOOKUP($C178,'[10]for slip'!$F:$BC,27,0)</f>
        <v>0</v>
      </c>
      <c r="K178" s="2">
        <f>VLOOKUP($C178,'[10]for slip'!$F:$BC,31,0)</f>
        <v>0</v>
      </c>
      <c r="L178" s="2">
        <f>VLOOKUP($C178,'[10]for slip'!$F:$BC,35,0)</f>
        <v>34354.584590750004</v>
      </c>
      <c r="M178" s="2">
        <f>VLOOKUP($C178,'[10]for slip'!$F:$BC,36,0)</f>
        <v>0</v>
      </c>
      <c r="N178" s="2">
        <f>VLOOKUP($C178,'[10]for slip'!$F:$BC,37,0)</f>
        <v>0</v>
      </c>
      <c r="O178" s="2">
        <f>VLOOKUP($C178,'[10]for slip'!$F:$BC,38,0)</f>
        <v>0</v>
      </c>
      <c r="P178" s="2">
        <f>VLOOKUP($C178,'[10]for slip'!$F:$BC,39,0)</f>
        <v>38000</v>
      </c>
      <c r="Q178" s="2">
        <f>VLOOKUP($C178,'[10]for slip'!$F:$BC,40,0)</f>
        <v>31700</v>
      </c>
      <c r="R178" s="2">
        <f>VLOOKUP($C178,'[10]for slip'!$F:$BC,41,0)</f>
        <v>0</v>
      </c>
      <c r="S178" s="2">
        <f>VLOOKUP($C178,'[10]for slip'!$F:$BC,42,0)</f>
        <v>10000</v>
      </c>
      <c r="T178" s="2">
        <f>VLOOKUP($C178,'[10]for slip'!$F:$BC,43,0)</f>
        <v>53430.83</v>
      </c>
      <c r="U178" s="2">
        <f>VLOOKUP($C178,'[10]for slip'!$F:$BC,44,0)</f>
        <v>106861.66</v>
      </c>
      <c r="V178" s="2">
        <f>VLOOKUP($C178,'[10]for slip'!$F:$BC,45,0)</f>
        <v>53430.83</v>
      </c>
      <c r="W178" s="2">
        <f>VLOOKUP($C178,'[10]for slip'!$F:$BC,48,0)</f>
        <v>34354.584590750004</v>
      </c>
    </row>
    <row r="179" spans="1:23" x14ac:dyDescent="0.25">
      <c r="A179" s="1">
        <v>178</v>
      </c>
      <c r="B179" s="2" t="s">
        <v>377</v>
      </c>
      <c r="C179" s="2" t="s">
        <v>378</v>
      </c>
      <c r="D179" s="2" t="str">
        <f>VLOOKUP($C179,'[10]for slip'!$F:$BC,3,0)</f>
        <v>Pelaksana</v>
      </c>
      <c r="E179" s="2" t="str">
        <f>VLOOKUP($C179,'[10]for slip'!$F:$BC,4,0)</f>
        <v>Assembly</v>
      </c>
      <c r="F179" s="2">
        <f>VLOOKUP($C179,'[10]for slip'!$F:$BC,14,0)</f>
        <v>5343083</v>
      </c>
      <c r="G179" s="2">
        <f>VLOOKUP($C179,'[10]for slip'!$F:$BC,15,0)</f>
        <v>0</v>
      </c>
      <c r="H179" s="2">
        <f>VLOOKUP($C179,'[10]for slip'!$F:$BC,16,0)</f>
        <v>0</v>
      </c>
      <c r="I179" s="2">
        <f>VLOOKUP($C179,'[10]for slip'!$F:$BC,17,0)</f>
        <v>0</v>
      </c>
      <c r="J179" s="2">
        <f>VLOOKUP($C179,'[10]for slip'!$F:$BC,27,0)</f>
        <v>0</v>
      </c>
      <c r="K179" s="2">
        <f>VLOOKUP($C179,'[10]for slip'!$F:$BC,31,0)</f>
        <v>0</v>
      </c>
      <c r="L179" s="2">
        <f>VLOOKUP($C179,'[10]for slip'!$F:$BC,35,0)</f>
        <v>15604.584590750002</v>
      </c>
      <c r="M179" s="2">
        <f>VLOOKUP($C179,'[10]for slip'!$F:$BC,36,0)</f>
        <v>0</v>
      </c>
      <c r="N179" s="2">
        <f>VLOOKUP($C179,'[10]for slip'!$F:$BC,37,0)</f>
        <v>0</v>
      </c>
      <c r="O179" s="2">
        <f>VLOOKUP($C179,'[10]for slip'!$F:$BC,38,0)</f>
        <v>0</v>
      </c>
      <c r="P179" s="2">
        <f>VLOOKUP($C179,'[10]for slip'!$F:$BC,39,0)</f>
        <v>38000</v>
      </c>
      <c r="Q179" s="2">
        <f>VLOOKUP($C179,'[10]for slip'!$F:$BC,40,0)</f>
        <v>31700</v>
      </c>
      <c r="R179" s="2">
        <f>VLOOKUP($C179,'[10]for slip'!$F:$BC,41,0)</f>
        <v>0</v>
      </c>
      <c r="S179" s="2">
        <f>VLOOKUP($C179,'[10]for slip'!$F:$BC,42,0)</f>
        <v>10000</v>
      </c>
      <c r="T179" s="2">
        <f>VLOOKUP($C179,'[10]for slip'!$F:$BC,43,0)</f>
        <v>53430.83</v>
      </c>
      <c r="U179" s="2">
        <f>VLOOKUP($C179,'[10]for slip'!$F:$BC,44,0)</f>
        <v>106861.66</v>
      </c>
      <c r="V179" s="2">
        <f>VLOOKUP($C179,'[10]for slip'!$F:$BC,45,0)</f>
        <v>53430.83</v>
      </c>
      <c r="W179" s="2">
        <f>VLOOKUP($C179,'[10]for slip'!$F:$BC,48,0)</f>
        <v>15604.584590750002</v>
      </c>
    </row>
    <row r="180" spans="1:23" x14ac:dyDescent="0.25">
      <c r="A180" s="1">
        <v>179</v>
      </c>
      <c r="B180" s="2" t="s">
        <v>379</v>
      </c>
      <c r="C180" s="2" t="s">
        <v>380</v>
      </c>
      <c r="D180" s="2" t="str">
        <f>VLOOKUP($C180,'[10]for slip'!$F:$BC,3,0)</f>
        <v>Pelaksana</v>
      </c>
      <c r="E180" s="2" t="str">
        <f>VLOOKUP($C180,'[10]for slip'!$F:$BC,4,0)</f>
        <v>Assembly</v>
      </c>
      <c r="F180" s="2">
        <f>VLOOKUP($C180,'[10]for slip'!$F:$BC,14,0)</f>
        <v>5343083</v>
      </c>
      <c r="G180" s="2">
        <f>VLOOKUP($C180,'[10]for slip'!$F:$BC,15,0)</f>
        <v>0</v>
      </c>
      <c r="H180" s="2">
        <f>VLOOKUP($C180,'[10]for slip'!$F:$BC,16,0)</f>
        <v>0</v>
      </c>
      <c r="I180" s="2">
        <f>VLOOKUP($C180,'[10]for slip'!$F:$BC,17,0)</f>
        <v>0</v>
      </c>
      <c r="J180" s="2">
        <f>VLOOKUP($C180,'[10]for slip'!$F:$BC,27,0)</f>
        <v>0</v>
      </c>
      <c r="K180" s="2">
        <f>VLOOKUP($C180,'[10]for slip'!$F:$BC,31,0)</f>
        <v>0</v>
      </c>
      <c r="L180" s="2">
        <f>VLOOKUP($C180,'[10]for slip'!$F:$BC,35,0)</f>
        <v>0</v>
      </c>
      <c r="M180" s="2">
        <f>VLOOKUP($C180,'[10]for slip'!$F:$BC,36,0)</f>
        <v>0</v>
      </c>
      <c r="N180" s="2">
        <f>VLOOKUP($C180,'[10]for slip'!$F:$BC,37,0)</f>
        <v>0</v>
      </c>
      <c r="O180" s="2">
        <f>VLOOKUP($C180,'[10]for slip'!$F:$BC,38,0)</f>
        <v>0</v>
      </c>
      <c r="P180" s="2">
        <f>VLOOKUP($C180,'[10]for slip'!$F:$BC,39,0)</f>
        <v>38000</v>
      </c>
      <c r="Q180" s="2">
        <f>VLOOKUP($C180,'[10]for slip'!$F:$BC,40,0)</f>
        <v>31700</v>
      </c>
      <c r="R180" s="2">
        <f>VLOOKUP($C180,'[10]for slip'!$F:$BC,41,0)</f>
        <v>0</v>
      </c>
      <c r="S180" s="2">
        <f>VLOOKUP($C180,'[10]for slip'!$F:$BC,42,0)</f>
        <v>0</v>
      </c>
      <c r="T180" s="2">
        <f>VLOOKUP($C180,'[10]for slip'!$F:$BC,43,0)</f>
        <v>53430.83</v>
      </c>
      <c r="U180" s="2">
        <f>VLOOKUP($C180,'[10]for slip'!$F:$BC,44,0)</f>
        <v>106861.66</v>
      </c>
      <c r="V180" s="2">
        <f>VLOOKUP($C180,'[10]for slip'!$F:$BC,45,0)</f>
        <v>53430.83</v>
      </c>
      <c r="W180" s="2">
        <f>VLOOKUP($C180,'[10]for slip'!$F:$BC,48,0)</f>
        <v>0</v>
      </c>
    </row>
    <row r="181" spans="1:23" x14ac:dyDescent="0.25">
      <c r="A181" s="1">
        <v>180</v>
      </c>
      <c r="B181" s="2" t="s">
        <v>381</v>
      </c>
      <c r="C181" s="2" t="s">
        <v>382</v>
      </c>
      <c r="D181" s="2" t="str">
        <f>VLOOKUP($C181,'[10]for slip'!$F:$BC,3,0)</f>
        <v>Pelaksana</v>
      </c>
      <c r="E181" s="2" t="str">
        <f>VLOOKUP($C181,'[10]for slip'!$F:$BC,4,0)</f>
        <v>Assembly</v>
      </c>
      <c r="F181" s="2">
        <f>VLOOKUP($C181,'[10]for slip'!$F:$BC,14,0)</f>
        <v>5343083</v>
      </c>
      <c r="G181" s="2">
        <f>VLOOKUP($C181,'[10]for slip'!$F:$BC,15,0)</f>
        <v>0</v>
      </c>
      <c r="H181" s="2">
        <f>VLOOKUP($C181,'[10]for slip'!$F:$BC,16,0)</f>
        <v>0</v>
      </c>
      <c r="I181" s="2">
        <f>VLOOKUP($C181,'[10]for slip'!$F:$BC,17,0)</f>
        <v>0</v>
      </c>
      <c r="J181" s="2">
        <f>VLOOKUP($C181,'[10]for slip'!$F:$BC,27,0)</f>
        <v>0</v>
      </c>
      <c r="K181" s="2">
        <f>VLOOKUP($C181,'[10]for slip'!$F:$BC,31,0)</f>
        <v>0</v>
      </c>
      <c r="L181" s="2">
        <f>VLOOKUP($C181,'[10]for slip'!$F:$BC,35,0)</f>
        <v>0</v>
      </c>
      <c r="M181" s="2">
        <f>VLOOKUP($C181,'[10]for slip'!$F:$BC,36,0)</f>
        <v>0</v>
      </c>
      <c r="N181" s="2">
        <f>VLOOKUP($C181,'[10]for slip'!$F:$BC,37,0)</f>
        <v>0</v>
      </c>
      <c r="O181" s="2">
        <f>VLOOKUP($C181,'[10]for slip'!$F:$BC,38,0)</f>
        <v>0</v>
      </c>
      <c r="P181" s="2">
        <f>VLOOKUP($C181,'[10]for slip'!$F:$BC,39,0)</f>
        <v>38000</v>
      </c>
      <c r="Q181" s="2">
        <f>VLOOKUP($C181,'[10]for slip'!$F:$BC,40,0)</f>
        <v>31700</v>
      </c>
      <c r="R181" s="2">
        <f>VLOOKUP($C181,'[10]for slip'!$F:$BC,41,0)</f>
        <v>0</v>
      </c>
      <c r="S181" s="2">
        <f>VLOOKUP($C181,'[10]for slip'!$F:$BC,42,0)</f>
        <v>10000</v>
      </c>
      <c r="T181" s="2">
        <f>VLOOKUP($C181,'[10]for slip'!$F:$BC,43,0)</f>
        <v>53430.83</v>
      </c>
      <c r="U181" s="2">
        <f>VLOOKUP($C181,'[10]for slip'!$F:$BC,44,0)</f>
        <v>106861.66</v>
      </c>
      <c r="V181" s="2">
        <f>VLOOKUP($C181,'[10]for slip'!$F:$BC,45,0)</f>
        <v>53430.83</v>
      </c>
      <c r="W181" s="2">
        <f>VLOOKUP($C181,'[10]for slip'!$F:$BC,48,0)</f>
        <v>0</v>
      </c>
    </row>
    <row r="182" spans="1:23" x14ac:dyDescent="0.25">
      <c r="A182" s="1">
        <v>181</v>
      </c>
      <c r="B182" s="2" t="s">
        <v>383</v>
      </c>
      <c r="C182" s="2" t="s">
        <v>384</v>
      </c>
      <c r="D182" s="2" t="str">
        <f>VLOOKUP($C182,'[10]for slip'!$F:$BC,3,0)</f>
        <v>Pelaksana</v>
      </c>
      <c r="E182" s="2" t="str">
        <f>VLOOKUP($C182,'[10]for slip'!$F:$BC,4,0)</f>
        <v>Assembly</v>
      </c>
      <c r="F182" s="2">
        <f>VLOOKUP($C182,'[10]for slip'!$F:$BC,14,0)</f>
        <v>5343083</v>
      </c>
      <c r="G182" s="2">
        <f>VLOOKUP($C182,'[10]for slip'!$F:$BC,15,0)</f>
        <v>0</v>
      </c>
      <c r="H182" s="2">
        <f>VLOOKUP($C182,'[10]for slip'!$F:$BC,16,0)</f>
        <v>0</v>
      </c>
      <c r="I182" s="2">
        <f>VLOOKUP($C182,'[10]for slip'!$F:$BC,17,0)</f>
        <v>0</v>
      </c>
      <c r="J182" s="2">
        <f>VLOOKUP($C182,'[10]for slip'!$F:$BC,27,0)</f>
        <v>0</v>
      </c>
      <c r="K182" s="2">
        <f>VLOOKUP($C182,'[10]for slip'!$F:$BC,31,0)</f>
        <v>0</v>
      </c>
      <c r="L182" s="2">
        <f>VLOOKUP($C182,'[10]for slip'!$F:$BC,35,0)</f>
        <v>34354.584590750004</v>
      </c>
      <c r="M182" s="2">
        <f>VLOOKUP($C182,'[10]for slip'!$F:$BC,36,0)</f>
        <v>0</v>
      </c>
      <c r="N182" s="2">
        <f>VLOOKUP($C182,'[10]for slip'!$F:$BC,37,0)</f>
        <v>0</v>
      </c>
      <c r="O182" s="2">
        <f>VLOOKUP($C182,'[10]for slip'!$F:$BC,38,0)</f>
        <v>0</v>
      </c>
      <c r="P182" s="2">
        <f>VLOOKUP($C182,'[10]for slip'!$F:$BC,39,0)</f>
        <v>38000</v>
      </c>
      <c r="Q182" s="2">
        <f>VLOOKUP($C182,'[10]for slip'!$F:$BC,40,0)</f>
        <v>31700</v>
      </c>
      <c r="R182" s="2">
        <f>VLOOKUP($C182,'[10]for slip'!$F:$BC,41,0)</f>
        <v>0</v>
      </c>
      <c r="S182" s="2">
        <f>VLOOKUP($C182,'[10]for slip'!$F:$BC,42,0)</f>
        <v>0</v>
      </c>
      <c r="T182" s="2">
        <f>VLOOKUP($C182,'[10]for slip'!$F:$BC,43,0)</f>
        <v>53430.83</v>
      </c>
      <c r="U182" s="2">
        <f>VLOOKUP($C182,'[10]for slip'!$F:$BC,44,0)</f>
        <v>106861.66</v>
      </c>
      <c r="V182" s="2">
        <f>VLOOKUP($C182,'[10]for slip'!$F:$BC,45,0)</f>
        <v>53430.83</v>
      </c>
      <c r="W182" s="2">
        <f>VLOOKUP($C182,'[10]for slip'!$F:$BC,48,0)</f>
        <v>34354.584590750004</v>
      </c>
    </row>
    <row r="183" spans="1:23" x14ac:dyDescent="0.25">
      <c r="A183" s="1">
        <v>182</v>
      </c>
      <c r="B183" s="2" t="s">
        <v>385</v>
      </c>
      <c r="C183" s="2" t="s">
        <v>386</v>
      </c>
      <c r="D183" s="2" t="str">
        <f>VLOOKUP($C183,'[10]for slip'!$F:$BC,3,0)</f>
        <v>Pelaksana</v>
      </c>
      <c r="E183" s="2" t="str">
        <f>VLOOKUP($C183,'[10]for slip'!$F:$BC,4,0)</f>
        <v>Assembly</v>
      </c>
      <c r="F183" s="2">
        <f>VLOOKUP($C183,'[10]for slip'!$F:$BC,14,0)</f>
        <v>5343083</v>
      </c>
      <c r="G183" s="2">
        <f>VLOOKUP($C183,'[10]for slip'!$F:$BC,15,0)</f>
        <v>0</v>
      </c>
      <c r="H183" s="2">
        <f>VLOOKUP($C183,'[10]for slip'!$F:$BC,16,0)</f>
        <v>0</v>
      </c>
      <c r="I183" s="2">
        <f>VLOOKUP($C183,'[10]for slip'!$F:$BC,17,0)</f>
        <v>0</v>
      </c>
      <c r="J183" s="2">
        <f>VLOOKUP($C183,'[10]for slip'!$F:$BC,27,0)</f>
        <v>0</v>
      </c>
      <c r="K183" s="2">
        <f>VLOOKUP($C183,'[10]for slip'!$F:$BC,31,0)</f>
        <v>0</v>
      </c>
      <c r="L183" s="2">
        <f>VLOOKUP($C183,'[10]for slip'!$F:$BC,35,0)</f>
        <v>0</v>
      </c>
      <c r="M183" s="2">
        <f>VLOOKUP($C183,'[10]for slip'!$F:$BC,36,0)</f>
        <v>0</v>
      </c>
      <c r="N183" s="2">
        <f>VLOOKUP($C183,'[10]for slip'!$F:$BC,37,0)</f>
        <v>0</v>
      </c>
      <c r="O183" s="2">
        <f>VLOOKUP($C183,'[10]for slip'!$F:$BC,38,0)</f>
        <v>0</v>
      </c>
      <c r="P183" s="2">
        <f>VLOOKUP($C183,'[10]for slip'!$F:$BC,39,0)</f>
        <v>38000</v>
      </c>
      <c r="Q183" s="2">
        <f>VLOOKUP($C183,'[10]for slip'!$F:$BC,40,0)</f>
        <v>31700</v>
      </c>
      <c r="R183" s="2">
        <f>VLOOKUP($C183,'[10]for slip'!$F:$BC,41,0)</f>
        <v>0</v>
      </c>
      <c r="S183" s="2">
        <f>VLOOKUP($C183,'[10]for slip'!$F:$BC,42,0)</f>
        <v>0</v>
      </c>
      <c r="T183" s="2">
        <f>VLOOKUP($C183,'[10]for slip'!$F:$BC,43,0)</f>
        <v>53430.83</v>
      </c>
      <c r="U183" s="2">
        <f>VLOOKUP($C183,'[10]for slip'!$F:$BC,44,0)</f>
        <v>106861.66</v>
      </c>
      <c r="V183" s="2">
        <f>VLOOKUP($C183,'[10]for slip'!$F:$BC,45,0)</f>
        <v>53430.83</v>
      </c>
      <c r="W183" s="2">
        <f>VLOOKUP($C183,'[10]for slip'!$F:$BC,48,0)</f>
        <v>0</v>
      </c>
    </row>
    <row r="184" spans="1:23" x14ac:dyDescent="0.25">
      <c r="A184" s="1">
        <v>183</v>
      </c>
      <c r="B184" s="2" t="s">
        <v>387</v>
      </c>
      <c r="C184" s="2" t="s">
        <v>388</v>
      </c>
      <c r="D184" s="2" t="str">
        <f>VLOOKUP($C184,'[10]for slip'!$F:$BC,3,0)</f>
        <v>Pelaksana</v>
      </c>
      <c r="E184" s="2" t="str">
        <f>VLOOKUP($C184,'[10]for slip'!$F:$BC,4,0)</f>
        <v>Assembly</v>
      </c>
      <c r="F184" s="2">
        <f>VLOOKUP($C184,'[10]for slip'!$F:$BC,14,0)</f>
        <v>5343083</v>
      </c>
      <c r="G184" s="2">
        <f>VLOOKUP($C184,'[10]for slip'!$F:$BC,15,0)</f>
        <v>0</v>
      </c>
      <c r="H184" s="2">
        <f>VLOOKUP($C184,'[10]for slip'!$F:$BC,16,0)</f>
        <v>0</v>
      </c>
      <c r="I184" s="2">
        <f>VLOOKUP($C184,'[10]for slip'!$F:$BC,17,0)</f>
        <v>0</v>
      </c>
      <c r="J184" s="2">
        <f>VLOOKUP($C184,'[10]for slip'!$F:$BC,27,0)</f>
        <v>0</v>
      </c>
      <c r="K184" s="2">
        <f>VLOOKUP($C184,'[10]for slip'!$F:$BC,31,0)</f>
        <v>0</v>
      </c>
      <c r="L184" s="2">
        <f>VLOOKUP($C184,'[10]for slip'!$F:$BC,35,0)</f>
        <v>0</v>
      </c>
      <c r="M184" s="2">
        <f>VLOOKUP($C184,'[10]for slip'!$F:$BC,36,0)</f>
        <v>0</v>
      </c>
      <c r="N184" s="2">
        <f>VLOOKUP($C184,'[10]for slip'!$F:$BC,37,0)</f>
        <v>0</v>
      </c>
      <c r="O184" s="2">
        <f>VLOOKUP($C184,'[10]for slip'!$F:$BC,38,0)</f>
        <v>0</v>
      </c>
      <c r="P184" s="2">
        <f>VLOOKUP($C184,'[10]for slip'!$F:$BC,39,0)</f>
        <v>38000</v>
      </c>
      <c r="Q184" s="2">
        <f>VLOOKUP($C184,'[10]for slip'!$F:$BC,40,0)</f>
        <v>31700</v>
      </c>
      <c r="R184" s="2">
        <f>VLOOKUP($C184,'[10]for slip'!$F:$BC,41,0)</f>
        <v>0</v>
      </c>
      <c r="S184" s="2">
        <f>VLOOKUP($C184,'[10]for slip'!$F:$BC,42,0)</f>
        <v>10000</v>
      </c>
      <c r="T184" s="2">
        <f>VLOOKUP($C184,'[10]for slip'!$F:$BC,43,0)</f>
        <v>53430.83</v>
      </c>
      <c r="U184" s="2">
        <f>VLOOKUP($C184,'[10]for slip'!$F:$BC,44,0)</f>
        <v>106861.66</v>
      </c>
      <c r="V184" s="2">
        <f>VLOOKUP($C184,'[10]for slip'!$F:$BC,45,0)</f>
        <v>53430.83</v>
      </c>
      <c r="W184" s="2">
        <f>VLOOKUP($C184,'[10]for slip'!$F:$BC,48,0)</f>
        <v>0</v>
      </c>
    </row>
    <row r="185" spans="1:23" x14ac:dyDescent="0.25">
      <c r="A185" s="1">
        <v>184</v>
      </c>
      <c r="B185" s="2" t="s">
        <v>389</v>
      </c>
      <c r="C185" s="2" t="s">
        <v>390</v>
      </c>
      <c r="D185" s="2" t="str">
        <f>VLOOKUP($C185,'[10]for slip'!$F:$BC,3,0)</f>
        <v>Pelaksana</v>
      </c>
      <c r="E185" s="2" t="str">
        <f>VLOOKUP($C185,'[10]for slip'!$F:$BC,4,0)</f>
        <v>Assembly</v>
      </c>
      <c r="F185" s="2">
        <f>VLOOKUP($C185,'[10]for slip'!$F:$BC,14,0)</f>
        <v>5343083</v>
      </c>
      <c r="G185" s="2">
        <f>VLOOKUP($C185,'[10]for slip'!$F:$BC,15,0)</f>
        <v>0</v>
      </c>
      <c r="H185" s="2">
        <f>VLOOKUP($C185,'[10]for slip'!$F:$BC,16,0)</f>
        <v>0</v>
      </c>
      <c r="I185" s="2">
        <f>VLOOKUP($C185,'[10]for slip'!$F:$BC,17,0)</f>
        <v>0</v>
      </c>
      <c r="J185" s="2">
        <f>VLOOKUP($C185,'[10]for slip'!$F:$BC,27,0)</f>
        <v>0</v>
      </c>
      <c r="K185" s="2">
        <f>VLOOKUP($C185,'[10]for slip'!$F:$BC,31,0)</f>
        <v>0</v>
      </c>
      <c r="L185" s="2">
        <f>VLOOKUP($C185,'[10]for slip'!$F:$BC,35,0)</f>
        <v>34354.584590750004</v>
      </c>
      <c r="M185" s="2">
        <f>VLOOKUP($C185,'[10]for slip'!$F:$BC,36,0)</f>
        <v>0</v>
      </c>
      <c r="N185" s="2">
        <f>VLOOKUP($C185,'[10]for slip'!$F:$BC,37,0)</f>
        <v>0</v>
      </c>
      <c r="O185" s="2">
        <f>VLOOKUP($C185,'[10]for slip'!$F:$BC,38,0)</f>
        <v>0</v>
      </c>
      <c r="P185" s="2">
        <f>VLOOKUP($C185,'[10]for slip'!$F:$BC,39,0)</f>
        <v>38000</v>
      </c>
      <c r="Q185" s="2">
        <f>VLOOKUP($C185,'[10]for slip'!$F:$BC,40,0)</f>
        <v>31700</v>
      </c>
      <c r="R185" s="2">
        <f>VLOOKUP($C185,'[10]for slip'!$F:$BC,41,0)</f>
        <v>0</v>
      </c>
      <c r="S185" s="2">
        <f>VLOOKUP($C185,'[10]for slip'!$F:$BC,42,0)</f>
        <v>10000</v>
      </c>
      <c r="T185" s="2">
        <f>VLOOKUP($C185,'[10]for slip'!$F:$BC,43,0)</f>
        <v>53430.83</v>
      </c>
      <c r="U185" s="2">
        <f>VLOOKUP($C185,'[10]for slip'!$F:$BC,44,0)</f>
        <v>106861.66</v>
      </c>
      <c r="V185" s="2">
        <f>VLOOKUP($C185,'[10]for slip'!$F:$BC,45,0)</f>
        <v>53430.83</v>
      </c>
      <c r="W185" s="2">
        <f>VLOOKUP($C185,'[10]for slip'!$F:$BC,48,0)</f>
        <v>34354.584590750004</v>
      </c>
    </row>
    <row r="186" spans="1:23" x14ac:dyDescent="0.25">
      <c r="A186" s="1">
        <v>185</v>
      </c>
      <c r="B186" s="2" t="s">
        <v>391</v>
      </c>
      <c r="C186" s="2" t="s">
        <v>392</v>
      </c>
      <c r="D186" s="2" t="str">
        <f>VLOOKUP($C186,'[10]for slip'!$F:$BC,3,0)</f>
        <v>Pelaksana</v>
      </c>
      <c r="E186" s="2" t="str">
        <f>VLOOKUP($C186,'[10]for slip'!$F:$BC,4,0)</f>
        <v>Assembly</v>
      </c>
      <c r="F186" s="2">
        <f>VLOOKUP($C186,'[10]for slip'!$F:$BC,14,0)</f>
        <v>5343083</v>
      </c>
      <c r="G186" s="2">
        <f>VLOOKUP($C186,'[10]for slip'!$F:$BC,15,0)</f>
        <v>0</v>
      </c>
      <c r="H186" s="2">
        <f>VLOOKUP($C186,'[10]for slip'!$F:$BC,16,0)</f>
        <v>0</v>
      </c>
      <c r="I186" s="2">
        <f>VLOOKUP($C186,'[10]for slip'!$F:$BC,17,0)</f>
        <v>0</v>
      </c>
      <c r="J186" s="2">
        <f>VLOOKUP($C186,'[10]for slip'!$F:$BC,27,0)</f>
        <v>0</v>
      </c>
      <c r="K186" s="2">
        <f>VLOOKUP($C186,'[10]for slip'!$F:$BC,31,0)</f>
        <v>0</v>
      </c>
      <c r="L186" s="2">
        <f>VLOOKUP($C186,'[10]for slip'!$F:$BC,35,0)</f>
        <v>15604.584590750002</v>
      </c>
      <c r="M186" s="2">
        <f>VLOOKUP($C186,'[10]for slip'!$F:$BC,36,0)</f>
        <v>0</v>
      </c>
      <c r="N186" s="2">
        <f>VLOOKUP($C186,'[10]for slip'!$F:$BC,37,0)</f>
        <v>0</v>
      </c>
      <c r="O186" s="2">
        <f>VLOOKUP($C186,'[10]for slip'!$F:$BC,38,0)</f>
        <v>0</v>
      </c>
      <c r="P186" s="2">
        <f>VLOOKUP($C186,'[10]for slip'!$F:$BC,39,0)</f>
        <v>38000</v>
      </c>
      <c r="Q186" s="2">
        <f>VLOOKUP($C186,'[10]for slip'!$F:$BC,40,0)</f>
        <v>31700</v>
      </c>
      <c r="R186" s="2">
        <f>VLOOKUP($C186,'[10]for slip'!$F:$BC,41,0)</f>
        <v>0</v>
      </c>
      <c r="S186" s="2">
        <f>VLOOKUP($C186,'[10]for slip'!$F:$BC,42,0)</f>
        <v>0</v>
      </c>
      <c r="T186" s="2">
        <f>VLOOKUP($C186,'[10]for slip'!$F:$BC,43,0)</f>
        <v>53430.83</v>
      </c>
      <c r="U186" s="2">
        <f>VLOOKUP($C186,'[10]for slip'!$F:$BC,44,0)</f>
        <v>106861.66</v>
      </c>
      <c r="V186" s="2">
        <f>VLOOKUP($C186,'[10]for slip'!$F:$BC,45,0)</f>
        <v>53430.83</v>
      </c>
      <c r="W186" s="2">
        <f>VLOOKUP($C186,'[10]for slip'!$F:$BC,48,0)</f>
        <v>15604.584590750002</v>
      </c>
    </row>
    <row r="187" spans="1:23" x14ac:dyDescent="0.25">
      <c r="A187" s="1">
        <v>186</v>
      </c>
      <c r="B187" s="2" t="s">
        <v>393</v>
      </c>
      <c r="C187" s="2" t="s">
        <v>394</v>
      </c>
      <c r="D187" s="2" t="str">
        <f>VLOOKUP($C187,'[10]for slip'!$F:$BC,3,0)</f>
        <v>Pelaksana</v>
      </c>
      <c r="E187" s="2" t="str">
        <f>VLOOKUP($C187,'[10]for slip'!$F:$BC,4,0)</f>
        <v>Assembly</v>
      </c>
      <c r="F187" s="2">
        <f>VLOOKUP($C187,'[10]for slip'!$F:$BC,14,0)</f>
        <v>5343083</v>
      </c>
      <c r="G187" s="2">
        <f>VLOOKUP($C187,'[10]for slip'!$F:$BC,15,0)</f>
        <v>0</v>
      </c>
      <c r="H187" s="2">
        <f>VLOOKUP($C187,'[10]for slip'!$F:$BC,16,0)</f>
        <v>0</v>
      </c>
      <c r="I187" s="2">
        <f>VLOOKUP($C187,'[10]for slip'!$F:$BC,17,0)</f>
        <v>0</v>
      </c>
      <c r="J187" s="2">
        <f>VLOOKUP($C187,'[10]for slip'!$F:$BC,27,0)</f>
        <v>0</v>
      </c>
      <c r="K187" s="2">
        <f>VLOOKUP($C187,'[10]for slip'!$F:$BC,31,0)</f>
        <v>0</v>
      </c>
      <c r="L187" s="2">
        <f>VLOOKUP($C187,'[10]for slip'!$F:$BC,35,0)</f>
        <v>0</v>
      </c>
      <c r="M187" s="2">
        <f>VLOOKUP($C187,'[10]for slip'!$F:$BC,36,0)</f>
        <v>0</v>
      </c>
      <c r="N187" s="2">
        <f>VLOOKUP($C187,'[10]for slip'!$F:$BC,37,0)</f>
        <v>0</v>
      </c>
      <c r="O187" s="2">
        <f>VLOOKUP($C187,'[10]for slip'!$F:$BC,38,0)</f>
        <v>0</v>
      </c>
      <c r="P187" s="2">
        <f>VLOOKUP($C187,'[10]for slip'!$F:$BC,39,0)</f>
        <v>38000</v>
      </c>
      <c r="Q187" s="2">
        <f>VLOOKUP($C187,'[10]for slip'!$F:$BC,40,0)</f>
        <v>31700</v>
      </c>
      <c r="R187" s="2">
        <f>VLOOKUP($C187,'[10]for slip'!$F:$BC,41,0)</f>
        <v>0</v>
      </c>
      <c r="S187" s="2">
        <f>VLOOKUP($C187,'[10]for slip'!$F:$BC,42,0)</f>
        <v>0</v>
      </c>
      <c r="T187" s="2">
        <f>VLOOKUP($C187,'[10]for slip'!$F:$BC,43,0)</f>
        <v>53430.83</v>
      </c>
      <c r="U187" s="2">
        <f>VLOOKUP($C187,'[10]for slip'!$F:$BC,44,0)</f>
        <v>106861.66</v>
      </c>
      <c r="V187" s="2">
        <f>VLOOKUP($C187,'[10]for slip'!$F:$BC,45,0)</f>
        <v>53430.83</v>
      </c>
      <c r="W187" s="2">
        <f>VLOOKUP($C187,'[10]for slip'!$F:$BC,48,0)</f>
        <v>0</v>
      </c>
    </row>
    <row r="188" spans="1:23" x14ac:dyDescent="0.25">
      <c r="A188" s="1">
        <v>187</v>
      </c>
      <c r="B188" s="2" t="s">
        <v>395</v>
      </c>
      <c r="C188" s="2" t="s">
        <v>396</v>
      </c>
      <c r="D188" s="2" t="str">
        <f>VLOOKUP($C188,'[10]for slip'!$F:$BC,3,0)</f>
        <v>Pelaksana</v>
      </c>
      <c r="E188" s="2" t="str">
        <f>VLOOKUP($C188,'[10]for slip'!$F:$BC,4,0)</f>
        <v>Assembly</v>
      </c>
      <c r="F188" s="2">
        <f>VLOOKUP($C188,'[10]for slip'!$F:$BC,14,0)</f>
        <v>5343083</v>
      </c>
      <c r="G188" s="2">
        <f>VLOOKUP($C188,'[10]for slip'!$F:$BC,15,0)</f>
        <v>0</v>
      </c>
      <c r="H188" s="2">
        <f>VLOOKUP($C188,'[10]for slip'!$F:$BC,16,0)</f>
        <v>0</v>
      </c>
      <c r="I188" s="2">
        <f>VLOOKUP($C188,'[10]for slip'!$F:$BC,17,0)</f>
        <v>0</v>
      </c>
      <c r="J188" s="2">
        <f>VLOOKUP($C188,'[10]for slip'!$F:$BC,27,0)</f>
        <v>0</v>
      </c>
      <c r="K188" s="2">
        <f>VLOOKUP($C188,'[10]for slip'!$F:$BC,31,0)</f>
        <v>0</v>
      </c>
      <c r="L188" s="2">
        <f>VLOOKUP($C188,'[10]for slip'!$F:$BC,35,0)</f>
        <v>34354.584590750004</v>
      </c>
      <c r="M188" s="2">
        <f>VLOOKUP($C188,'[10]for slip'!$F:$BC,36,0)</f>
        <v>0</v>
      </c>
      <c r="N188" s="2">
        <f>VLOOKUP($C188,'[10]for slip'!$F:$BC,37,0)</f>
        <v>0</v>
      </c>
      <c r="O188" s="2">
        <f>VLOOKUP($C188,'[10]for slip'!$F:$BC,38,0)</f>
        <v>0</v>
      </c>
      <c r="P188" s="2">
        <f>VLOOKUP($C188,'[10]for slip'!$F:$BC,39,0)</f>
        <v>38000</v>
      </c>
      <c r="Q188" s="2">
        <f>VLOOKUP($C188,'[10]for slip'!$F:$BC,40,0)</f>
        <v>31700</v>
      </c>
      <c r="R188" s="2">
        <f>VLOOKUP($C188,'[10]for slip'!$F:$BC,41,0)</f>
        <v>0</v>
      </c>
      <c r="S188" s="2">
        <f>VLOOKUP($C188,'[10]for slip'!$F:$BC,42,0)</f>
        <v>10000</v>
      </c>
      <c r="T188" s="2">
        <f>VLOOKUP($C188,'[10]for slip'!$F:$BC,43,0)</f>
        <v>53430.83</v>
      </c>
      <c r="U188" s="2">
        <f>VLOOKUP($C188,'[10]for slip'!$F:$BC,44,0)</f>
        <v>106861.66</v>
      </c>
      <c r="V188" s="2">
        <f>VLOOKUP($C188,'[10]for slip'!$F:$BC,45,0)</f>
        <v>53430.83</v>
      </c>
      <c r="W188" s="2">
        <f>VLOOKUP($C188,'[10]for slip'!$F:$BC,48,0)</f>
        <v>34354.584590750004</v>
      </c>
    </row>
    <row r="189" spans="1:23" x14ac:dyDescent="0.25">
      <c r="A189" s="1">
        <v>188</v>
      </c>
      <c r="B189" s="2" t="s">
        <v>397</v>
      </c>
      <c r="C189" s="2" t="s">
        <v>398</v>
      </c>
      <c r="D189" s="2" t="str">
        <f>VLOOKUP($C189,'[10]for slip'!$F:$BC,3,0)</f>
        <v>Pelaksana</v>
      </c>
      <c r="E189" s="2" t="str">
        <f>VLOOKUP($C189,'[10]for slip'!$F:$BC,4,0)</f>
        <v>Assembly</v>
      </c>
      <c r="F189" s="2">
        <f>VLOOKUP($C189,'[10]for slip'!$F:$BC,14,0)</f>
        <v>5343083</v>
      </c>
      <c r="G189" s="2">
        <f>VLOOKUP($C189,'[10]for slip'!$F:$BC,15,0)</f>
        <v>0</v>
      </c>
      <c r="H189" s="2">
        <f>VLOOKUP($C189,'[10]for slip'!$F:$BC,16,0)</f>
        <v>0</v>
      </c>
      <c r="I189" s="2">
        <f>VLOOKUP($C189,'[10]for slip'!$F:$BC,17,0)</f>
        <v>0</v>
      </c>
      <c r="J189" s="2">
        <f>VLOOKUP($C189,'[10]for slip'!$F:$BC,27,0)</f>
        <v>0</v>
      </c>
      <c r="K189" s="2">
        <f>VLOOKUP($C189,'[10]for slip'!$F:$BC,31,0)</f>
        <v>0</v>
      </c>
      <c r="L189" s="2">
        <f>VLOOKUP($C189,'[10]for slip'!$F:$BC,35,0)</f>
        <v>0</v>
      </c>
      <c r="M189" s="2">
        <f>VLOOKUP($C189,'[10]for slip'!$F:$BC,36,0)</f>
        <v>0</v>
      </c>
      <c r="N189" s="2">
        <f>VLOOKUP($C189,'[10]for slip'!$F:$BC,37,0)</f>
        <v>0</v>
      </c>
      <c r="O189" s="2">
        <f>VLOOKUP($C189,'[10]for slip'!$F:$BC,38,0)</f>
        <v>0</v>
      </c>
      <c r="P189" s="2">
        <f>VLOOKUP($C189,'[10]for slip'!$F:$BC,39,0)</f>
        <v>38000</v>
      </c>
      <c r="Q189" s="2">
        <f>VLOOKUP($C189,'[10]for slip'!$F:$BC,40,0)</f>
        <v>31700</v>
      </c>
      <c r="R189" s="2">
        <f>VLOOKUP($C189,'[10]for slip'!$F:$BC,41,0)</f>
        <v>0</v>
      </c>
      <c r="S189" s="2">
        <f>VLOOKUP($C189,'[10]for slip'!$F:$BC,42,0)</f>
        <v>0</v>
      </c>
      <c r="T189" s="2">
        <f>VLOOKUP($C189,'[10]for slip'!$F:$BC,43,0)</f>
        <v>53430.83</v>
      </c>
      <c r="U189" s="2">
        <f>VLOOKUP($C189,'[10]for slip'!$F:$BC,44,0)</f>
        <v>106861.66</v>
      </c>
      <c r="V189" s="2">
        <f>VLOOKUP($C189,'[10]for slip'!$F:$BC,45,0)</f>
        <v>53430.83</v>
      </c>
      <c r="W189" s="2">
        <f>VLOOKUP($C189,'[10]for slip'!$F:$BC,48,0)</f>
        <v>0</v>
      </c>
    </row>
    <row r="190" spans="1:23" x14ac:dyDescent="0.25">
      <c r="A190" s="1">
        <v>189</v>
      </c>
      <c r="B190" s="2" t="s">
        <v>399</v>
      </c>
      <c r="C190" s="2" t="s">
        <v>400</v>
      </c>
      <c r="D190" s="2" t="str">
        <f>VLOOKUP($C190,'[10]for slip'!$F:$BC,3,0)</f>
        <v>Pelaksana</v>
      </c>
      <c r="E190" s="2" t="str">
        <f>VLOOKUP($C190,'[10]for slip'!$F:$BC,4,0)</f>
        <v>Assembly</v>
      </c>
      <c r="F190" s="2">
        <f>VLOOKUP($C190,'[10]for slip'!$F:$BC,14,0)</f>
        <v>5343083</v>
      </c>
      <c r="G190" s="2">
        <f>VLOOKUP($C190,'[10]for slip'!$F:$BC,15,0)</f>
        <v>0</v>
      </c>
      <c r="H190" s="2">
        <f>VLOOKUP($C190,'[10]for slip'!$F:$BC,16,0)</f>
        <v>0</v>
      </c>
      <c r="I190" s="2">
        <f>VLOOKUP($C190,'[10]for slip'!$F:$BC,17,0)</f>
        <v>0</v>
      </c>
      <c r="J190" s="2">
        <f>VLOOKUP($C190,'[10]for slip'!$F:$BC,27,0)</f>
        <v>0</v>
      </c>
      <c r="K190" s="2">
        <f>VLOOKUP($C190,'[10]for slip'!$F:$BC,31,0)</f>
        <v>0</v>
      </c>
      <c r="L190" s="2">
        <f>VLOOKUP($C190,'[10]for slip'!$F:$BC,35,0)</f>
        <v>15604.584590750002</v>
      </c>
      <c r="M190" s="2">
        <f>VLOOKUP($C190,'[10]for slip'!$F:$BC,36,0)</f>
        <v>0</v>
      </c>
      <c r="N190" s="2">
        <f>VLOOKUP($C190,'[10]for slip'!$F:$BC,37,0)</f>
        <v>0</v>
      </c>
      <c r="O190" s="2">
        <f>VLOOKUP($C190,'[10]for slip'!$F:$BC,38,0)</f>
        <v>0</v>
      </c>
      <c r="P190" s="2">
        <f>VLOOKUP($C190,'[10]for slip'!$F:$BC,39,0)</f>
        <v>38000</v>
      </c>
      <c r="Q190" s="2">
        <f>VLOOKUP($C190,'[10]for slip'!$F:$BC,40,0)</f>
        <v>31700</v>
      </c>
      <c r="R190" s="2">
        <f>VLOOKUP($C190,'[10]for slip'!$F:$BC,41,0)</f>
        <v>0</v>
      </c>
      <c r="S190" s="2">
        <f>VLOOKUP($C190,'[10]for slip'!$F:$BC,42,0)</f>
        <v>10000</v>
      </c>
      <c r="T190" s="2">
        <f>VLOOKUP($C190,'[10]for slip'!$F:$BC,43,0)</f>
        <v>53430.83</v>
      </c>
      <c r="U190" s="2">
        <f>VLOOKUP($C190,'[10]for slip'!$F:$BC,44,0)</f>
        <v>106861.66</v>
      </c>
      <c r="V190" s="2">
        <f>VLOOKUP($C190,'[10]for slip'!$F:$BC,45,0)</f>
        <v>53430.83</v>
      </c>
      <c r="W190" s="2">
        <f>VLOOKUP($C190,'[10]for slip'!$F:$BC,48,0)</f>
        <v>15604.584590750002</v>
      </c>
    </row>
    <row r="191" spans="1:23" x14ac:dyDescent="0.25">
      <c r="A191" s="1">
        <v>190</v>
      </c>
      <c r="B191" s="2" t="s">
        <v>401</v>
      </c>
      <c r="C191" s="2" t="s">
        <v>402</v>
      </c>
      <c r="D191" s="2" t="str">
        <f>VLOOKUP($C191,'[10]for slip'!$F:$BC,3,0)</f>
        <v>Pelaksana</v>
      </c>
      <c r="E191" s="2" t="str">
        <f>VLOOKUP($C191,'[10]for slip'!$F:$BC,4,0)</f>
        <v>Assembly</v>
      </c>
      <c r="F191" s="2">
        <f>VLOOKUP($C191,'[10]for slip'!$F:$BC,14,0)</f>
        <v>5343083</v>
      </c>
      <c r="G191" s="2">
        <f>VLOOKUP($C191,'[10]for slip'!$F:$BC,15,0)</f>
        <v>0</v>
      </c>
      <c r="H191" s="2">
        <f>VLOOKUP($C191,'[10]for slip'!$F:$BC,16,0)</f>
        <v>0</v>
      </c>
      <c r="I191" s="2">
        <f>VLOOKUP($C191,'[10]for slip'!$F:$BC,17,0)</f>
        <v>0</v>
      </c>
      <c r="J191" s="2">
        <f>VLOOKUP($C191,'[10]for slip'!$F:$BC,27,0)</f>
        <v>0</v>
      </c>
      <c r="K191" s="2">
        <f>VLOOKUP($C191,'[10]for slip'!$F:$BC,31,0)</f>
        <v>0</v>
      </c>
      <c r="L191" s="2">
        <f>VLOOKUP($C191,'[10]for slip'!$F:$BC,35,0)</f>
        <v>0</v>
      </c>
      <c r="M191" s="2">
        <f>VLOOKUP($C191,'[10]for slip'!$F:$BC,36,0)</f>
        <v>0</v>
      </c>
      <c r="N191" s="2">
        <f>VLOOKUP($C191,'[10]for slip'!$F:$BC,37,0)</f>
        <v>0</v>
      </c>
      <c r="O191" s="2">
        <f>VLOOKUP($C191,'[10]for slip'!$F:$BC,38,0)</f>
        <v>0</v>
      </c>
      <c r="P191" s="2">
        <f>VLOOKUP($C191,'[10]for slip'!$F:$BC,39,0)</f>
        <v>38000</v>
      </c>
      <c r="Q191" s="2">
        <f>VLOOKUP($C191,'[10]for slip'!$F:$BC,40,0)</f>
        <v>31700</v>
      </c>
      <c r="R191" s="2">
        <f>VLOOKUP($C191,'[10]for slip'!$F:$BC,41,0)</f>
        <v>0</v>
      </c>
      <c r="S191" s="2">
        <f>VLOOKUP($C191,'[10]for slip'!$F:$BC,42,0)</f>
        <v>10000</v>
      </c>
      <c r="T191" s="2">
        <f>VLOOKUP($C191,'[10]for slip'!$F:$BC,43,0)</f>
        <v>53430.83</v>
      </c>
      <c r="U191" s="2">
        <f>VLOOKUP($C191,'[10]for slip'!$F:$BC,44,0)</f>
        <v>106861.66</v>
      </c>
      <c r="V191" s="2">
        <f>VLOOKUP($C191,'[10]for slip'!$F:$BC,45,0)</f>
        <v>53430.83</v>
      </c>
      <c r="W191" s="2">
        <f>VLOOKUP($C191,'[10]for slip'!$F:$BC,48,0)</f>
        <v>0</v>
      </c>
    </row>
    <row r="192" spans="1:23" x14ac:dyDescent="0.25">
      <c r="A192" s="1">
        <v>191</v>
      </c>
      <c r="B192" s="2" t="s">
        <v>403</v>
      </c>
      <c r="C192" s="2" t="s">
        <v>404</v>
      </c>
      <c r="D192" s="2" t="str">
        <f>VLOOKUP($C192,'[10]for slip'!$F:$BC,3,0)</f>
        <v>Pelaksana</v>
      </c>
      <c r="E192" s="2" t="str">
        <f>VLOOKUP($C192,'[10]for slip'!$F:$BC,4,0)</f>
        <v>Assembly</v>
      </c>
      <c r="F192" s="2">
        <f>VLOOKUP($C192,'[10]for slip'!$F:$BC,14,0)</f>
        <v>5343083</v>
      </c>
      <c r="G192" s="2">
        <f>VLOOKUP($C192,'[10]for slip'!$F:$BC,15,0)</f>
        <v>0</v>
      </c>
      <c r="H192" s="2">
        <f>VLOOKUP($C192,'[10]for slip'!$F:$BC,16,0)</f>
        <v>0</v>
      </c>
      <c r="I192" s="2">
        <f>VLOOKUP($C192,'[10]for slip'!$F:$BC,17,0)</f>
        <v>0</v>
      </c>
      <c r="J192" s="2">
        <f>VLOOKUP($C192,'[10]for slip'!$F:$BC,27,0)</f>
        <v>0</v>
      </c>
      <c r="K192" s="2">
        <f>VLOOKUP($C192,'[10]for slip'!$F:$BC,31,0)</f>
        <v>0</v>
      </c>
      <c r="L192" s="2">
        <f>VLOOKUP($C192,'[10]for slip'!$F:$BC,35,0)</f>
        <v>0</v>
      </c>
      <c r="M192" s="2">
        <f>VLOOKUP($C192,'[10]for slip'!$F:$BC,36,0)</f>
        <v>0</v>
      </c>
      <c r="N192" s="2">
        <f>VLOOKUP($C192,'[10]for slip'!$F:$BC,37,0)</f>
        <v>0</v>
      </c>
      <c r="O192" s="2">
        <f>VLOOKUP($C192,'[10]for slip'!$F:$BC,38,0)</f>
        <v>0</v>
      </c>
      <c r="P192" s="2">
        <f>VLOOKUP($C192,'[10]for slip'!$F:$BC,39,0)</f>
        <v>38000</v>
      </c>
      <c r="Q192" s="2">
        <f>VLOOKUP($C192,'[10]for slip'!$F:$BC,40,0)</f>
        <v>31700</v>
      </c>
      <c r="R192" s="2">
        <f>VLOOKUP($C192,'[10]for slip'!$F:$BC,41,0)</f>
        <v>0</v>
      </c>
      <c r="S192" s="2">
        <f>VLOOKUP($C192,'[10]for slip'!$F:$BC,42,0)</f>
        <v>10000</v>
      </c>
      <c r="T192" s="2">
        <f>VLOOKUP($C192,'[10]for slip'!$F:$BC,43,0)</f>
        <v>53430.83</v>
      </c>
      <c r="U192" s="2">
        <f>VLOOKUP($C192,'[10]for slip'!$F:$BC,44,0)</f>
        <v>106861.66</v>
      </c>
      <c r="V192" s="2">
        <f>VLOOKUP($C192,'[10]for slip'!$F:$BC,45,0)</f>
        <v>53430.83</v>
      </c>
      <c r="W192" s="2">
        <f>VLOOKUP($C192,'[10]for slip'!$F:$BC,48,0)</f>
        <v>0</v>
      </c>
    </row>
    <row r="193" spans="1:23" x14ac:dyDescent="0.25">
      <c r="A193" s="1">
        <v>192</v>
      </c>
      <c r="B193" s="2" t="s">
        <v>405</v>
      </c>
      <c r="C193" s="2" t="s">
        <v>406</v>
      </c>
      <c r="D193" s="2" t="str">
        <f>VLOOKUP($C193,'[10]for slip'!$F:$BC,3,0)</f>
        <v>Pelaksana</v>
      </c>
      <c r="E193" s="2" t="str">
        <f>VLOOKUP($C193,'[10]for slip'!$F:$BC,4,0)</f>
        <v>Assembly</v>
      </c>
      <c r="F193" s="2">
        <f>VLOOKUP($C193,'[10]for slip'!$F:$BC,14,0)</f>
        <v>5343083</v>
      </c>
      <c r="G193" s="2">
        <f>VLOOKUP($C193,'[10]for slip'!$F:$BC,15,0)</f>
        <v>0</v>
      </c>
      <c r="H193" s="2">
        <f>VLOOKUP($C193,'[10]for slip'!$F:$BC,16,0)</f>
        <v>0</v>
      </c>
      <c r="I193" s="2">
        <f>VLOOKUP($C193,'[10]for slip'!$F:$BC,17,0)</f>
        <v>0</v>
      </c>
      <c r="J193" s="2">
        <f>VLOOKUP($C193,'[10]for slip'!$F:$BC,27,0)</f>
        <v>0</v>
      </c>
      <c r="K193" s="2">
        <f>VLOOKUP($C193,'[10]for slip'!$F:$BC,31,0)</f>
        <v>0</v>
      </c>
      <c r="L193" s="2">
        <f>VLOOKUP($C193,'[10]for slip'!$F:$BC,35,0)</f>
        <v>0</v>
      </c>
      <c r="M193" s="2">
        <f>VLOOKUP($C193,'[10]for slip'!$F:$BC,36,0)</f>
        <v>0</v>
      </c>
      <c r="N193" s="2">
        <f>VLOOKUP($C193,'[10]for slip'!$F:$BC,37,0)</f>
        <v>0</v>
      </c>
      <c r="O193" s="2">
        <f>VLOOKUP($C193,'[10]for slip'!$F:$BC,38,0)</f>
        <v>0</v>
      </c>
      <c r="P193" s="2">
        <f>VLOOKUP($C193,'[10]for slip'!$F:$BC,39,0)</f>
        <v>38000</v>
      </c>
      <c r="Q193" s="2">
        <f>VLOOKUP($C193,'[10]for slip'!$F:$BC,40,0)</f>
        <v>31700</v>
      </c>
      <c r="R193" s="2">
        <f>VLOOKUP($C193,'[10]for slip'!$F:$BC,41,0)</f>
        <v>0</v>
      </c>
      <c r="S193" s="2">
        <f>VLOOKUP($C193,'[10]for slip'!$F:$BC,42,0)</f>
        <v>10000</v>
      </c>
      <c r="T193" s="2">
        <f>VLOOKUP($C193,'[10]for slip'!$F:$BC,43,0)</f>
        <v>53430.83</v>
      </c>
      <c r="U193" s="2">
        <f>VLOOKUP($C193,'[10]for slip'!$F:$BC,44,0)</f>
        <v>106861.66</v>
      </c>
      <c r="V193" s="2">
        <f>VLOOKUP($C193,'[10]for slip'!$F:$BC,45,0)</f>
        <v>53430.83</v>
      </c>
      <c r="W193" s="2">
        <f>VLOOKUP($C193,'[10]for slip'!$F:$BC,48,0)</f>
        <v>0</v>
      </c>
    </row>
    <row r="194" spans="1:23" x14ac:dyDescent="0.25">
      <c r="A194" s="1">
        <v>193</v>
      </c>
      <c r="B194" s="2" t="s">
        <v>407</v>
      </c>
      <c r="C194" s="2" t="s">
        <v>408</v>
      </c>
      <c r="D194" s="2" t="str">
        <f>VLOOKUP($C194,'[10]for slip'!$F:$BC,3,0)</f>
        <v>Pelaksana</v>
      </c>
      <c r="E194" s="2" t="str">
        <f>VLOOKUP($C194,'[10]for slip'!$F:$BC,4,0)</f>
        <v>Assembly</v>
      </c>
      <c r="F194" s="2">
        <f>VLOOKUP($C194,'[10]for slip'!$F:$BC,14,0)</f>
        <v>5343083</v>
      </c>
      <c r="G194" s="2">
        <f>VLOOKUP($C194,'[10]for slip'!$F:$BC,15,0)</f>
        <v>0</v>
      </c>
      <c r="H194" s="2">
        <f>VLOOKUP($C194,'[10]for slip'!$F:$BC,16,0)</f>
        <v>0</v>
      </c>
      <c r="I194" s="2">
        <f>VLOOKUP($C194,'[10]for slip'!$F:$BC,17,0)</f>
        <v>0</v>
      </c>
      <c r="J194" s="2">
        <f>VLOOKUP($C194,'[10]for slip'!$F:$BC,27,0)</f>
        <v>0</v>
      </c>
      <c r="K194" s="2">
        <f>VLOOKUP($C194,'[10]for slip'!$F:$BC,31,0)</f>
        <v>0</v>
      </c>
      <c r="L194" s="2">
        <f>VLOOKUP($C194,'[10]for slip'!$F:$BC,35,0)</f>
        <v>0</v>
      </c>
      <c r="M194" s="2">
        <f>VLOOKUP($C194,'[10]for slip'!$F:$BC,36,0)</f>
        <v>0</v>
      </c>
      <c r="N194" s="2">
        <f>VLOOKUP($C194,'[10]for slip'!$F:$BC,37,0)</f>
        <v>0</v>
      </c>
      <c r="O194" s="2">
        <f>VLOOKUP($C194,'[10]for slip'!$F:$BC,38,0)</f>
        <v>0</v>
      </c>
      <c r="P194" s="2">
        <f>VLOOKUP($C194,'[10]for slip'!$F:$BC,39,0)</f>
        <v>38000</v>
      </c>
      <c r="Q194" s="2">
        <f>VLOOKUP($C194,'[10]for slip'!$F:$BC,40,0)</f>
        <v>31700</v>
      </c>
      <c r="R194" s="2">
        <f>VLOOKUP($C194,'[10]for slip'!$F:$BC,41,0)</f>
        <v>0</v>
      </c>
      <c r="S194" s="2">
        <f>VLOOKUP($C194,'[10]for slip'!$F:$BC,42,0)</f>
        <v>10000</v>
      </c>
      <c r="T194" s="2">
        <f>VLOOKUP($C194,'[10]for slip'!$F:$BC,43,0)</f>
        <v>53430.83</v>
      </c>
      <c r="U194" s="2">
        <f>VLOOKUP($C194,'[10]for slip'!$F:$BC,44,0)</f>
        <v>106861.66</v>
      </c>
      <c r="V194" s="2">
        <f>VLOOKUP($C194,'[10]for slip'!$F:$BC,45,0)</f>
        <v>53430.83</v>
      </c>
      <c r="W194" s="2">
        <f>VLOOKUP($C194,'[10]for slip'!$F:$BC,48,0)</f>
        <v>0</v>
      </c>
    </row>
    <row r="195" spans="1:23" x14ac:dyDescent="0.25">
      <c r="A195" s="1">
        <v>194</v>
      </c>
      <c r="B195" s="2" t="s">
        <v>409</v>
      </c>
      <c r="C195" s="2" t="s">
        <v>410</v>
      </c>
      <c r="D195" s="2" t="str">
        <f>VLOOKUP($C195,'[10]for slip'!$F:$BC,3,0)</f>
        <v>Pelaksana</v>
      </c>
      <c r="E195" s="2" t="str">
        <f>VLOOKUP($C195,'[10]for slip'!$F:$BC,4,0)</f>
        <v>Assembly</v>
      </c>
      <c r="F195" s="2">
        <f>VLOOKUP($C195,'[10]for slip'!$F:$BC,14,0)</f>
        <v>5343083</v>
      </c>
      <c r="G195" s="2">
        <f>VLOOKUP($C195,'[10]for slip'!$F:$BC,15,0)</f>
        <v>0</v>
      </c>
      <c r="H195" s="2">
        <f>VLOOKUP($C195,'[10]for slip'!$F:$BC,16,0)</f>
        <v>0</v>
      </c>
      <c r="I195" s="2">
        <f>VLOOKUP($C195,'[10]for slip'!$F:$BC,17,0)</f>
        <v>0</v>
      </c>
      <c r="J195" s="2">
        <f>VLOOKUP($C195,'[10]for slip'!$F:$BC,27,0)</f>
        <v>0</v>
      </c>
      <c r="K195" s="2">
        <f>VLOOKUP($C195,'[10]for slip'!$F:$BC,31,0)</f>
        <v>0</v>
      </c>
      <c r="L195" s="2">
        <f>VLOOKUP($C195,'[10]for slip'!$F:$BC,35,0)</f>
        <v>15604.584590750002</v>
      </c>
      <c r="M195" s="2">
        <f>VLOOKUP($C195,'[10]for slip'!$F:$BC,36,0)</f>
        <v>0</v>
      </c>
      <c r="N195" s="2">
        <f>VLOOKUP($C195,'[10]for slip'!$F:$BC,37,0)</f>
        <v>0</v>
      </c>
      <c r="O195" s="2">
        <f>VLOOKUP($C195,'[10]for slip'!$F:$BC,38,0)</f>
        <v>0</v>
      </c>
      <c r="P195" s="2">
        <f>VLOOKUP($C195,'[10]for slip'!$F:$BC,39,0)</f>
        <v>0</v>
      </c>
      <c r="Q195" s="2">
        <f>VLOOKUP($C195,'[10]for slip'!$F:$BC,40,0)</f>
        <v>31700</v>
      </c>
      <c r="R195" s="2">
        <f>VLOOKUP($C195,'[10]for slip'!$F:$BC,41,0)</f>
        <v>0</v>
      </c>
      <c r="S195" s="2">
        <f>VLOOKUP($C195,'[10]for slip'!$F:$BC,42,0)</f>
        <v>0</v>
      </c>
      <c r="T195" s="2">
        <f>VLOOKUP($C195,'[10]for slip'!$F:$BC,43,0)</f>
        <v>53430.83</v>
      </c>
      <c r="U195" s="2">
        <f>VLOOKUP($C195,'[10]for slip'!$F:$BC,44,0)</f>
        <v>106861.66</v>
      </c>
      <c r="V195" s="2">
        <f>VLOOKUP($C195,'[10]for slip'!$F:$BC,45,0)</f>
        <v>53430.83</v>
      </c>
      <c r="W195" s="2">
        <f>VLOOKUP($C195,'[10]for slip'!$F:$BC,48,0)</f>
        <v>15604.584590750002</v>
      </c>
    </row>
    <row r="196" spans="1:23" x14ac:dyDescent="0.25">
      <c r="A196" s="1">
        <v>195</v>
      </c>
      <c r="B196" s="2" t="s">
        <v>411</v>
      </c>
      <c r="C196" s="2" t="s">
        <v>412</v>
      </c>
      <c r="D196" s="2" t="str">
        <f>VLOOKUP($C196,'[10]for slip'!$F:$BC,3,0)</f>
        <v>Pelaksana</v>
      </c>
      <c r="E196" s="2" t="str">
        <f>VLOOKUP($C196,'[10]for slip'!$F:$BC,4,0)</f>
        <v>Assembly</v>
      </c>
      <c r="F196" s="2">
        <f>VLOOKUP($C196,'[10]for slip'!$F:$BC,14,0)</f>
        <v>5343083</v>
      </c>
      <c r="G196" s="2">
        <f>VLOOKUP($C196,'[10]for slip'!$F:$BC,15,0)</f>
        <v>0</v>
      </c>
      <c r="H196" s="2">
        <f>VLOOKUP($C196,'[10]for slip'!$F:$BC,16,0)</f>
        <v>0</v>
      </c>
      <c r="I196" s="2">
        <f>VLOOKUP($C196,'[10]for slip'!$F:$BC,17,0)</f>
        <v>0</v>
      </c>
      <c r="J196" s="2">
        <f>VLOOKUP($C196,'[10]for slip'!$F:$BC,27,0)</f>
        <v>0</v>
      </c>
      <c r="K196" s="2">
        <f>VLOOKUP($C196,'[10]for slip'!$F:$BC,31,0)</f>
        <v>0</v>
      </c>
      <c r="L196" s="2">
        <f>VLOOKUP($C196,'[10]for slip'!$F:$BC,35,0)</f>
        <v>15604.584590750002</v>
      </c>
      <c r="M196" s="2">
        <f>VLOOKUP($C196,'[10]for slip'!$F:$BC,36,0)</f>
        <v>0</v>
      </c>
      <c r="N196" s="2">
        <f>VLOOKUP($C196,'[10]for slip'!$F:$BC,37,0)</f>
        <v>0</v>
      </c>
      <c r="O196" s="2">
        <f>VLOOKUP($C196,'[10]for slip'!$F:$BC,38,0)</f>
        <v>0</v>
      </c>
      <c r="P196" s="2">
        <f>VLOOKUP($C196,'[10]for slip'!$F:$BC,39,0)</f>
        <v>0</v>
      </c>
      <c r="Q196" s="2">
        <f>VLOOKUP($C196,'[10]for slip'!$F:$BC,40,0)</f>
        <v>31700</v>
      </c>
      <c r="R196" s="2">
        <f>VLOOKUP($C196,'[10]for slip'!$F:$BC,41,0)</f>
        <v>0</v>
      </c>
      <c r="S196" s="2">
        <f>VLOOKUP($C196,'[10]for slip'!$F:$BC,42,0)</f>
        <v>0</v>
      </c>
      <c r="T196" s="2">
        <f>VLOOKUP($C196,'[10]for slip'!$F:$BC,43,0)</f>
        <v>53430.83</v>
      </c>
      <c r="U196" s="2">
        <f>VLOOKUP($C196,'[10]for slip'!$F:$BC,44,0)</f>
        <v>106861.66</v>
      </c>
      <c r="V196" s="2">
        <f>VLOOKUP($C196,'[10]for slip'!$F:$BC,45,0)</f>
        <v>53430.83</v>
      </c>
      <c r="W196" s="2">
        <f>VLOOKUP($C196,'[10]for slip'!$F:$BC,48,0)</f>
        <v>15604.584590750002</v>
      </c>
    </row>
    <row r="197" spans="1:23" x14ac:dyDescent="0.25">
      <c r="A197" s="1">
        <v>196</v>
      </c>
      <c r="B197" s="2" t="s">
        <v>413</v>
      </c>
      <c r="C197" s="2" t="s">
        <v>414</v>
      </c>
      <c r="D197" s="2" t="str">
        <f>VLOOKUP($C197,'[10]for slip'!$F:$BC,3,0)</f>
        <v>Pelaksana</v>
      </c>
      <c r="E197" s="2" t="str">
        <f>VLOOKUP($C197,'[10]for slip'!$F:$BC,4,0)</f>
        <v>Assembly</v>
      </c>
      <c r="F197" s="2">
        <f>VLOOKUP($C197,'[10]for slip'!$F:$BC,14,0)</f>
        <v>5343083</v>
      </c>
      <c r="G197" s="2">
        <f>VLOOKUP($C197,'[10]for slip'!$F:$BC,15,0)</f>
        <v>0</v>
      </c>
      <c r="H197" s="2">
        <f>VLOOKUP($C197,'[10]for slip'!$F:$BC,16,0)</f>
        <v>0</v>
      </c>
      <c r="I197" s="2">
        <f>VLOOKUP($C197,'[10]for slip'!$F:$BC,17,0)</f>
        <v>0</v>
      </c>
      <c r="J197" s="2">
        <f>VLOOKUP($C197,'[10]for slip'!$F:$BC,27,0)</f>
        <v>0</v>
      </c>
      <c r="K197" s="2">
        <f>VLOOKUP($C197,'[10]for slip'!$F:$BC,31,0)</f>
        <v>0</v>
      </c>
      <c r="L197" s="2">
        <f>VLOOKUP($C197,'[10]for slip'!$F:$BC,35,0)</f>
        <v>15604.584590750002</v>
      </c>
      <c r="M197" s="2">
        <f>VLOOKUP($C197,'[10]for slip'!$F:$BC,36,0)</f>
        <v>0</v>
      </c>
      <c r="N197" s="2">
        <f>VLOOKUP($C197,'[10]for slip'!$F:$BC,37,0)</f>
        <v>0</v>
      </c>
      <c r="O197" s="2">
        <f>VLOOKUP($C197,'[10]for slip'!$F:$BC,38,0)</f>
        <v>0</v>
      </c>
      <c r="P197" s="2">
        <f>VLOOKUP($C197,'[10]for slip'!$F:$BC,39,0)</f>
        <v>0</v>
      </c>
      <c r="Q197" s="2">
        <f>VLOOKUP($C197,'[10]for slip'!$F:$BC,40,0)</f>
        <v>31700</v>
      </c>
      <c r="R197" s="2">
        <f>VLOOKUP($C197,'[10]for slip'!$F:$BC,41,0)</f>
        <v>0</v>
      </c>
      <c r="S197" s="2">
        <f>VLOOKUP($C197,'[10]for slip'!$F:$BC,42,0)</f>
        <v>0</v>
      </c>
      <c r="T197" s="2">
        <f>VLOOKUP($C197,'[10]for slip'!$F:$BC,43,0)</f>
        <v>53430.83</v>
      </c>
      <c r="U197" s="2">
        <f>VLOOKUP($C197,'[10]for slip'!$F:$BC,44,0)</f>
        <v>106861.66</v>
      </c>
      <c r="V197" s="2">
        <f>VLOOKUP($C197,'[10]for slip'!$F:$BC,45,0)</f>
        <v>53430.83</v>
      </c>
      <c r="W197" s="2">
        <f>VLOOKUP($C197,'[10]for slip'!$F:$BC,48,0)</f>
        <v>15604.584590750002</v>
      </c>
    </row>
    <row r="198" spans="1:23" x14ac:dyDescent="0.25">
      <c r="A198" s="1">
        <v>197</v>
      </c>
      <c r="B198" s="2" t="s">
        <v>415</v>
      </c>
      <c r="C198" s="2" t="s">
        <v>416</v>
      </c>
      <c r="D198" s="2" t="str">
        <f>VLOOKUP($C198,'[10]for slip'!$F:$BC,3,0)</f>
        <v>Pelaksana</v>
      </c>
      <c r="E198" s="2" t="str">
        <f>VLOOKUP($C198,'[10]for slip'!$F:$BC,4,0)</f>
        <v>Assembly</v>
      </c>
      <c r="F198" s="2">
        <f>VLOOKUP($C198,'[10]for slip'!$F:$BC,14,0)</f>
        <v>5343083</v>
      </c>
      <c r="G198" s="2">
        <f>VLOOKUP($C198,'[10]for slip'!$F:$BC,15,0)</f>
        <v>0</v>
      </c>
      <c r="H198" s="2">
        <f>VLOOKUP($C198,'[10]for slip'!$F:$BC,16,0)</f>
        <v>0</v>
      </c>
      <c r="I198" s="2">
        <f>VLOOKUP($C198,'[10]for slip'!$F:$BC,17,0)</f>
        <v>0</v>
      </c>
      <c r="J198" s="2">
        <f>VLOOKUP($C198,'[10]for slip'!$F:$BC,27,0)</f>
        <v>0</v>
      </c>
      <c r="K198" s="2">
        <f>VLOOKUP($C198,'[10]for slip'!$F:$BC,31,0)</f>
        <v>0</v>
      </c>
      <c r="L198" s="2">
        <f>VLOOKUP($C198,'[10]for slip'!$F:$BC,35,0)</f>
        <v>0</v>
      </c>
      <c r="M198" s="2">
        <f>VLOOKUP($C198,'[10]for slip'!$F:$BC,36,0)</f>
        <v>0</v>
      </c>
      <c r="N198" s="2">
        <f>VLOOKUP($C198,'[10]for slip'!$F:$BC,37,0)</f>
        <v>0</v>
      </c>
      <c r="O198" s="2">
        <f>VLOOKUP($C198,'[10]for slip'!$F:$BC,38,0)</f>
        <v>0</v>
      </c>
      <c r="P198" s="2">
        <f>VLOOKUP($C198,'[10]for slip'!$F:$BC,39,0)</f>
        <v>38000</v>
      </c>
      <c r="Q198" s="2">
        <f>VLOOKUP($C198,'[10]for slip'!$F:$BC,40,0)</f>
        <v>31700</v>
      </c>
      <c r="R198" s="2">
        <f>VLOOKUP($C198,'[10]for slip'!$F:$BC,41,0)</f>
        <v>0</v>
      </c>
      <c r="S198" s="2">
        <f>VLOOKUP($C198,'[10]for slip'!$F:$BC,42,0)</f>
        <v>10000</v>
      </c>
      <c r="T198" s="2">
        <f>VLOOKUP($C198,'[10]for slip'!$F:$BC,43,0)</f>
        <v>53430.83</v>
      </c>
      <c r="U198" s="2">
        <f>VLOOKUP($C198,'[10]for slip'!$F:$BC,44,0)</f>
        <v>106861.66</v>
      </c>
      <c r="V198" s="2">
        <f>VLOOKUP($C198,'[10]for slip'!$F:$BC,45,0)</f>
        <v>53430.83</v>
      </c>
      <c r="W198" s="2">
        <f>VLOOKUP($C198,'[10]for slip'!$F:$BC,48,0)</f>
        <v>0</v>
      </c>
    </row>
    <row r="199" spans="1:23" x14ac:dyDescent="0.25">
      <c r="A199" s="1">
        <v>198</v>
      </c>
      <c r="B199" s="2" t="s">
        <v>417</v>
      </c>
      <c r="C199" s="2" t="s">
        <v>418</v>
      </c>
      <c r="D199" s="2" t="str">
        <f>VLOOKUP($C199,'[10]for slip'!$F:$BC,3,0)</f>
        <v>Pelaksana</v>
      </c>
      <c r="E199" s="2" t="str">
        <f>VLOOKUP($C199,'[10]for slip'!$F:$BC,4,0)</f>
        <v>Assembly</v>
      </c>
      <c r="F199" s="2">
        <f>VLOOKUP($C199,'[10]for slip'!$F:$BC,14,0)</f>
        <v>5343083</v>
      </c>
      <c r="G199" s="2">
        <f>VLOOKUP($C199,'[10]for slip'!$F:$BC,15,0)</f>
        <v>0</v>
      </c>
      <c r="H199" s="2">
        <f>VLOOKUP($C199,'[10]for slip'!$F:$BC,16,0)</f>
        <v>0</v>
      </c>
      <c r="I199" s="2">
        <f>VLOOKUP($C199,'[10]for slip'!$F:$BC,17,0)</f>
        <v>0</v>
      </c>
      <c r="J199" s="2">
        <f>VLOOKUP($C199,'[10]for slip'!$F:$BC,27,0)</f>
        <v>0</v>
      </c>
      <c r="K199" s="2">
        <f>VLOOKUP($C199,'[10]for slip'!$F:$BC,31,0)</f>
        <v>0</v>
      </c>
      <c r="L199" s="2">
        <f>VLOOKUP($C199,'[10]for slip'!$F:$BC,35,0)</f>
        <v>0</v>
      </c>
      <c r="M199" s="2">
        <f>VLOOKUP($C199,'[10]for slip'!$F:$BC,36,0)</f>
        <v>0</v>
      </c>
      <c r="N199" s="2">
        <f>VLOOKUP($C199,'[10]for slip'!$F:$BC,37,0)</f>
        <v>0</v>
      </c>
      <c r="O199" s="2">
        <f>VLOOKUP($C199,'[10]for slip'!$F:$BC,38,0)</f>
        <v>0</v>
      </c>
      <c r="P199" s="2">
        <f>VLOOKUP($C199,'[10]for slip'!$F:$BC,39,0)</f>
        <v>38000</v>
      </c>
      <c r="Q199" s="2">
        <f>VLOOKUP($C199,'[10]for slip'!$F:$BC,40,0)</f>
        <v>31700</v>
      </c>
      <c r="R199" s="2">
        <f>VLOOKUP($C199,'[10]for slip'!$F:$BC,41,0)</f>
        <v>0</v>
      </c>
      <c r="S199" s="2">
        <f>VLOOKUP($C199,'[10]for slip'!$F:$BC,42,0)</f>
        <v>10000</v>
      </c>
      <c r="T199" s="2">
        <f>VLOOKUP($C199,'[10]for slip'!$F:$BC,43,0)</f>
        <v>53430.83</v>
      </c>
      <c r="U199" s="2">
        <f>VLOOKUP($C199,'[10]for slip'!$F:$BC,44,0)</f>
        <v>106861.66</v>
      </c>
      <c r="V199" s="2">
        <f>VLOOKUP($C199,'[10]for slip'!$F:$BC,45,0)</f>
        <v>53430.83</v>
      </c>
      <c r="W199" s="2">
        <f>VLOOKUP($C199,'[10]for slip'!$F:$BC,48,0)</f>
        <v>0</v>
      </c>
    </row>
    <row r="200" spans="1:23" x14ac:dyDescent="0.25">
      <c r="A200" s="1">
        <v>199</v>
      </c>
      <c r="B200" s="2" t="s">
        <v>419</v>
      </c>
      <c r="C200" s="2" t="s">
        <v>420</v>
      </c>
      <c r="D200" s="2" t="str">
        <f>VLOOKUP($C200,'[10]for slip'!$F:$BC,3,0)</f>
        <v>Pelaksana</v>
      </c>
      <c r="E200" s="2" t="str">
        <f>VLOOKUP($C200,'[10]for slip'!$F:$BC,4,0)</f>
        <v>Assembly</v>
      </c>
      <c r="F200" s="2">
        <f>VLOOKUP($C200,'[10]for slip'!$F:$BC,14,0)</f>
        <v>5343083</v>
      </c>
      <c r="G200" s="2">
        <f>VLOOKUP($C200,'[10]for slip'!$F:$BC,15,0)</f>
        <v>0</v>
      </c>
      <c r="H200" s="2">
        <f>VLOOKUP($C200,'[10]for slip'!$F:$BC,16,0)</f>
        <v>0</v>
      </c>
      <c r="I200" s="2">
        <f>VLOOKUP($C200,'[10]for slip'!$F:$BC,17,0)</f>
        <v>0</v>
      </c>
      <c r="J200" s="2">
        <f>VLOOKUP($C200,'[10]for slip'!$F:$BC,27,0)</f>
        <v>0</v>
      </c>
      <c r="K200" s="2">
        <f>VLOOKUP($C200,'[10]for slip'!$F:$BC,31,0)</f>
        <v>0</v>
      </c>
      <c r="L200" s="2">
        <f>VLOOKUP($C200,'[10]for slip'!$F:$BC,35,0)</f>
        <v>34354.584590750004</v>
      </c>
      <c r="M200" s="2">
        <f>VLOOKUP($C200,'[10]for slip'!$F:$BC,36,0)</f>
        <v>0</v>
      </c>
      <c r="N200" s="2">
        <f>VLOOKUP($C200,'[10]for slip'!$F:$BC,37,0)</f>
        <v>0</v>
      </c>
      <c r="O200" s="2">
        <f>VLOOKUP($C200,'[10]for slip'!$F:$BC,38,0)</f>
        <v>0</v>
      </c>
      <c r="P200" s="2">
        <f>VLOOKUP($C200,'[10]for slip'!$F:$BC,39,0)</f>
        <v>38000</v>
      </c>
      <c r="Q200" s="2">
        <f>VLOOKUP($C200,'[10]for slip'!$F:$BC,40,0)</f>
        <v>31700</v>
      </c>
      <c r="R200" s="2">
        <f>VLOOKUP($C200,'[10]for slip'!$F:$BC,41,0)</f>
        <v>0</v>
      </c>
      <c r="S200" s="2">
        <f>VLOOKUP($C200,'[10]for slip'!$F:$BC,42,0)</f>
        <v>10000</v>
      </c>
      <c r="T200" s="2">
        <f>VLOOKUP($C200,'[10]for slip'!$F:$BC,43,0)</f>
        <v>53430.83</v>
      </c>
      <c r="U200" s="2">
        <f>VLOOKUP($C200,'[10]for slip'!$F:$BC,44,0)</f>
        <v>106861.66</v>
      </c>
      <c r="V200" s="2">
        <f>VLOOKUP($C200,'[10]for slip'!$F:$BC,45,0)</f>
        <v>53430.83</v>
      </c>
      <c r="W200" s="2">
        <f>VLOOKUP($C200,'[10]for slip'!$F:$BC,48,0)</f>
        <v>34354.584590750004</v>
      </c>
    </row>
    <row r="201" spans="1:23" x14ac:dyDescent="0.25">
      <c r="A201" s="1">
        <v>200</v>
      </c>
      <c r="B201" s="2" t="s">
        <v>421</v>
      </c>
      <c r="C201" s="2" t="s">
        <v>422</v>
      </c>
      <c r="D201" s="2" t="str">
        <f>VLOOKUP($C201,'[10]for slip'!$F:$BC,3,0)</f>
        <v>Pelaksana</v>
      </c>
      <c r="E201" s="2" t="str">
        <f>VLOOKUP($C201,'[10]for slip'!$F:$BC,4,0)</f>
        <v>Assembly</v>
      </c>
      <c r="F201" s="2">
        <f>VLOOKUP($C201,'[10]for slip'!$F:$BC,14,0)</f>
        <v>5343083</v>
      </c>
      <c r="G201" s="2">
        <f>VLOOKUP($C201,'[10]for slip'!$F:$BC,15,0)</f>
        <v>0</v>
      </c>
      <c r="H201" s="2">
        <f>VLOOKUP($C201,'[10]for slip'!$F:$BC,16,0)</f>
        <v>0</v>
      </c>
      <c r="I201" s="2">
        <f>VLOOKUP($C201,'[10]for slip'!$F:$BC,17,0)</f>
        <v>0</v>
      </c>
      <c r="J201" s="2">
        <f>VLOOKUP($C201,'[10]for slip'!$F:$BC,27,0)</f>
        <v>0</v>
      </c>
      <c r="K201" s="2">
        <f>VLOOKUP($C201,'[10]for slip'!$F:$BC,31,0)</f>
        <v>0</v>
      </c>
      <c r="L201" s="2">
        <f>VLOOKUP($C201,'[10]for slip'!$F:$BC,35,0)</f>
        <v>0</v>
      </c>
      <c r="M201" s="2">
        <f>VLOOKUP($C201,'[10]for slip'!$F:$BC,36,0)</f>
        <v>0</v>
      </c>
      <c r="N201" s="2">
        <f>VLOOKUP($C201,'[10]for slip'!$F:$BC,37,0)</f>
        <v>0</v>
      </c>
      <c r="O201" s="2">
        <f>VLOOKUP($C201,'[10]for slip'!$F:$BC,38,0)</f>
        <v>0</v>
      </c>
      <c r="P201" s="2">
        <f>VLOOKUP($C201,'[10]for slip'!$F:$BC,39,0)</f>
        <v>38000</v>
      </c>
      <c r="Q201" s="2">
        <f>VLOOKUP($C201,'[10]for slip'!$F:$BC,40,0)</f>
        <v>31700</v>
      </c>
      <c r="R201" s="2">
        <f>VLOOKUP($C201,'[10]for slip'!$F:$BC,41,0)</f>
        <v>0</v>
      </c>
      <c r="S201" s="2">
        <f>VLOOKUP($C201,'[10]for slip'!$F:$BC,42,0)</f>
        <v>10000</v>
      </c>
      <c r="T201" s="2">
        <f>VLOOKUP($C201,'[10]for slip'!$F:$BC,43,0)</f>
        <v>53430.83</v>
      </c>
      <c r="U201" s="2">
        <f>VLOOKUP($C201,'[10]for slip'!$F:$BC,44,0)</f>
        <v>106861.66</v>
      </c>
      <c r="V201" s="2">
        <f>VLOOKUP($C201,'[10]for slip'!$F:$BC,45,0)</f>
        <v>53430.83</v>
      </c>
      <c r="W201" s="2">
        <f>VLOOKUP($C201,'[10]for slip'!$F:$BC,48,0)</f>
        <v>0</v>
      </c>
    </row>
    <row r="202" spans="1:23" x14ac:dyDescent="0.25">
      <c r="A202" s="1">
        <v>201</v>
      </c>
      <c r="B202" s="2" t="s">
        <v>423</v>
      </c>
      <c r="C202" s="2" t="s">
        <v>424</v>
      </c>
      <c r="D202" s="2" t="str">
        <f>VLOOKUP($C202,'[10]for slip'!$F:$BC,3,0)</f>
        <v>Pelaksana</v>
      </c>
      <c r="E202" s="2" t="str">
        <f>VLOOKUP($C202,'[10]for slip'!$F:$BC,4,0)</f>
        <v>Assembly</v>
      </c>
      <c r="F202" s="2">
        <f>VLOOKUP($C202,'[10]for slip'!$F:$BC,14,0)</f>
        <v>5343083</v>
      </c>
      <c r="G202" s="2">
        <f>VLOOKUP($C202,'[10]for slip'!$F:$BC,15,0)</f>
        <v>0</v>
      </c>
      <c r="H202" s="2">
        <f>VLOOKUP($C202,'[10]for slip'!$F:$BC,16,0)</f>
        <v>0</v>
      </c>
      <c r="I202" s="2">
        <f>VLOOKUP($C202,'[10]for slip'!$F:$BC,17,0)</f>
        <v>0</v>
      </c>
      <c r="J202" s="2">
        <f>VLOOKUP($C202,'[10]for slip'!$F:$BC,27,0)</f>
        <v>0</v>
      </c>
      <c r="K202" s="2">
        <f>VLOOKUP($C202,'[10]for slip'!$F:$BC,31,0)</f>
        <v>0</v>
      </c>
      <c r="L202" s="2">
        <f>VLOOKUP($C202,'[10]for slip'!$F:$BC,35,0)</f>
        <v>34354.584590750004</v>
      </c>
      <c r="M202" s="2">
        <f>VLOOKUP($C202,'[10]for slip'!$F:$BC,36,0)</f>
        <v>0</v>
      </c>
      <c r="N202" s="2">
        <f>VLOOKUP($C202,'[10]for slip'!$F:$BC,37,0)</f>
        <v>0</v>
      </c>
      <c r="O202" s="2">
        <f>VLOOKUP($C202,'[10]for slip'!$F:$BC,38,0)</f>
        <v>0</v>
      </c>
      <c r="P202" s="2">
        <f>VLOOKUP($C202,'[10]for slip'!$F:$BC,39,0)</f>
        <v>0</v>
      </c>
      <c r="Q202" s="2">
        <f>VLOOKUP($C202,'[10]for slip'!$F:$BC,40,0)</f>
        <v>31700</v>
      </c>
      <c r="R202" s="2">
        <f>VLOOKUP($C202,'[10]for slip'!$F:$BC,41,0)</f>
        <v>0</v>
      </c>
      <c r="S202" s="2">
        <f>VLOOKUP($C202,'[10]for slip'!$F:$BC,42,0)</f>
        <v>0</v>
      </c>
      <c r="T202" s="2">
        <f>VLOOKUP($C202,'[10]for slip'!$F:$BC,43,0)</f>
        <v>53430.83</v>
      </c>
      <c r="U202" s="2">
        <f>VLOOKUP($C202,'[10]for slip'!$F:$BC,44,0)</f>
        <v>106861.66</v>
      </c>
      <c r="V202" s="2">
        <f>VLOOKUP($C202,'[10]for slip'!$F:$BC,45,0)</f>
        <v>53430.83</v>
      </c>
      <c r="W202" s="2">
        <f>VLOOKUP($C202,'[10]for slip'!$F:$BC,48,0)</f>
        <v>34354.584590750004</v>
      </c>
    </row>
    <row r="203" spans="1:23" x14ac:dyDescent="0.25">
      <c r="A203" s="1">
        <v>202</v>
      </c>
      <c r="B203" s="2" t="s">
        <v>425</v>
      </c>
      <c r="C203" s="2" t="s">
        <v>426</v>
      </c>
      <c r="D203" s="2" t="str">
        <f>VLOOKUP($C203,'[10]for slip'!$F:$BC,3,0)</f>
        <v>Pelaksana</v>
      </c>
      <c r="E203" s="2" t="str">
        <f>VLOOKUP($C203,'[10]for slip'!$F:$BC,4,0)</f>
        <v>Assembly</v>
      </c>
      <c r="F203" s="2">
        <f>VLOOKUP($C203,'[10]for slip'!$F:$BC,14,0)</f>
        <v>5343083</v>
      </c>
      <c r="G203" s="2">
        <f>VLOOKUP($C203,'[10]for slip'!$F:$BC,15,0)</f>
        <v>0</v>
      </c>
      <c r="H203" s="2">
        <f>VLOOKUP($C203,'[10]for slip'!$F:$BC,16,0)</f>
        <v>0</v>
      </c>
      <c r="I203" s="2">
        <f>VLOOKUP($C203,'[10]for slip'!$F:$BC,17,0)</f>
        <v>0</v>
      </c>
      <c r="J203" s="2">
        <f>VLOOKUP($C203,'[10]for slip'!$F:$BC,27,0)</f>
        <v>0</v>
      </c>
      <c r="K203" s="2">
        <f>VLOOKUP($C203,'[10]for slip'!$F:$BC,31,0)</f>
        <v>0</v>
      </c>
      <c r="L203" s="2">
        <f>VLOOKUP($C203,'[10]for slip'!$F:$BC,35,0)</f>
        <v>15604.584590750002</v>
      </c>
      <c r="M203" s="2">
        <f>VLOOKUP($C203,'[10]for slip'!$F:$BC,36,0)</f>
        <v>0</v>
      </c>
      <c r="N203" s="2">
        <f>VLOOKUP($C203,'[10]for slip'!$F:$BC,37,0)</f>
        <v>0</v>
      </c>
      <c r="O203" s="2">
        <f>VLOOKUP($C203,'[10]for slip'!$F:$BC,38,0)</f>
        <v>0</v>
      </c>
      <c r="P203" s="2">
        <f>VLOOKUP($C203,'[10]for slip'!$F:$BC,39,0)</f>
        <v>0</v>
      </c>
      <c r="Q203" s="2">
        <f>VLOOKUP($C203,'[10]for slip'!$F:$BC,40,0)</f>
        <v>31700</v>
      </c>
      <c r="R203" s="2">
        <f>VLOOKUP($C203,'[10]for slip'!$F:$BC,41,0)</f>
        <v>0</v>
      </c>
      <c r="S203" s="2">
        <f>VLOOKUP($C203,'[10]for slip'!$F:$BC,42,0)</f>
        <v>0</v>
      </c>
      <c r="T203" s="2">
        <f>VLOOKUP($C203,'[10]for slip'!$F:$BC,43,0)</f>
        <v>53430.83</v>
      </c>
      <c r="U203" s="2">
        <f>VLOOKUP($C203,'[10]for slip'!$F:$BC,44,0)</f>
        <v>106861.66</v>
      </c>
      <c r="V203" s="2">
        <f>VLOOKUP($C203,'[10]for slip'!$F:$BC,45,0)</f>
        <v>53430.83</v>
      </c>
      <c r="W203" s="2">
        <f>VLOOKUP($C203,'[10]for slip'!$F:$BC,48,0)</f>
        <v>15604.584590750002</v>
      </c>
    </row>
    <row r="204" spans="1:23" x14ac:dyDescent="0.25">
      <c r="A204" s="1">
        <v>203</v>
      </c>
      <c r="B204" s="2" t="s">
        <v>427</v>
      </c>
      <c r="C204" s="2" t="s">
        <v>428</v>
      </c>
      <c r="D204" s="2" t="str">
        <f>VLOOKUP($C204,'[10]for slip'!$F:$BC,3,0)</f>
        <v>Pelaksana</v>
      </c>
      <c r="E204" s="2" t="str">
        <f>VLOOKUP($C204,'[10]for slip'!$F:$BC,4,0)</f>
        <v>Assembly</v>
      </c>
      <c r="F204" s="2">
        <f>VLOOKUP($C204,'[10]for slip'!$F:$BC,14,0)</f>
        <v>5343083</v>
      </c>
      <c r="G204" s="2">
        <f>VLOOKUP($C204,'[10]for slip'!$F:$BC,15,0)</f>
        <v>0</v>
      </c>
      <c r="H204" s="2">
        <f>VLOOKUP($C204,'[10]for slip'!$F:$BC,16,0)</f>
        <v>0</v>
      </c>
      <c r="I204" s="2">
        <f>VLOOKUP($C204,'[10]for slip'!$F:$BC,17,0)</f>
        <v>0</v>
      </c>
      <c r="J204" s="2">
        <f>VLOOKUP($C204,'[10]for slip'!$F:$BC,27,0)</f>
        <v>0</v>
      </c>
      <c r="K204" s="2">
        <f>VLOOKUP($C204,'[10]for slip'!$F:$BC,31,0)</f>
        <v>0</v>
      </c>
      <c r="L204" s="2">
        <f>VLOOKUP($C204,'[10]for slip'!$F:$BC,35,0)</f>
        <v>0</v>
      </c>
      <c r="M204" s="2">
        <f>VLOOKUP($C204,'[10]for slip'!$F:$BC,36,0)</f>
        <v>0</v>
      </c>
      <c r="N204" s="2">
        <f>VLOOKUP($C204,'[10]for slip'!$F:$BC,37,0)</f>
        <v>0</v>
      </c>
      <c r="O204" s="2">
        <f>VLOOKUP($C204,'[10]for slip'!$F:$BC,38,0)</f>
        <v>0</v>
      </c>
      <c r="P204" s="2">
        <f>VLOOKUP($C204,'[10]for slip'!$F:$BC,39,0)</f>
        <v>0</v>
      </c>
      <c r="Q204" s="2">
        <f>VLOOKUP($C204,'[10]for slip'!$F:$BC,40,0)</f>
        <v>31700</v>
      </c>
      <c r="R204" s="2">
        <f>VLOOKUP($C204,'[10]for slip'!$F:$BC,41,0)</f>
        <v>0</v>
      </c>
      <c r="S204" s="2">
        <f>VLOOKUP($C204,'[10]for slip'!$F:$BC,42,0)</f>
        <v>0</v>
      </c>
      <c r="T204" s="2">
        <f>VLOOKUP($C204,'[10]for slip'!$F:$BC,43,0)</f>
        <v>53430.83</v>
      </c>
      <c r="U204" s="2">
        <f>VLOOKUP($C204,'[10]for slip'!$F:$BC,44,0)</f>
        <v>106861.66</v>
      </c>
      <c r="V204" s="2">
        <f>VLOOKUP($C204,'[10]for slip'!$F:$BC,45,0)</f>
        <v>53430.83</v>
      </c>
      <c r="W204" s="2">
        <f>VLOOKUP($C204,'[10]for slip'!$F:$BC,48,0)</f>
        <v>0</v>
      </c>
    </row>
    <row r="205" spans="1:23" x14ac:dyDescent="0.25">
      <c r="A205" s="1">
        <v>204</v>
      </c>
      <c r="B205" s="2" t="s">
        <v>429</v>
      </c>
      <c r="C205" s="2" t="s">
        <v>430</v>
      </c>
      <c r="D205" s="2" t="str">
        <f>VLOOKUP($C205,'[10]for slip'!$F:$BC,3,0)</f>
        <v>Pelaksana</v>
      </c>
      <c r="E205" s="2" t="str">
        <f>VLOOKUP($C205,'[10]for slip'!$F:$BC,4,0)</f>
        <v>Assembly</v>
      </c>
      <c r="F205" s="2">
        <f>VLOOKUP($C205,'[10]for slip'!$F:$BC,14,0)</f>
        <v>5343083</v>
      </c>
      <c r="G205" s="2">
        <f>VLOOKUP($C205,'[10]for slip'!$F:$BC,15,0)</f>
        <v>0</v>
      </c>
      <c r="H205" s="2">
        <f>VLOOKUP($C205,'[10]for slip'!$F:$BC,16,0)</f>
        <v>0</v>
      </c>
      <c r="I205" s="2">
        <f>VLOOKUP($C205,'[10]for slip'!$F:$BC,17,0)</f>
        <v>0</v>
      </c>
      <c r="J205" s="2">
        <f>VLOOKUP($C205,'[10]for slip'!$F:$BC,27,0)</f>
        <v>0</v>
      </c>
      <c r="K205" s="2">
        <f>VLOOKUP($C205,'[10]for slip'!$F:$BC,31,0)</f>
        <v>0</v>
      </c>
      <c r="L205" s="2">
        <f>VLOOKUP($C205,'[10]for slip'!$F:$BC,35,0)</f>
        <v>0</v>
      </c>
      <c r="M205" s="2">
        <f>VLOOKUP($C205,'[10]for slip'!$F:$BC,36,0)</f>
        <v>0</v>
      </c>
      <c r="N205" s="2">
        <f>VLOOKUP($C205,'[10]for slip'!$F:$BC,37,0)</f>
        <v>0</v>
      </c>
      <c r="O205" s="2">
        <f>VLOOKUP($C205,'[10]for slip'!$F:$BC,38,0)</f>
        <v>0</v>
      </c>
      <c r="P205" s="2">
        <f>VLOOKUP($C205,'[10]for slip'!$F:$BC,39,0)</f>
        <v>38000</v>
      </c>
      <c r="Q205" s="2">
        <f>VLOOKUP($C205,'[10]for slip'!$F:$BC,40,0)</f>
        <v>31700</v>
      </c>
      <c r="R205" s="2">
        <f>VLOOKUP($C205,'[10]for slip'!$F:$BC,41,0)</f>
        <v>0</v>
      </c>
      <c r="S205" s="2">
        <f>VLOOKUP($C205,'[10]for slip'!$F:$BC,42,0)</f>
        <v>0</v>
      </c>
      <c r="T205" s="2">
        <f>VLOOKUP($C205,'[10]for slip'!$F:$BC,43,0)</f>
        <v>53430.83</v>
      </c>
      <c r="U205" s="2">
        <f>VLOOKUP($C205,'[10]for slip'!$F:$BC,44,0)</f>
        <v>106861.66</v>
      </c>
      <c r="V205" s="2">
        <f>VLOOKUP($C205,'[10]for slip'!$F:$BC,45,0)</f>
        <v>53430.83</v>
      </c>
      <c r="W205" s="2">
        <f>VLOOKUP($C205,'[10]for slip'!$F:$BC,48,0)</f>
        <v>0</v>
      </c>
    </row>
    <row r="206" spans="1:23" x14ac:dyDescent="0.25">
      <c r="A206" s="1">
        <v>205</v>
      </c>
      <c r="B206" s="2" t="s">
        <v>431</v>
      </c>
      <c r="C206" s="2" t="s">
        <v>432</v>
      </c>
      <c r="D206" s="2" t="str">
        <f>VLOOKUP($C206,'[10]for slip'!$F:$BC,3,0)</f>
        <v>Pelaksana</v>
      </c>
      <c r="E206" s="2" t="str">
        <f>VLOOKUP($C206,'[10]for slip'!$F:$BC,4,0)</f>
        <v>Assembly</v>
      </c>
      <c r="F206" s="2">
        <f>VLOOKUP($C206,'[10]for slip'!$F:$BC,14,0)</f>
        <v>5343083</v>
      </c>
      <c r="G206" s="2">
        <f>VLOOKUP($C206,'[10]for slip'!$F:$BC,15,0)</f>
        <v>0</v>
      </c>
      <c r="H206" s="2">
        <f>VLOOKUP($C206,'[10]for slip'!$F:$BC,16,0)</f>
        <v>0</v>
      </c>
      <c r="I206" s="2">
        <f>VLOOKUP($C206,'[10]for slip'!$F:$BC,17,0)</f>
        <v>0</v>
      </c>
      <c r="J206" s="2">
        <f>VLOOKUP($C206,'[10]for slip'!$F:$BC,27,0)</f>
        <v>0</v>
      </c>
      <c r="K206" s="2">
        <f>VLOOKUP($C206,'[10]for slip'!$F:$BC,31,0)</f>
        <v>0</v>
      </c>
      <c r="L206" s="2">
        <f>VLOOKUP($C206,'[10]for slip'!$F:$BC,35,0)</f>
        <v>0</v>
      </c>
      <c r="M206" s="2">
        <f>VLOOKUP($C206,'[10]for slip'!$F:$BC,36,0)</f>
        <v>0</v>
      </c>
      <c r="N206" s="2">
        <f>VLOOKUP($C206,'[10]for slip'!$F:$BC,37,0)</f>
        <v>0</v>
      </c>
      <c r="O206" s="2">
        <f>VLOOKUP($C206,'[10]for slip'!$F:$BC,38,0)</f>
        <v>0</v>
      </c>
      <c r="P206" s="2">
        <f>VLOOKUP($C206,'[10]for slip'!$F:$BC,39,0)</f>
        <v>38000</v>
      </c>
      <c r="Q206" s="2">
        <f>VLOOKUP($C206,'[10]for slip'!$F:$BC,40,0)</f>
        <v>31700</v>
      </c>
      <c r="R206" s="2">
        <f>VLOOKUP($C206,'[10]for slip'!$F:$BC,41,0)</f>
        <v>0</v>
      </c>
      <c r="S206" s="2">
        <f>VLOOKUP($C206,'[10]for slip'!$F:$BC,42,0)</f>
        <v>10000</v>
      </c>
      <c r="T206" s="2">
        <f>VLOOKUP($C206,'[10]for slip'!$F:$BC,43,0)</f>
        <v>53430.83</v>
      </c>
      <c r="U206" s="2">
        <f>VLOOKUP($C206,'[10]for slip'!$F:$BC,44,0)</f>
        <v>106861.66</v>
      </c>
      <c r="V206" s="2">
        <f>VLOOKUP($C206,'[10]for slip'!$F:$BC,45,0)</f>
        <v>53430.83</v>
      </c>
      <c r="W206" s="2">
        <f>VLOOKUP($C206,'[10]for slip'!$F:$BC,48,0)</f>
        <v>0</v>
      </c>
    </row>
    <row r="207" spans="1:23" x14ac:dyDescent="0.25">
      <c r="A207" s="1">
        <v>206</v>
      </c>
      <c r="B207" s="2" t="s">
        <v>433</v>
      </c>
      <c r="C207" s="2" t="s">
        <v>434</v>
      </c>
      <c r="D207" s="2" t="str">
        <f>VLOOKUP($C207,'[10]for slip'!$F:$BC,3,0)</f>
        <v>Pelaksana</v>
      </c>
      <c r="E207" s="2" t="str">
        <f>VLOOKUP($C207,'[10]for slip'!$F:$BC,4,0)</f>
        <v>Assembly</v>
      </c>
      <c r="F207" s="2">
        <f>VLOOKUP($C207,'[10]for slip'!$F:$BC,14,0)</f>
        <v>5343083</v>
      </c>
      <c r="G207" s="2">
        <f>VLOOKUP($C207,'[10]for slip'!$F:$BC,15,0)</f>
        <v>0</v>
      </c>
      <c r="H207" s="2">
        <f>VLOOKUP($C207,'[10]for slip'!$F:$BC,16,0)</f>
        <v>0</v>
      </c>
      <c r="I207" s="2">
        <f>VLOOKUP($C207,'[10]for slip'!$F:$BC,17,0)</f>
        <v>0</v>
      </c>
      <c r="J207" s="2">
        <f>VLOOKUP($C207,'[10]for slip'!$F:$BC,27,0)</f>
        <v>0</v>
      </c>
      <c r="K207" s="2">
        <f>VLOOKUP($C207,'[10]for slip'!$F:$BC,31,0)</f>
        <v>0</v>
      </c>
      <c r="L207" s="2">
        <f>VLOOKUP($C207,'[10]for slip'!$F:$BC,35,0)</f>
        <v>0</v>
      </c>
      <c r="M207" s="2">
        <f>VLOOKUP($C207,'[10]for slip'!$F:$BC,36,0)</f>
        <v>0</v>
      </c>
      <c r="N207" s="2">
        <f>VLOOKUP($C207,'[10]for slip'!$F:$BC,37,0)</f>
        <v>0</v>
      </c>
      <c r="O207" s="2">
        <f>VLOOKUP($C207,'[10]for slip'!$F:$BC,38,0)</f>
        <v>0</v>
      </c>
      <c r="P207" s="2">
        <f>VLOOKUP($C207,'[10]for slip'!$F:$BC,39,0)</f>
        <v>0</v>
      </c>
      <c r="Q207" s="2">
        <f>VLOOKUP($C207,'[10]for slip'!$F:$BC,40,0)</f>
        <v>31700</v>
      </c>
      <c r="R207" s="2">
        <f>VLOOKUP($C207,'[10]for slip'!$F:$BC,41,0)</f>
        <v>0</v>
      </c>
      <c r="S207" s="2">
        <f>VLOOKUP($C207,'[10]for slip'!$F:$BC,42,0)</f>
        <v>0</v>
      </c>
      <c r="T207" s="2">
        <f>VLOOKUP($C207,'[10]for slip'!$F:$BC,43,0)</f>
        <v>53430.83</v>
      </c>
      <c r="U207" s="2">
        <f>VLOOKUP($C207,'[10]for slip'!$F:$BC,44,0)</f>
        <v>106861.66</v>
      </c>
      <c r="V207" s="2">
        <f>VLOOKUP($C207,'[10]for slip'!$F:$BC,45,0)</f>
        <v>53430.83</v>
      </c>
      <c r="W207" s="2">
        <f>VLOOKUP($C207,'[10]for slip'!$F:$BC,48,0)</f>
        <v>0</v>
      </c>
    </row>
    <row r="208" spans="1:23" x14ac:dyDescent="0.25">
      <c r="A208" s="1">
        <v>207</v>
      </c>
      <c r="B208" s="2" t="s">
        <v>435</v>
      </c>
      <c r="C208" s="2" t="s">
        <v>436</v>
      </c>
      <c r="D208" s="2" t="str">
        <f>VLOOKUP($C208,'[10]for slip'!$F:$BC,3,0)</f>
        <v>Pelaksana</v>
      </c>
      <c r="E208" s="2" t="str">
        <f>VLOOKUP($C208,'[10]for slip'!$F:$BC,4,0)</f>
        <v>Assembly</v>
      </c>
      <c r="F208" s="2">
        <f>VLOOKUP($C208,'[10]for slip'!$F:$BC,14,0)</f>
        <v>5343083</v>
      </c>
      <c r="G208" s="2">
        <f>VLOOKUP($C208,'[10]for slip'!$F:$BC,15,0)</f>
        <v>0</v>
      </c>
      <c r="H208" s="2">
        <f>VLOOKUP($C208,'[10]for slip'!$F:$BC,16,0)</f>
        <v>0</v>
      </c>
      <c r="I208" s="2">
        <f>VLOOKUP($C208,'[10]for slip'!$F:$BC,17,0)</f>
        <v>0</v>
      </c>
      <c r="J208" s="2">
        <f>VLOOKUP($C208,'[10]for slip'!$F:$BC,27,0)</f>
        <v>0</v>
      </c>
      <c r="K208" s="2">
        <f>VLOOKUP($C208,'[10]for slip'!$F:$BC,31,0)</f>
        <v>0</v>
      </c>
      <c r="L208" s="2">
        <f>VLOOKUP($C208,'[10]for slip'!$F:$BC,35,0)</f>
        <v>15604.584590750002</v>
      </c>
      <c r="M208" s="2">
        <f>VLOOKUP($C208,'[10]for slip'!$F:$BC,36,0)</f>
        <v>0</v>
      </c>
      <c r="N208" s="2">
        <f>VLOOKUP($C208,'[10]for slip'!$F:$BC,37,0)</f>
        <v>0</v>
      </c>
      <c r="O208" s="2">
        <f>VLOOKUP($C208,'[10]for slip'!$F:$BC,38,0)</f>
        <v>0</v>
      </c>
      <c r="P208" s="2">
        <f>VLOOKUP($C208,'[10]for slip'!$F:$BC,39,0)</f>
        <v>38000</v>
      </c>
      <c r="Q208" s="2">
        <f>VLOOKUP($C208,'[10]for slip'!$F:$BC,40,0)</f>
        <v>31700</v>
      </c>
      <c r="R208" s="2">
        <f>VLOOKUP($C208,'[10]for slip'!$F:$BC,41,0)</f>
        <v>0</v>
      </c>
      <c r="S208" s="2">
        <f>VLOOKUP($C208,'[10]for slip'!$F:$BC,42,0)</f>
        <v>10000</v>
      </c>
      <c r="T208" s="2">
        <f>VLOOKUP($C208,'[10]for slip'!$F:$BC,43,0)</f>
        <v>53430.83</v>
      </c>
      <c r="U208" s="2">
        <f>VLOOKUP($C208,'[10]for slip'!$F:$BC,44,0)</f>
        <v>106861.66</v>
      </c>
      <c r="V208" s="2">
        <f>VLOOKUP($C208,'[10]for slip'!$F:$BC,45,0)</f>
        <v>53430.83</v>
      </c>
      <c r="W208" s="2">
        <f>VLOOKUP($C208,'[10]for slip'!$F:$BC,48,0)</f>
        <v>15604.584590750002</v>
      </c>
    </row>
    <row r="209" spans="1:23" x14ac:dyDescent="0.25">
      <c r="A209" s="1">
        <v>208</v>
      </c>
      <c r="B209" s="2" t="s">
        <v>437</v>
      </c>
      <c r="C209" s="2" t="s">
        <v>438</v>
      </c>
      <c r="D209" s="2" t="str">
        <f>VLOOKUP($C209,'[10]for slip'!$F:$BC,3,0)</f>
        <v>Pelaksana</v>
      </c>
      <c r="E209" s="2" t="str">
        <f>VLOOKUP($C209,'[10]for slip'!$F:$BC,4,0)</f>
        <v>Assembly</v>
      </c>
      <c r="F209" s="2">
        <f>VLOOKUP($C209,'[10]for slip'!$F:$BC,14,0)</f>
        <v>5343083</v>
      </c>
      <c r="G209" s="2">
        <f>VLOOKUP($C209,'[10]for slip'!$F:$BC,15,0)</f>
        <v>0</v>
      </c>
      <c r="H209" s="2">
        <f>VLOOKUP($C209,'[10]for slip'!$F:$BC,16,0)</f>
        <v>0</v>
      </c>
      <c r="I209" s="2">
        <f>VLOOKUP($C209,'[10]for slip'!$F:$BC,17,0)</f>
        <v>0</v>
      </c>
      <c r="J209" s="2">
        <f>VLOOKUP($C209,'[10]for slip'!$F:$BC,27,0)</f>
        <v>0</v>
      </c>
      <c r="K209" s="2">
        <f>VLOOKUP($C209,'[10]for slip'!$F:$BC,31,0)</f>
        <v>0</v>
      </c>
      <c r="L209" s="2">
        <f>VLOOKUP($C209,'[10]for slip'!$F:$BC,35,0)</f>
        <v>34354.584590750004</v>
      </c>
      <c r="M209" s="2">
        <f>VLOOKUP($C209,'[10]for slip'!$F:$BC,36,0)</f>
        <v>0</v>
      </c>
      <c r="N209" s="2">
        <f>VLOOKUP($C209,'[10]for slip'!$F:$BC,37,0)</f>
        <v>0</v>
      </c>
      <c r="O209" s="2">
        <f>VLOOKUP($C209,'[10]for slip'!$F:$BC,38,0)</f>
        <v>0</v>
      </c>
      <c r="P209" s="2">
        <f>VLOOKUP($C209,'[10]for slip'!$F:$BC,39,0)</f>
        <v>38000</v>
      </c>
      <c r="Q209" s="2">
        <f>VLOOKUP($C209,'[10]for slip'!$F:$BC,40,0)</f>
        <v>31700</v>
      </c>
      <c r="R209" s="2">
        <f>VLOOKUP($C209,'[10]for slip'!$F:$BC,41,0)</f>
        <v>0</v>
      </c>
      <c r="S209" s="2">
        <f>VLOOKUP($C209,'[10]for slip'!$F:$BC,42,0)</f>
        <v>10000</v>
      </c>
      <c r="T209" s="2">
        <f>VLOOKUP($C209,'[10]for slip'!$F:$BC,43,0)</f>
        <v>53430.83</v>
      </c>
      <c r="U209" s="2">
        <f>VLOOKUP($C209,'[10]for slip'!$F:$BC,44,0)</f>
        <v>106861.66</v>
      </c>
      <c r="V209" s="2">
        <f>VLOOKUP($C209,'[10]for slip'!$F:$BC,45,0)</f>
        <v>53430.83</v>
      </c>
      <c r="W209" s="2">
        <f>VLOOKUP($C209,'[10]for slip'!$F:$BC,48,0)</f>
        <v>34354.584590750004</v>
      </c>
    </row>
    <row r="210" spans="1:23" x14ac:dyDescent="0.25">
      <c r="A210" s="1">
        <v>209</v>
      </c>
      <c r="B210" s="2" t="s">
        <v>439</v>
      </c>
      <c r="C210" s="2" t="s">
        <v>440</v>
      </c>
      <c r="D210" s="2" t="str">
        <f>VLOOKUP($C210,'[10]for slip'!$F:$BC,3,0)</f>
        <v>Pelaksana</v>
      </c>
      <c r="E210" s="2" t="str">
        <f>VLOOKUP($C210,'[10]for slip'!$F:$BC,4,0)</f>
        <v>Assembly</v>
      </c>
      <c r="F210" s="2">
        <f>VLOOKUP($C210,'[10]for slip'!$F:$BC,14,0)</f>
        <v>5343083</v>
      </c>
      <c r="G210" s="2">
        <f>VLOOKUP($C210,'[10]for slip'!$F:$BC,15,0)</f>
        <v>0</v>
      </c>
      <c r="H210" s="2">
        <f>VLOOKUP($C210,'[10]for slip'!$F:$BC,16,0)</f>
        <v>0</v>
      </c>
      <c r="I210" s="2">
        <f>VLOOKUP($C210,'[10]for slip'!$F:$BC,17,0)</f>
        <v>0</v>
      </c>
      <c r="J210" s="2">
        <f>VLOOKUP($C210,'[10]for slip'!$F:$BC,27,0)</f>
        <v>0</v>
      </c>
      <c r="K210" s="2">
        <f>VLOOKUP($C210,'[10]for slip'!$F:$BC,31,0)</f>
        <v>0</v>
      </c>
      <c r="L210" s="2">
        <f>VLOOKUP($C210,'[10]for slip'!$F:$BC,35,0)</f>
        <v>0</v>
      </c>
      <c r="M210" s="2">
        <f>VLOOKUP($C210,'[10]for slip'!$F:$BC,36,0)</f>
        <v>0</v>
      </c>
      <c r="N210" s="2">
        <f>VLOOKUP($C210,'[10]for slip'!$F:$BC,37,0)</f>
        <v>0</v>
      </c>
      <c r="O210" s="2">
        <f>VLOOKUP($C210,'[10]for slip'!$F:$BC,38,0)</f>
        <v>0</v>
      </c>
      <c r="P210" s="2">
        <f>VLOOKUP($C210,'[10]for slip'!$F:$BC,39,0)</f>
        <v>38000</v>
      </c>
      <c r="Q210" s="2">
        <f>VLOOKUP($C210,'[10]for slip'!$F:$BC,40,0)</f>
        <v>31700</v>
      </c>
      <c r="R210" s="2">
        <f>VLOOKUP($C210,'[10]for slip'!$F:$BC,41,0)</f>
        <v>0</v>
      </c>
      <c r="S210" s="2">
        <f>VLOOKUP($C210,'[10]for slip'!$F:$BC,42,0)</f>
        <v>10000</v>
      </c>
      <c r="T210" s="2">
        <f>VLOOKUP($C210,'[10]for slip'!$F:$BC,43,0)</f>
        <v>53430.83</v>
      </c>
      <c r="U210" s="2">
        <f>VLOOKUP($C210,'[10]for slip'!$F:$BC,44,0)</f>
        <v>106861.66</v>
      </c>
      <c r="V210" s="2">
        <f>VLOOKUP($C210,'[10]for slip'!$F:$BC,45,0)</f>
        <v>53430.83</v>
      </c>
      <c r="W210" s="2">
        <f>VLOOKUP($C210,'[10]for slip'!$F:$BC,48,0)</f>
        <v>0</v>
      </c>
    </row>
    <row r="211" spans="1:23" x14ac:dyDescent="0.25">
      <c r="A211" s="1">
        <v>210</v>
      </c>
      <c r="B211" s="2" t="s">
        <v>441</v>
      </c>
      <c r="C211" s="2" t="s">
        <v>442</v>
      </c>
      <c r="D211" s="2" t="str">
        <f>VLOOKUP($C211,'[10]for slip'!$F:$BC,3,0)</f>
        <v>Pelaksana</v>
      </c>
      <c r="E211" s="2" t="str">
        <f>VLOOKUP($C211,'[10]for slip'!$F:$BC,4,0)</f>
        <v>Assembly</v>
      </c>
      <c r="F211" s="2">
        <f>VLOOKUP($C211,'[10]for slip'!$F:$BC,14,0)</f>
        <v>5343083</v>
      </c>
      <c r="G211" s="2">
        <f>VLOOKUP($C211,'[10]for slip'!$F:$BC,15,0)</f>
        <v>0</v>
      </c>
      <c r="H211" s="2">
        <f>VLOOKUP($C211,'[10]for slip'!$F:$BC,16,0)</f>
        <v>0</v>
      </c>
      <c r="I211" s="2">
        <f>VLOOKUP($C211,'[10]for slip'!$F:$BC,17,0)</f>
        <v>0</v>
      </c>
      <c r="J211" s="2">
        <f>VLOOKUP($C211,'[10]for slip'!$F:$BC,27,0)</f>
        <v>0</v>
      </c>
      <c r="K211" s="2">
        <f>VLOOKUP($C211,'[10]for slip'!$F:$BC,31,0)</f>
        <v>0</v>
      </c>
      <c r="L211" s="2">
        <f>VLOOKUP($C211,'[10]for slip'!$F:$BC,35,0)</f>
        <v>0</v>
      </c>
      <c r="M211" s="2">
        <f>VLOOKUP($C211,'[10]for slip'!$F:$BC,36,0)</f>
        <v>0</v>
      </c>
      <c r="N211" s="2">
        <f>VLOOKUP($C211,'[10]for slip'!$F:$BC,37,0)</f>
        <v>0</v>
      </c>
      <c r="O211" s="2">
        <f>VLOOKUP($C211,'[10]for slip'!$F:$BC,38,0)</f>
        <v>0</v>
      </c>
      <c r="P211" s="2">
        <f>VLOOKUP($C211,'[10]for slip'!$F:$BC,39,0)</f>
        <v>38000</v>
      </c>
      <c r="Q211" s="2">
        <f>VLOOKUP($C211,'[10]for slip'!$F:$BC,40,0)</f>
        <v>31700</v>
      </c>
      <c r="R211" s="2">
        <f>VLOOKUP($C211,'[10]for slip'!$F:$BC,41,0)</f>
        <v>0</v>
      </c>
      <c r="S211" s="2">
        <f>VLOOKUP($C211,'[10]for slip'!$F:$BC,42,0)</f>
        <v>10000</v>
      </c>
      <c r="T211" s="2">
        <f>VLOOKUP($C211,'[10]for slip'!$F:$BC,43,0)</f>
        <v>53430.83</v>
      </c>
      <c r="U211" s="2">
        <f>VLOOKUP($C211,'[10]for slip'!$F:$BC,44,0)</f>
        <v>106861.66</v>
      </c>
      <c r="V211" s="2">
        <f>VLOOKUP($C211,'[10]for slip'!$F:$BC,45,0)</f>
        <v>53430.83</v>
      </c>
      <c r="W211" s="2">
        <f>VLOOKUP($C211,'[10]for slip'!$F:$BC,48,0)</f>
        <v>0</v>
      </c>
    </row>
    <row r="212" spans="1:23" x14ac:dyDescent="0.25">
      <c r="A212" s="1">
        <v>211</v>
      </c>
      <c r="B212" s="2" t="s">
        <v>443</v>
      </c>
      <c r="C212" s="2" t="s">
        <v>444</v>
      </c>
      <c r="D212" s="2" t="str">
        <f>VLOOKUP($C212,'[10]for slip'!$F:$BC,3,0)</f>
        <v>Pelaksana</v>
      </c>
      <c r="E212" s="2" t="str">
        <f>VLOOKUP($C212,'[10]for slip'!$F:$BC,4,0)</f>
        <v>Assembly</v>
      </c>
      <c r="F212" s="2">
        <f>VLOOKUP($C212,'[10]for slip'!$F:$BC,14,0)</f>
        <v>5343083</v>
      </c>
      <c r="G212" s="2">
        <f>VLOOKUP($C212,'[10]for slip'!$F:$BC,15,0)</f>
        <v>0</v>
      </c>
      <c r="H212" s="2">
        <f>VLOOKUP($C212,'[10]for slip'!$F:$BC,16,0)</f>
        <v>0</v>
      </c>
      <c r="I212" s="2">
        <f>VLOOKUP($C212,'[10]for slip'!$F:$BC,17,0)</f>
        <v>0</v>
      </c>
      <c r="J212" s="2">
        <f>VLOOKUP($C212,'[10]for slip'!$F:$BC,27,0)</f>
        <v>0</v>
      </c>
      <c r="K212" s="2">
        <f>VLOOKUP($C212,'[10]for slip'!$F:$BC,31,0)</f>
        <v>0</v>
      </c>
      <c r="L212" s="2">
        <f>VLOOKUP($C212,'[10]for slip'!$F:$BC,35,0)</f>
        <v>0</v>
      </c>
      <c r="M212" s="2">
        <f>VLOOKUP($C212,'[10]for slip'!$F:$BC,36,0)</f>
        <v>0</v>
      </c>
      <c r="N212" s="2">
        <f>VLOOKUP($C212,'[10]for slip'!$F:$BC,37,0)</f>
        <v>0</v>
      </c>
      <c r="O212" s="2">
        <f>VLOOKUP($C212,'[10]for slip'!$F:$BC,38,0)</f>
        <v>0</v>
      </c>
      <c r="P212" s="2">
        <f>VLOOKUP($C212,'[10]for slip'!$F:$BC,39,0)</f>
        <v>38000</v>
      </c>
      <c r="Q212" s="2">
        <f>VLOOKUP($C212,'[10]for slip'!$F:$BC,40,0)</f>
        <v>31700</v>
      </c>
      <c r="R212" s="2">
        <f>VLOOKUP($C212,'[10]for slip'!$F:$BC,41,0)</f>
        <v>0</v>
      </c>
      <c r="S212" s="2">
        <f>VLOOKUP($C212,'[10]for slip'!$F:$BC,42,0)</f>
        <v>10000</v>
      </c>
      <c r="T212" s="2">
        <f>VLOOKUP($C212,'[10]for slip'!$F:$BC,43,0)</f>
        <v>53430.83</v>
      </c>
      <c r="U212" s="2">
        <f>VLOOKUP($C212,'[10]for slip'!$F:$BC,44,0)</f>
        <v>106861.66</v>
      </c>
      <c r="V212" s="2">
        <f>VLOOKUP($C212,'[10]for slip'!$F:$BC,45,0)</f>
        <v>53430.83</v>
      </c>
      <c r="W212" s="2">
        <f>VLOOKUP($C212,'[10]for slip'!$F:$BC,48,0)</f>
        <v>0</v>
      </c>
    </row>
    <row r="213" spans="1:23" x14ac:dyDescent="0.25">
      <c r="A213" s="1">
        <v>212</v>
      </c>
      <c r="B213" s="2" t="s">
        <v>445</v>
      </c>
      <c r="C213" s="2" t="s">
        <v>446</v>
      </c>
      <c r="D213" s="2" t="str">
        <f>VLOOKUP($C213,'[10]for slip'!$F:$BC,3,0)</f>
        <v>Pelaksana</v>
      </c>
      <c r="E213" s="2" t="str">
        <f>VLOOKUP($C213,'[10]for slip'!$F:$BC,4,0)</f>
        <v>Assembly</v>
      </c>
      <c r="F213" s="2">
        <f>VLOOKUP($C213,'[10]for slip'!$F:$BC,14,0)</f>
        <v>5343083</v>
      </c>
      <c r="G213" s="2">
        <f>VLOOKUP($C213,'[10]for slip'!$F:$BC,15,0)</f>
        <v>0</v>
      </c>
      <c r="H213" s="2">
        <f>VLOOKUP($C213,'[10]for slip'!$F:$BC,16,0)</f>
        <v>0</v>
      </c>
      <c r="I213" s="2">
        <f>VLOOKUP($C213,'[10]for slip'!$F:$BC,17,0)</f>
        <v>0</v>
      </c>
      <c r="J213" s="2">
        <f>VLOOKUP($C213,'[10]for slip'!$F:$BC,27,0)</f>
        <v>0</v>
      </c>
      <c r="K213" s="2">
        <f>VLOOKUP($C213,'[10]for slip'!$F:$BC,31,0)</f>
        <v>0</v>
      </c>
      <c r="L213" s="2">
        <f>VLOOKUP($C213,'[10]for slip'!$F:$BC,35,0)</f>
        <v>0</v>
      </c>
      <c r="M213" s="2">
        <f>VLOOKUP($C213,'[10]for slip'!$F:$BC,36,0)</f>
        <v>0</v>
      </c>
      <c r="N213" s="2">
        <f>VLOOKUP($C213,'[10]for slip'!$F:$BC,37,0)</f>
        <v>0</v>
      </c>
      <c r="O213" s="2">
        <f>VLOOKUP($C213,'[10]for slip'!$F:$BC,38,0)</f>
        <v>0</v>
      </c>
      <c r="P213" s="2">
        <f>VLOOKUP($C213,'[10]for slip'!$F:$BC,39,0)</f>
        <v>38000</v>
      </c>
      <c r="Q213" s="2">
        <f>VLOOKUP($C213,'[10]for slip'!$F:$BC,40,0)</f>
        <v>31700</v>
      </c>
      <c r="R213" s="2">
        <f>VLOOKUP($C213,'[10]for slip'!$F:$BC,41,0)</f>
        <v>0</v>
      </c>
      <c r="S213" s="2">
        <f>VLOOKUP($C213,'[10]for slip'!$F:$BC,42,0)</f>
        <v>10000</v>
      </c>
      <c r="T213" s="2">
        <f>VLOOKUP($C213,'[10]for slip'!$F:$BC,43,0)</f>
        <v>53430.83</v>
      </c>
      <c r="U213" s="2">
        <f>VLOOKUP($C213,'[10]for slip'!$F:$BC,44,0)</f>
        <v>106861.66</v>
      </c>
      <c r="V213" s="2">
        <f>VLOOKUP($C213,'[10]for slip'!$F:$BC,45,0)</f>
        <v>53430.83</v>
      </c>
      <c r="W213" s="2">
        <f>VLOOKUP($C213,'[10]for slip'!$F:$BC,48,0)</f>
        <v>0</v>
      </c>
    </row>
    <row r="214" spans="1:23" x14ac:dyDescent="0.25">
      <c r="A214" s="1">
        <v>213</v>
      </c>
      <c r="B214" s="2" t="s">
        <v>447</v>
      </c>
      <c r="C214" s="2" t="s">
        <v>448</v>
      </c>
      <c r="D214" s="2" t="str">
        <f>VLOOKUP($C214,'[10]for slip'!$F:$BC,3,0)</f>
        <v>Pelaksana</v>
      </c>
      <c r="E214" s="2" t="str">
        <f>VLOOKUP($C214,'[10]for slip'!$F:$BC,4,0)</f>
        <v>Assembly</v>
      </c>
      <c r="F214" s="2">
        <f>VLOOKUP($C214,'[10]for slip'!$F:$BC,14,0)</f>
        <v>5343083</v>
      </c>
      <c r="G214" s="2">
        <f>VLOOKUP($C214,'[10]for slip'!$F:$BC,15,0)</f>
        <v>0</v>
      </c>
      <c r="H214" s="2">
        <f>VLOOKUP($C214,'[10]for slip'!$F:$BC,16,0)</f>
        <v>0</v>
      </c>
      <c r="I214" s="2">
        <f>VLOOKUP($C214,'[10]for slip'!$F:$BC,17,0)</f>
        <v>0</v>
      </c>
      <c r="J214" s="2">
        <f>VLOOKUP($C214,'[10]for slip'!$F:$BC,27,0)</f>
        <v>0</v>
      </c>
      <c r="K214" s="2">
        <f>VLOOKUP($C214,'[10]for slip'!$F:$BC,31,0)</f>
        <v>0</v>
      </c>
      <c r="L214" s="2">
        <f>VLOOKUP($C214,'[10]for slip'!$F:$BC,35,0)</f>
        <v>0</v>
      </c>
      <c r="M214" s="2">
        <f>VLOOKUP($C214,'[10]for slip'!$F:$BC,36,0)</f>
        <v>0</v>
      </c>
      <c r="N214" s="2">
        <f>VLOOKUP($C214,'[10]for slip'!$F:$BC,37,0)</f>
        <v>0</v>
      </c>
      <c r="O214" s="2">
        <f>VLOOKUP($C214,'[10]for slip'!$F:$BC,38,0)</f>
        <v>0</v>
      </c>
      <c r="P214" s="2">
        <f>VLOOKUP($C214,'[10]for slip'!$F:$BC,39,0)</f>
        <v>0</v>
      </c>
      <c r="Q214" s="2">
        <f>VLOOKUP($C214,'[10]for slip'!$F:$BC,40,0)</f>
        <v>31700</v>
      </c>
      <c r="R214" s="2">
        <f>VLOOKUP($C214,'[10]for slip'!$F:$BC,41,0)</f>
        <v>0</v>
      </c>
      <c r="S214" s="2">
        <f>VLOOKUP($C214,'[10]for slip'!$F:$BC,42,0)</f>
        <v>10000</v>
      </c>
      <c r="T214" s="2">
        <f>VLOOKUP($C214,'[10]for slip'!$F:$BC,43,0)</f>
        <v>53430.83</v>
      </c>
      <c r="U214" s="2">
        <f>VLOOKUP($C214,'[10]for slip'!$F:$BC,44,0)</f>
        <v>106861.66</v>
      </c>
      <c r="V214" s="2">
        <f>VLOOKUP($C214,'[10]for slip'!$F:$BC,45,0)</f>
        <v>53430.83</v>
      </c>
      <c r="W214" s="2">
        <f>VLOOKUP($C214,'[10]for slip'!$F:$BC,48,0)</f>
        <v>0</v>
      </c>
    </row>
    <row r="215" spans="1:23" x14ac:dyDescent="0.25">
      <c r="A215" s="1">
        <v>214</v>
      </c>
      <c r="B215" s="2" t="s">
        <v>449</v>
      </c>
      <c r="C215" s="2" t="s">
        <v>450</v>
      </c>
      <c r="D215" s="2" t="str">
        <f>VLOOKUP($C215,'[10]for slip'!$F:$BC,3,0)</f>
        <v>Pelaksana</v>
      </c>
      <c r="E215" s="2" t="str">
        <f>VLOOKUP($C215,'[10]for slip'!$F:$BC,4,0)</f>
        <v>Assembly</v>
      </c>
      <c r="F215" s="2">
        <f>VLOOKUP($C215,'[10]for slip'!$F:$BC,14,0)</f>
        <v>5343083</v>
      </c>
      <c r="G215" s="2">
        <f>VLOOKUP($C215,'[10]for slip'!$F:$BC,15,0)</f>
        <v>0</v>
      </c>
      <c r="H215" s="2">
        <f>VLOOKUP($C215,'[10]for slip'!$F:$BC,16,0)</f>
        <v>0</v>
      </c>
      <c r="I215" s="2">
        <f>VLOOKUP($C215,'[10]for slip'!$F:$BC,17,0)</f>
        <v>0</v>
      </c>
      <c r="J215" s="2">
        <f>VLOOKUP($C215,'[10]for slip'!$F:$BC,27,0)</f>
        <v>0</v>
      </c>
      <c r="K215" s="2">
        <f>VLOOKUP($C215,'[10]for slip'!$F:$BC,31,0)</f>
        <v>0</v>
      </c>
      <c r="L215" s="2">
        <f>VLOOKUP($C215,'[10]for slip'!$F:$BC,35,0)</f>
        <v>0</v>
      </c>
      <c r="M215" s="2">
        <f>VLOOKUP($C215,'[10]for slip'!$F:$BC,36,0)</f>
        <v>0</v>
      </c>
      <c r="N215" s="2">
        <f>VLOOKUP($C215,'[10]for slip'!$F:$BC,37,0)</f>
        <v>0</v>
      </c>
      <c r="O215" s="2">
        <f>VLOOKUP($C215,'[10]for slip'!$F:$BC,38,0)</f>
        <v>0</v>
      </c>
      <c r="P215" s="2">
        <f>VLOOKUP($C215,'[10]for slip'!$F:$BC,39,0)</f>
        <v>38000</v>
      </c>
      <c r="Q215" s="2">
        <f>VLOOKUP($C215,'[10]for slip'!$F:$BC,40,0)</f>
        <v>31700</v>
      </c>
      <c r="R215" s="2">
        <f>VLOOKUP($C215,'[10]for slip'!$F:$BC,41,0)</f>
        <v>0</v>
      </c>
      <c r="S215" s="2">
        <f>VLOOKUP($C215,'[10]for slip'!$F:$BC,42,0)</f>
        <v>10000</v>
      </c>
      <c r="T215" s="2">
        <f>VLOOKUP($C215,'[10]for slip'!$F:$BC,43,0)</f>
        <v>53430.83</v>
      </c>
      <c r="U215" s="2">
        <f>VLOOKUP($C215,'[10]for slip'!$F:$BC,44,0)</f>
        <v>106861.66</v>
      </c>
      <c r="V215" s="2">
        <f>VLOOKUP($C215,'[10]for slip'!$F:$BC,45,0)</f>
        <v>53430.83</v>
      </c>
      <c r="W215" s="2">
        <f>VLOOKUP($C215,'[10]for slip'!$F:$BC,48,0)</f>
        <v>0</v>
      </c>
    </row>
    <row r="216" spans="1:23" x14ac:dyDescent="0.25">
      <c r="A216" s="1">
        <v>215</v>
      </c>
      <c r="B216" s="2" t="s">
        <v>451</v>
      </c>
      <c r="C216" s="2" t="s">
        <v>452</v>
      </c>
      <c r="D216" s="2" t="str">
        <f>VLOOKUP($C216,'[10]for slip'!$F:$BC,3,0)</f>
        <v>Pelaksana</v>
      </c>
      <c r="E216" s="2" t="str">
        <f>VLOOKUP($C216,'[10]for slip'!$F:$BC,4,0)</f>
        <v>Assembly</v>
      </c>
      <c r="F216" s="2">
        <f>VLOOKUP($C216,'[10]for slip'!$F:$BC,14,0)</f>
        <v>5343083</v>
      </c>
      <c r="G216" s="2">
        <f>VLOOKUP($C216,'[10]for slip'!$F:$BC,15,0)</f>
        <v>0</v>
      </c>
      <c r="H216" s="2">
        <f>VLOOKUP($C216,'[10]for slip'!$F:$BC,16,0)</f>
        <v>0</v>
      </c>
      <c r="I216" s="2">
        <f>VLOOKUP($C216,'[10]for slip'!$F:$BC,17,0)</f>
        <v>0</v>
      </c>
      <c r="J216" s="2">
        <f>VLOOKUP($C216,'[10]for slip'!$F:$BC,27,0)</f>
        <v>0</v>
      </c>
      <c r="K216" s="2">
        <f>VLOOKUP($C216,'[10]for slip'!$F:$BC,31,0)</f>
        <v>0</v>
      </c>
      <c r="L216" s="2">
        <f>VLOOKUP($C216,'[10]for slip'!$F:$BC,35,0)</f>
        <v>0</v>
      </c>
      <c r="M216" s="2">
        <f>VLOOKUP($C216,'[10]for slip'!$F:$BC,36,0)</f>
        <v>0</v>
      </c>
      <c r="N216" s="2">
        <f>VLOOKUP($C216,'[10]for slip'!$F:$BC,37,0)</f>
        <v>0</v>
      </c>
      <c r="O216" s="2">
        <f>VLOOKUP($C216,'[10]for slip'!$F:$BC,38,0)</f>
        <v>0</v>
      </c>
      <c r="P216" s="2">
        <f>VLOOKUP($C216,'[10]for slip'!$F:$BC,39,0)</f>
        <v>0</v>
      </c>
      <c r="Q216" s="2">
        <f>VLOOKUP($C216,'[10]for slip'!$F:$BC,40,0)</f>
        <v>31700</v>
      </c>
      <c r="R216" s="2">
        <f>VLOOKUP($C216,'[10]for slip'!$F:$BC,41,0)</f>
        <v>0</v>
      </c>
      <c r="S216" s="2">
        <f>VLOOKUP($C216,'[10]for slip'!$F:$BC,42,0)</f>
        <v>10000</v>
      </c>
      <c r="T216" s="2">
        <f>VLOOKUP($C216,'[10]for slip'!$F:$BC,43,0)</f>
        <v>53430.83</v>
      </c>
      <c r="U216" s="2">
        <f>VLOOKUP($C216,'[10]for slip'!$F:$BC,44,0)</f>
        <v>106861.66</v>
      </c>
      <c r="V216" s="2">
        <f>VLOOKUP($C216,'[10]for slip'!$F:$BC,45,0)</f>
        <v>53430.83</v>
      </c>
      <c r="W216" s="2">
        <f>VLOOKUP($C216,'[10]for slip'!$F:$BC,48,0)</f>
        <v>0</v>
      </c>
    </row>
    <row r="217" spans="1:23" x14ac:dyDescent="0.25">
      <c r="A217" s="1">
        <v>216</v>
      </c>
      <c r="B217" s="2" t="s">
        <v>453</v>
      </c>
      <c r="C217" s="2" t="s">
        <v>454</v>
      </c>
      <c r="D217" s="2" t="str">
        <f>VLOOKUP($C217,'[10]for slip'!$F:$BC,3,0)</f>
        <v>Pelaksana</v>
      </c>
      <c r="E217" s="2" t="str">
        <f>VLOOKUP($C217,'[10]for slip'!$F:$BC,4,0)</f>
        <v>Assembly</v>
      </c>
      <c r="F217" s="2">
        <f>VLOOKUP($C217,'[10]for slip'!$F:$BC,14,0)</f>
        <v>5343083</v>
      </c>
      <c r="G217" s="2">
        <f>VLOOKUP($C217,'[10]for slip'!$F:$BC,15,0)</f>
        <v>0</v>
      </c>
      <c r="H217" s="2">
        <f>VLOOKUP($C217,'[10]for slip'!$F:$BC,16,0)</f>
        <v>0</v>
      </c>
      <c r="I217" s="2">
        <f>VLOOKUP($C217,'[10]for slip'!$F:$BC,17,0)</f>
        <v>0</v>
      </c>
      <c r="J217" s="2">
        <f>VLOOKUP($C217,'[10]for slip'!$F:$BC,27,0)</f>
        <v>0</v>
      </c>
      <c r="K217" s="2">
        <f>VLOOKUP($C217,'[10]for slip'!$F:$BC,31,0)</f>
        <v>0</v>
      </c>
      <c r="L217" s="2">
        <f>VLOOKUP($C217,'[10]for slip'!$F:$BC,35,0)</f>
        <v>0</v>
      </c>
      <c r="M217" s="2">
        <f>VLOOKUP($C217,'[10]for slip'!$F:$BC,36,0)</f>
        <v>0</v>
      </c>
      <c r="N217" s="2">
        <f>VLOOKUP($C217,'[10]for slip'!$F:$BC,37,0)</f>
        <v>0</v>
      </c>
      <c r="O217" s="2">
        <f>VLOOKUP($C217,'[10]for slip'!$F:$BC,38,0)</f>
        <v>0</v>
      </c>
      <c r="P217" s="2">
        <f>VLOOKUP($C217,'[10]for slip'!$F:$BC,39,0)</f>
        <v>0</v>
      </c>
      <c r="Q217" s="2">
        <f>VLOOKUP($C217,'[10]for slip'!$F:$BC,40,0)</f>
        <v>31700</v>
      </c>
      <c r="R217" s="2">
        <f>VLOOKUP($C217,'[10]for slip'!$F:$BC,41,0)</f>
        <v>0</v>
      </c>
      <c r="S217" s="2">
        <f>VLOOKUP($C217,'[10]for slip'!$F:$BC,42,0)</f>
        <v>10000</v>
      </c>
      <c r="T217" s="2">
        <f>VLOOKUP($C217,'[10]for slip'!$F:$BC,43,0)</f>
        <v>53430.83</v>
      </c>
      <c r="U217" s="2">
        <f>VLOOKUP($C217,'[10]for slip'!$F:$BC,44,0)</f>
        <v>106861.66</v>
      </c>
      <c r="V217" s="2">
        <f>VLOOKUP($C217,'[10]for slip'!$F:$BC,45,0)</f>
        <v>53430.83</v>
      </c>
      <c r="W217" s="2">
        <f>VLOOKUP($C217,'[10]for slip'!$F:$BC,48,0)</f>
        <v>0</v>
      </c>
    </row>
    <row r="218" spans="1:23" x14ac:dyDescent="0.25">
      <c r="A218" s="1">
        <v>217</v>
      </c>
      <c r="B218" s="2" t="s">
        <v>455</v>
      </c>
      <c r="C218" s="2" t="s">
        <v>456</v>
      </c>
      <c r="D218" s="2" t="str">
        <f>VLOOKUP($C218,'[10]for slip'!$F:$BC,3,0)</f>
        <v>Pelaksana</v>
      </c>
      <c r="E218" s="2" t="str">
        <f>VLOOKUP($C218,'[10]for slip'!$F:$BC,4,0)</f>
        <v>Assembly</v>
      </c>
      <c r="F218" s="2">
        <f>VLOOKUP($C218,'[10]for slip'!$F:$BC,14,0)</f>
        <v>5343083</v>
      </c>
      <c r="G218" s="2">
        <f>VLOOKUP($C218,'[10]for slip'!$F:$BC,15,0)</f>
        <v>0</v>
      </c>
      <c r="H218" s="2">
        <f>VLOOKUP($C218,'[10]for slip'!$F:$BC,16,0)</f>
        <v>0</v>
      </c>
      <c r="I218" s="2">
        <f>VLOOKUP($C218,'[10]for slip'!$F:$BC,17,0)</f>
        <v>0</v>
      </c>
      <c r="J218" s="2">
        <f>VLOOKUP($C218,'[10]for slip'!$F:$BC,27,0)</f>
        <v>0</v>
      </c>
      <c r="K218" s="2">
        <f>VLOOKUP($C218,'[10]for slip'!$F:$BC,31,0)</f>
        <v>0</v>
      </c>
      <c r="L218" s="2">
        <f>VLOOKUP($C218,'[10]for slip'!$F:$BC,35,0)</f>
        <v>34354.584590750004</v>
      </c>
      <c r="M218" s="2">
        <f>VLOOKUP($C218,'[10]for slip'!$F:$BC,36,0)</f>
        <v>0</v>
      </c>
      <c r="N218" s="2">
        <f>VLOOKUP($C218,'[10]for slip'!$F:$BC,37,0)</f>
        <v>0</v>
      </c>
      <c r="O218" s="2">
        <f>VLOOKUP($C218,'[10]for slip'!$F:$BC,38,0)</f>
        <v>0</v>
      </c>
      <c r="P218" s="2">
        <f>VLOOKUP($C218,'[10]for slip'!$F:$BC,39,0)</f>
        <v>0</v>
      </c>
      <c r="Q218" s="2">
        <f>VLOOKUP($C218,'[10]for slip'!$F:$BC,40,0)</f>
        <v>31700</v>
      </c>
      <c r="R218" s="2">
        <f>VLOOKUP($C218,'[10]for slip'!$F:$BC,41,0)</f>
        <v>0</v>
      </c>
      <c r="S218" s="2">
        <f>VLOOKUP($C218,'[10]for slip'!$F:$BC,42,0)</f>
        <v>10000</v>
      </c>
      <c r="T218" s="2">
        <f>VLOOKUP($C218,'[10]for slip'!$F:$BC,43,0)</f>
        <v>53430.83</v>
      </c>
      <c r="U218" s="2">
        <f>VLOOKUP($C218,'[10]for slip'!$F:$BC,44,0)</f>
        <v>106861.66</v>
      </c>
      <c r="V218" s="2">
        <f>VLOOKUP($C218,'[10]for slip'!$F:$BC,45,0)</f>
        <v>53430.83</v>
      </c>
      <c r="W218" s="2">
        <f>VLOOKUP($C218,'[10]for slip'!$F:$BC,48,0)</f>
        <v>34354.584590750004</v>
      </c>
    </row>
    <row r="219" spans="1:23" x14ac:dyDescent="0.25">
      <c r="A219" s="1">
        <v>218</v>
      </c>
      <c r="B219" s="2" t="s">
        <v>457</v>
      </c>
      <c r="C219" s="2" t="s">
        <v>458</v>
      </c>
      <c r="D219" s="2" t="str">
        <f>VLOOKUP($C219,'[10]for slip'!$F:$BC,3,0)</f>
        <v>Pelaksana</v>
      </c>
      <c r="E219" s="2" t="str">
        <f>VLOOKUP($C219,'[10]for slip'!$F:$BC,4,0)</f>
        <v>Assembly</v>
      </c>
      <c r="F219" s="2">
        <f>VLOOKUP($C219,'[10]for slip'!$F:$BC,14,0)</f>
        <v>5343083</v>
      </c>
      <c r="G219" s="2">
        <f>VLOOKUP($C219,'[10]for slip'!$F:$BC,15,0)</f>
        <v>0</v>
      </c>
      <c r="H219" s="2">
        <f>VLOOKUP($C219,'[10]for slip'!$F:$BC,16,0)</f>
        <v>0</v>
      </c>
      <c r="I219" s="2">
        <f>VLOOKUP($C219,'[10]for slip'!$F:$BC,17,0)</f>
        <v>0</v>
      </c>
      <c r="J219" s="2">
        <f>VLOOKUP($C219,'[10]for slip'!$F:$BC,27,0)</f>
        <v>0</v>
      </c>
      <c r="K219" s="2">
        <f>VLOOKUP($C219,'[10]for slip'!$F:$BC,31,0)</f>
        <v>0</v>
      </c>
      <c r="L219" s="2">
        <f>VLOOKUP($C219,'[10]for slip'!$F:$BC,35,0)</f>
        <v>0</v>
      </c>
      <c r="M219" s="2">
        <f>VLOOKUP($C219,'[10]for slip'!$F:$BC,36,0)</f>
        <v>0</v>
      </c>
      <c r="N219" s="2">
        <f>VLOOKUP($C219,'[10]for slip'!$F:$BC,37,0)</f>
        <v>0</v>
      </c>
      <c r="O219" s="2">
        <f>VLOOKUP($C219,'[10]for slip'!$F:$BC,38,0)</f>
        <v>0</v>
      </c>
      <c r="P219" s="2">
        <f>VLOOKUP($C219,'[10]for slip'!$F:$BC,39,0)</f>
        <v>0</v>
      </c>
      <c r="Q219" s="2">
        <f>VLOOKUP($C219,'[10]for slip'!$F:$BC,40,0)</f>
        <v>31700</v>
      </c>
      <c r="R219" s="2">
        <f>VLOOKUP($C219,'[10]for slip'!$F:$BC,41,0)</f>
        <v>0</v>
      </c>
      <c r="S219" s="2">
        <f>VLOOKUP($C219,'[10]for slip'!$F:$BC,42,0)</f>
        <v>0</v>
      </c>
      <c r="T219" s="2">
        <f>VLOOKUP($C219,'[10]for slip'!$F:$BC,43,0)</f>
        <v>53430.83</v>
      </c>
      <c r="U219" s="2">
        <f>VLOOKUP($C219,'[10]for slip'!$F:$BC,44,0)</f>
        <v>106861.66</v>
      </c>
      <c r="V219" s="2">
        <f>VLOOKUP($C219,'[10]for slip'!$F:$BC,45,0)</f>
        <v>53430.83</v>
      </c>
      <c r="W219" s="2">
        <f>VLOOKUP($C219,'[10]for slip'!$F:$BC,48,0)</f>
        <v>0</v>
      </c>
    </row>
    <row r="220" spans="1:23" x14ac:dyDescent="0.25">
      <c r="A220" s="1">
        <v>219</v>
      </c>
      <c r="B220" s="2" t="s">
        <v>459</v>
      </c>
      <c r="C220" s="2" t="s">
        <v>460</v>
      </c>
      <c r="D220" s="2" t="str">
        <f>VLOOKUP($C220,'[10]for slip'!$F:$BC,3,0)</f>
        <v>Pelaksana</v>
      </c>
      <c r="E220" s="2" t="str">
        <f>VLOOKUP($C220,'[10]for slip'!$F:$BC,4,0)</f>
        <v>Assembly</v>
      </c>
      <c r="F220" s="2">
        <f>VLOOKUP($C220,'[10]for slip'!$F:$BC,14,0)</f>
        <v>5343083</v>
      </c>
      <c r="G220" s="2">
        <f>VLOOKUP($C220,'[10]for slip'!$F:$BC,15,0)</f>
        <v>0</v>
      </c>
      <c r="H220" s="2">
        <f>VLOOKUP($C220,'[10]for slip'!$F:$BC,16,0)</f>
        <v>0</v>
      </c>
      <c r="I220" s="2">
        <f>VLOOKUP($C220,'[10]for slip'!$F:$BC,17,0)</f>
        <v>0</v>
      </c>
      <c r="J220" s="2">
        <f>VLOOKUP($C220,'[10]for slip'!$F:$BC,27,0)</f>
        <v>0</v>
      </c>
      <c r="K220" s="2">
        <f>VLOOKUP($C220,'[10]for slip'!$F:$BC,31,0)</f>
        <v>0</v>
      </c>
      <c r="L220" s="2">
        <f>VLOOKUP($C220,'[10]for slip'!$F:$BC,35,0)</f>
        <v>15604.584590750002</v>
      </c>
      <c r="M220" s="2">
        <f>VLOOKUP($C220,'[10]for slip'!$F:$BC,36,0)</f>
        <v>0</v>
      </c>
      <c r="N220" s="2">
        <f>VLOOKUP($C220,'[10]for slip'!$F:$BC,37,0)</f>
        <v>0</v>
      </c>
      <c r="O220" s="2">
        <f>VLOOKUP($C220,'[10]for slip'!$F:$BC,38,0)</f>
        <v>0</v>
      </c>
      <c r="P220" s="2">
        <f>VLOOKUP($C220,'[10]for slip'!$F:$BC,39,0)</f>
        <v>0</v>
      </c>
      <c r="Q220" s="2">
        <f>VLOOKUP($C220,'[10]for slip'!$F:$BC,40,0)</f>
        <v>31700</v>
      </c>
      <c r="R220" s="2">
        <f>VLOOKUP($C220,'[10]for slip'!$F:$BC,41,0)</f>
        <v>0</v>
      </c>
      <c r="S220" s="2">
        <f>VLOOKUP($C220,'[10]for slip'!$F:$BC,42,0)</f>
        <v>10000</v>
      </c>
      <c r="T220" s="2">
        <f>VLOOKUP($C220,'[10]for slip'!$F:$BC,43,0)</f>
        <v>53430.83</v>
      </c>
      <c r="U220" s="2">
        <f>VLOOKUP($C220,'[10]for slip'!$F:$BC,44,0)</f>
        <v>106861.66</v>
      </c>
      <c r="V220" s="2">
        <f>VLOOKUP($C220,'[10]for slip'!$F:$BC,45,0)</f>
        <v>53430.83</v>
      </c>
      <c r="W220" s="2">
        <f>VLOOKUP($C220,'[10]for slip'!$F:$BC,48,0)</f>
        <v>15604.584590750002</v>
      </c>
    </row>
    <row r="221" spans="1:23" x14ac:dyDescent="0.25">
      <c r="A221" s="1">
        <v>220</v>
      </c>
      <c r="B221" s="2" t="s">
        <v>461</v>
      </c>
      <c r="C221" s="2" t="s">
        <v>462</v>
      </c>
      <c r="D221" s="2" t="str">
        <f>VLOOKUP($C221,'[10]for slip'!$F:$BC,3,0)</f>
        <v>Pelaksana</v>
      </c>
      <c r="E221" s="2" t="str">
        <f>VLOOKUP($C221,'[10]for slip'!$F:$BC,4,0)</f>
        <v>Assembly</v>
      </c>
      <c r="F221" s="2">
        <f>VLOOKUP($C221,'[10]for slip'!$F:$BC,14,0)</f>
        <v>5343083</v>
      </c>
      <c r="G221" s="2">
        <f>VLOOKUP($C221,'[10]for slip'!$F:$BC,15,0)</f>
        <v>0</v>
      </c>
      <c r="H221" s="2">
        <f>VLOOKUP($C221,'[10]for slip'!$F:$BC,16,0)</f>
        <v>0</v>
      </c>
      <c r="I221" s="2">
        <f>VLOOKUP($C221,'[10]for slip'!$F:$BC,17,0)</f>
        <v>0</v>
      </c>
      <c r="J221" s="2">
        <f>VLOOKUP($C221,'[10]for slip'!$F:$BC,27,0)</f>
        <v>0</v>
      </c>
      <c r="K221" s="2">
        <f>VLOOKUP($C221,'[10]for slip'!$F:$BC,31,0)</f>
        <v>0</v>
      </c>
      <c r="L221" s="2">
        <f>VLOOKUP($C221,'[10]for slip'!$F:$BC,35,0)</f>
        <v>0</v>
      </c>
      <c r="M221" s="2">
        <f>VLOOKUP($C221,'[10]for slip'!$F:$BC,36,0)</f>
        <v>0</v>
      </c>
      <c r="N221" s="2">
        <f>VLOOKUP($C221,'[10]for slip'!$F:$BC,37,0)</f>
        <v>0</v>
      </c>
      <c r="O221" s="2">
        <f>VLOOKUP($C221,'[10]for slip'!$F:$BC,38,0)</f>
        <v>0</v>
      </c>
      <c r="P221" s="2">
        <f>VLOOKUP($C221,'[10]for slip'!$F:$BC,39,0)</f>
        <v>0</v>
      </c>
      <c r="Q221" s="2">
        <f>VLOOKUP($C221,'[10]for slip'!$F:$BC,40,0)</f>
        <v>31700</v>
      </c>
      <c r="R221" s="2">
        <f>VLOOKUP($C221,'[10]for slip'!$F:$BC,41,0)</f>
        <v>0</v>
      </c>
      <c r="S221" s="2">
        <f>VLOOKUP($C221,'[10]for slip'!$F:$BC,42,0)</f>
        <v>10000</v>
      </c>
      <c r="T221" s="2">
        <f>VLOOKUP($C221,'[10]for slip'!$F:$BC,43,0)</f>
        <v>53430.83</v>
      </c>
      <c r="U221" s="2">
        <f>VLOOKUP($C221,'[10]for slip'!$F:$BC,44,0)</f>
        <v>106861.66</v>
      </c>
      <c r="V221" s="2">
        <f>VLOOKUP($C221,'[10]for slip'!$F:$BC,45,0)</f>
        <v>53430.83</v>
      </c>
      <c r="W221" s="2">
        <f>VLOOKUP($C221,'[10]for slip'!$F:$BC,48,0)</f>
        <v>0</v>
      </c>
    </row>
    <row r="222" spans="1:23" x14ac:dyDescent="0.25">
      <c r="A222" s="1">
        <v>221</v>
      </c>
      <c r="B222" s="2" t="s">
        <v>463</v>
      </c>
      <c r="C222" s="2" t="s">
        <v>464</v>
      </c>
      <c r="D222" s="2" t="str">
        <f>VLOOKUP($C222,'[10]for slip'!$F:$BC,3,0)</f>
        <v>Pelaksana</v>
      </c>
      <c r="E222" s="2" t="str">
        <f>VLOOKUP($C222,'[10]for slip'!$F:$BC,4,0)</f>
        <v>Assembly</v>
      </c>
      <c r="F222" s="2">
        <f>VLOOKUP($C222,'[10]for slip'!$F:$BC,14,0)</f>
        <v>5343083</v>
      </c>
      <c r="G222" s="2">
        <f>VLOOKUP($C222,'[10]for slip'!$F:$BC,15,0)</f>
        <v>0</v>
      </c>
      <c r="H222" s="2">
        <f>VLOOKUP($C222,'[10]for slip'!$F:$BC,16,0)</f>
        <v>0</v>
      </c>
      <c r="I222" s="2">
        <f>VLOOKUP($C222,'[10]for slip'!$F:$BC,17,0)</f>
        <v>0</v>
      </c>
      <c r="J222" s="2">
        <f>VLOOKUP($C222,'[10]for slip'!$F:$BC,27,0)</f>
        <v>0</v>
      </c>
      <c r="K222" s="2">
        <f>VLOOKUP($C222,'[10]for slip'!$F:$BC,31,0)</f>
        <v>0</v>
      </c>
      <c r="L222" s="2">
        <f>VLOOKUP($C222,'[10]for slip'!$F:$BC,35,0)</f>
        <v>0</v>
      </c>
      <c r="M222" s="2">
        <f>VLOOKUP($C222,'[10]for slip'!$F:$BC,36,0)</f>
        <v>0</v>
      </c>
      <c r="N222" s="2">
        <f>VLOOKUP($C222,'[10]for slip'!$F:$BC,37,0)</f>
        <v>0</v>
      </c>
      <c r="O222" s="2">
        <f>VLOOKUP($C222,'[10]for slip'!$F:$BC,38,0)</f>
        <v>0</v>
      </c>
      <c r="P222" s="2">
        <f>VLOOKUP($C222,'[10]for slip'!$F:$BC,39,0)</f>
        <v>0</v>
      </c>
      <c r="Q222" s="2">
        <f>VLOOKUP($C222,'[10]for slip'!$F:$BC,40,0)</f>
        <v>31700</v>
      </c>
      <c r="R222" s="2">
        <f>VLOOKUP($C222,'[10]for slip'!$F:$BC,41,0)</f>
        <v>0</v>
      </c>
      <c r="S222" s="2">
        <f>VLOOKUP($C222,'[10]for slip'!$F:$BC,42,0)</f>
        <v>0</v>
      </c>
      <c r="T222" s="2">
        <f>VLOOKUP($C222,'[10]for slip'!$F:$BC,43,0)</f>
        <v>53430.83</v>
      </c>
      <c r="U222" s="2">
        <f>VLOOKUP($C222,'[10]for slip'!$F:$BC,44,0)</f>
        <v>106861.66</v>
      </c>
      <c r="V222" s="2">
        <f>VLOOKUP($C222,'[10]for slip'!$F:$BC,45,0)</f>
        <v>53430.83</v>
      </c>
      <c r="W222" s="2">
        <f>VLOOKUP($C222,'[10]for slip'!$F:$BC,48,0)</f>
        <v>0</v>
      </c>
    </row>
    <row r="223" spans="1:23" x14ac:dyDescent="0.25">
      <c r="A223" s="1">
        <v>222</v>
      </c>
      <c r="B223" s="2" t="s">
        <v>465</v>
      </c>
      <c r="C223" s="2" t="s">
        <v>466</v>
      </c>
      <c r="D223" s="2" t="str">
        <f>VLOOKUP($C223,'[10]for slip'!$F:$BC,3,0)</f>
        <v>Pelaksana</v>
      </c>
      <c r="E223" s="2" t="str">
        <f>VLOOKUP($C223,'[10]for slip'!$F:$BC,4,0)</f>
        <v>Assembly</v>
      </c>
      <c r="F223" s="2">
        <f>VLOOKUP($C223,'[10]for slip'!$F:$BC,14,0)</f>
        <v>5343083</v>
      </c>
      <c r="G223" s="2">
        <f>VLOOKUP($C223,'[10]for slip'!$F:$BC,15,0)</f>
        <v>0</v>
      </c>
      <c r="H223" s="2">
        <f>VLOOKUP($C223,'[10]for slip'!$F:$BC,16,0)</f>
        <v>0</v>
      </c>
      <c r="I223" s="2">
        <f>VLOOKUP($C223,'[10]for slip'!$F:$BC,17,0)</f>
        <v>0</v>
      </c>
      <c r="J223" s="2">
        <f>VLOOKUP($C223,'[10]for slip'!$F:$BC,27,0)</f>
        <v>0</v>
      </c>
      <c r="K223" s="2">
        <f>VLOOKUP($C223,'[10]for slip'!$F:$BC,31,0)</f>
        <v>0</v>
      </c>
      <c r="L223" s="2">
        <f>VLOOKUP($C223,'[10]for slip'!$F:$BC,35,0)</f>
        <v>15604.584590750002</v>
      </c>
      <c r="M223" s="2">
        <f>VLOOKUP($C223,'[10]for slip'!$F:$BC,36,0)</f>
        <v>0</v>
      </c>
      <c r="N223" s="2">
        <f>VLOOKUP($C223,'[10]for slip'!$F:$BC,37,0)</f>
        <v>0</v>
      </c>
      <c r="O223" s="2">
        <f>VLOOKUP($C223,'[10]for slip'!$F:$BC,38,0)</f>
        <v>0</v>
      </c>
      <c r="P223" s="2">
        <f>VLOOKUP($C223,'[10]for slip'!$F:$BC,39,0)</f>
        <v>38000</v>
      </c>
      <c r="Q223" s="2">
        <f>VLOOKUP($C223,'[10]for slip'!$F:$BC,40,0)</f>
        <v>31700</v>
      </c>
      <c r="R223" s="2">
        <f>VLOOKUP($C223,'[10]for slip'!$F:$BC,41,0)</f>
        <v>0</v>
      </c>
      <c r="S223" s="2">
        <f>VLOOKUP($C223,'[10]for slip'!$F:$BC,42,0)</f>
        <v>10000</v>
      </c>
      <c r="T223" s="2">
        <f>VLOOKUP($C223,'[10]for slip'!$F:$BC,43,0)</f>
        <v>53430.83</v>
      </c>
      <c r="U223" s="2">
        <f>VLOOKUP($C223,'[10]for slip'!$F:$BC,44,0)</f>
        <v>106861.66</v>
      </c>
      <c r="V223" s="2">
        <f>VLOOKUP($C223,'[10]for slip'!$F:$BC,45,0)</f>
        <v>53430.83</v>
      </c>
      <c r="W223" s="2">
        <f>VLOOKUP($C223,'[10]for slip'!$F:$BC,48,0)</f>
        <v>15604.584590750002</v>
      </c>
    </row>
    <row r="224" spans="1:23" x14ac:dyDescent="0.25">
      <c r="A224" s="1">
        <v>223</v>
      </c>
      <c r="B224" s="2" t="s">
        <v>467</v>
      </c>
      <c r="C224" s="2" t="s">
        <v>468</v>
      </c>
      <c r="D224" s="2" t="str">
        <f>VLOOKUP($C224,'[10]for slip'!$F:$BC,3,0)</f>
        <v>Pelaksana</v>
      </c>
      <c r="E224" s="2" t="str">
        <f>VLOOKUP($C224,'[10]for slip'!$F:$BC,4,0)</f>
        <v>Assembly</v>
      </c>
      <c r="F224" s="2">
        <f>VLOOKUP($C224,'[10]for slip'!$F:$BC,14,0)</f>
        <v>5343083</v>
      </c>
      <c r="G224" s="2">
        <f>VLOOKUP($C224,'[10]for slip'!$F:$BC,15,0)</f>
        <v>0</v>
      </c>
      <c r="H224" s="2">
        <f>VLOOKUP($C224,'[10]for slip'!$F:$BC,16,0)</f>
        <v>0</v>
      </c>
      <c r="I224" s="2">
        <f>VLOOKUP($C224,'[10]for slip'!$F:$BC,17,0)</f>
        <v>0</v>
      </c>
      <c r="J224" s="2">
        <f>VLOOKUP($C224,'[10]for slip'!$F:$BC,27,0)</f>
        <v>0</v>
      </c>
      <c r="K224" s="2">
        <f>VLOOKUP($C224,'[10]for slip'!$F:$BC,31,0)</f>
        <v>0</v>
      </c>
      <c r="L224" s="2">
        <f>VLOOKUP($C224,'[10]for slip'!$F:$BC,35,0)</f>
        <v>0</v>
      </c>
      <c r="M224" s="2">
        <f>VLOOKUP($C224,'[10]for slip'!$F:$BC,36,0)</f>
        <v>0</v>
      </c>
      <c r="N224" s="2">
        <f>VLOOKUP($C224,'[10]for slip'!$F:$BC,37,0)</f>
        <v>0</v>
      </c>
      <c r="O224" s="2">
        <f>VLOOKUP($C224,'[10]for slip'!$F:$BC,38,0)</f>
        <v>0</v>
      </c>
      <c r="P224" s="2">
        <f>VLOOKUP($C224,'[10]for slip'!$F:$BC,39,0)</f>
        <v>38000</v>
      </c>
      <c r="Q224" s="2">
        <f>VLOOKUP($C224,'[10]for slip'!$F:$BC,40,0)</f>
        <v>31700</v>
      </c>
      <c r="R224" s="2">
        <f>VLOOKUP($C224,'[10]for slip'!$F:$BC,41,0)</f>
        <v>0</v>
      </c>
      <c r="S224" s="2">
        <f>VLOOKUP($C224,'[10]for slip'!$F:$BC,42,0)</f>
        <v>10000</v>
      </c>
      <c r="T224" s="2">
        <f>VLOOKUP($C224,'[10]for slip'!$F:$BC,43,0)</f>
        <v>53430.83</v>
      </c>
      <c r="U224" s="2">
        <f>VLOOKUP($C224,'[10]for slip'!$F:$BC,44,0)</f>
        <v>106861.66</v>
      </c>
      <c r="V224" s="2">
        <f>VLOOKUP($C224,'[10]for slip'!$F:$BC,45,0)</f>
        <v>53430.83</v>
      </c>
      <c r="W224" s="2">
        <f>VLOOKUP($C224,'[10]for slip'!$F:$BC,48,0)</f>
        <v>0</v>
      </c>
    </row>
    <row r="225" spans="1:23" x14ac:dyDescent="0.25">
      <c r="A225" s="1">
        <v>224</v>
      </c>
      <c r="B225" s="2" t="s">
        <v>469</v>
      </c>
      <c r="C225" s="2" t="s">
        <v>470</v>
      </c>
      <c r="D225" s="2" t="str">
        <f>VLOOKUP($C225,'[10]for slip'!$F:$BC,3,0)</f>
        <v>Pelaksana</v>
      </c>
      <c r="E225" s="2" t="str">
        <f>VLOOKUP($C225,'[10]for slip'!$F:$BC,4,0)</f>
        <v>Assembly</v>
      </c>
      <c r="F225" s="2">
        <f>VLOOKUP($C225,'[10]for slip'!$F:$BC,14,0)</f>
        <v>5343083</v>
      </c>
      <c r="G225" s="2">
        <f>VLOOKUP($C225,'[10]for slip'!$F:$BC,15,0)</f>
        <v>0</v>
      </c>
      <c r="H225" s="2">
        <f>VLOOKUP($C225,'[10]for slip'!$F:$BC,16,0)</f>
        <v>0</v>
      </c>
      <c r="I225" s="2">
        <f>VLOOKUP($C225,'[10]for slip'!$F:$BC,17,0)</f>
        <v>0</v>
      </c>
      <c r="J225" s="2">
        <f>VLOOKUP($C225,'[10]for slip'!$F:$BC,27,0)</f>
        <v>0</v>
      </c>
      <c r="K225" s="2">
        <f>VLOOKUP($C225,'[10]for slip'!$F:$BC,31,0)</f>
        <v>0</v>
      </c>
      <c r="L225" s="2">
        <f>VLOOKUP($C225,'[10]for slip'!$F:$BC,35,0)</f>
        <v>0</v>
      </c>
      <c r="M225" s="2">
        <f>VLOOKUP($C225,'[10]for slip'!$F:$BC,36,0)</f>
        <v>0</v>
      </c>
      <c r="N225" s="2">
        <f>VLOOKUP($C225,'[10]for slip'!$F:$BC,37,0)</f>
        <v>0</v>
      </c>
      <c r="O225" s="2">
        <f>VLOOKUP($C225,'[10]for slip'!$F:$BC,38,0)</f>
        <v>0</v>
      </c>
      <c r="P225" s="2">
        <f>VLOOKUP($C225,'[10]for slip'!$F:$BC,39,0)</f>
        <v>38000</v>
      </c>
      <c r="Q225" s="2">
        <f>VLOOKUP($C225,'[10]for slip'!$F:$BC,40,0)</f>
        <v>31700</v>
      </c>
      <c r="R225" s="2">
        <f>VLOOKUP($C225,'[10]for slip'!$F:$BC,41,0)</f>
        <v>0</v>
      </c>
      <c r="S225" s="2">
        <f>VLOOKUP($C225,'[10]for slip'!$F:$BC,42,0)</f>
        <v>10000</v>
      </c>
      <c r="T225" s="2">
        <f>VLOOKUP($C225,'[10]for slip'!$F:$BC,43,0)</f>
        <v>53430.83</v>
      </c>
      <c r="U225" s="2">
        <f>VLOOKUP($C225,'[10]for slip'!$F:$BC,44,0)</f>
        <v>106861.66</v>
      </c>
      <c r="V225" s="2">
        <f>VLOOKUP($C225,'[10]for slip'!$F:$BC,45,0)</f>
        <v>53430.83</v>
      </c>
      <c r="W225" s="2">
        <f>VLOOKUP($C225,'[10]for slip'!$F:$BC,48,0)</f>
        <v>0</v>
      </c>
    </row>
    <row r="226" spans="1:23" x14ac:dyDescent="0.25">
      <c r="A226" s="1">
        <v>225</v>
      </c>
      <c r="B226" s="2" t="s">
        <v>471</v>
      </c>
      <c r="C226" s="2" t="s">
        <v>472</v>
      </c>
      <c r="D226" s="2" t="str">
        <f>VLOOKUP($C226,'[10]for slip'!$F:$BC,3,0)</f>
        <v>Pelaksana</v>
      </c>
      <c r="E226" s="2" t="str">
        <f>VLOOKUP($C226,'[10]for slip'!$F:$BC,4,0)</f>
        <v>Assembly</v>
      </c>
      <c r="F226" s="2">
        <f>VLOOKUP($C226,'[10]for slip'!$F:$BC,14,0)</f>
        <v>5343083</v>
      </c>
      <c r="G226" s="2">
        <f>VLOOKUP($C226,'[10]for slip'!$F:$BC,15,0)</f>
        <v>0</v>
      </c>
      <c r="H226" s="2">
        <f>VLOOKUP($C226,'[10]for slip'!$F:$BC,16,0)</f>
        <v>0</v>
      </c>
      <c r="I226" s="2">
        <f>VLOOKUP($C226,'[10]for slip'!$F:$BC,17,0)</f>
        <v>0</v>
      </c>
      <c r="J226" s="2">
        <f>VLOOKUP($C226,'[10]for slip'!$F:$BC,27,0)</f>
        <v>0</v>
      </c>
      <c r="K226" s="2">
        <f>VLOOKUP($C226,'[10]for slip'!$F:$BC,31,0)</f>
        <v>0</v>
      </c>
      <c r="L226" s="2">
        <f>VLOOKUP($C226,'[10]for slip'!$F:$BC,35,0)</f>
        <v>0</v>
      </c>
      <c r="M226" s="2">
        <f>VLOOKUP($C226,'[10]for slip'!$F:$BC,36,0)</f>
        <v>0</v>
      </c>
      <c r="N226" s="2">
        <f>VLOOKUP($C226,'[10]for slip'!$F:$BC,37,0)</f>
        <v>0</v>
      </c>
      <c r="O226" s="2">
        <f>VLOOKUP($C226,'[10]for slip'!$F:$BC,38,0)</f>
        <v>0</v>
      </c>
      <c r="P226" s="2">
        <f>VLOOKUP($C226,'[10]for slip'!$F:$BC,39,0)</f>
        <v>38000</v>
      </c>
      <c r="Q226" s="2">
        <f>VLOOKUP($C226,'[10]for slip'!$F:$BC,40,0)</f>
        <v>31700</v>
      </c>
      <c r="R226" s="2">
        <f>VLOOKUP($C226,'[10]for slip'!$F:$BC,41,0)</f>
        <v>0</v>
      </c>
      <c r="S226" s="2">
        <f>VLOOKUP($C226,'[10]for slip'!$F:$BC,42,0)</f>
        <v>10000</v>
      </c>
      <c r="T226" s="2">
        <f>VLOOKUP($C226,'[10]for slip'!$F:$BC,43,0)</f>
        <v>53430.83</v>
      </c>
      <c r="U226" s="2">
        <f>VLOOKUP($C226,'[10]for slip'!$F:$BC,44,0)</f>
        <v>106861.66</v>
      </c>
      <c r="V226" s="2">
        <f>VLOOKUP($C226,'[10]for slip'!$F:$BC,45,0)</f>
        <v>53430.83</v>
      </c>
      <c r="W226" s="2">
        <f>VLOOKUP($C226,'[10]for slip'!$F:$BC,48,0)</f>
        <v>0</v>
      </c>
    </row>
    <row r="227" spans="1:23" x14ac:dyDescent="0.25">
      <c r="A227" s="1">
        <v>226</v>
      </c>
      <c r="B227" s="2" t="s">
        <v>473</v>
      </c>
      <c r="C227" s="2" t="s">
        <v>474</v>
      </c>
      <c r="D227" s="2" t="str">
        <f>VLOOKUP($C227,'[10]for slip'!$F:$BC,3,0)</f>
        <v>Pelaksana</v>
      </c>
      <c r="E227" s="2" t="str">
        <f>VLOOKUP($C227,'[10]for slip'!$F:$BC,4,0)</f>
        <v>Assembly</v>
      </c>
      <c r="F227" s="2">
        <f>VLOOKUP($C227,'[10]for slip'!$F:$BC,14,0)</f>
        <v>5343083</v>
      </c>
      <c r="G227" s="2">
        <f>VLOOKUP($C227,'[10]for slip'!$F:$BC,15,0)</f>
        <v>0</v>
      </c>
      <c r="H227" s="2">
        <f>VLOOKUP($C227,'[10]for slip'!$F:$BC,16,0)</f>
        <v>0</v>
      </c>
      <c r="I227" s="2">
        <f>VLOOKUP($C227,'[10]for slip'!$F:$BC,17,0)</f>
        <v>0</v>
      </c>
      <c r="J227" s="2">
        <f>VLOOKUP($C227,'[10]for slip'!$F:$BC,27,0)</f>
        <v>0</v>
      </c>
      <c r="K227" s="2">
        <f>VLOOKUP($C227,'[10]for slip'!$F:$BC,31,0)</f>
        <v>0</v>
      </c>
      <c r="L227" s="2">
        <f>VLOOKUP($C227,'[10]for slip'!$F:$BC,35,0)</f>
        <v>15604.584590750002</v>
      </c>
      <c r="M227" s="2">
        <f>VLOOKUP($C227,'[10]for slip'!$F:$BC,36,0)</f>
        <v>0</v>
      </c>
      <c r="N227" s="2">
        <f>VLOOKUP($C227,'[10]for slip'!$F:$BC,37,0)</f>
        <v>0</v>
      </c>
      <c r="O227" s="2">
        <f>VLOOKUP($C227,'[10]for slip'!$F:$BC,38,0)</f>
        <v>0</v>
      </c>
      <c r="P227" s="2">
        <f>VLOOKUP($C227,'[10]for slip'!$F:$BC,39,0)</f>
        <v>38000</v>
      </c>
      <c r="Q227" s="2">
        <f>VLOOKUP($C227,'[10]for slip'!$F:$BC,40,0)</f>
        <v>31700</v>
      </c>
      <c r="R227" s="2">
        <f>VLOOKUP($C227,'[10]for slip'!$F:$BC,41,0)</f>
        <v>0</v>
      </c>
      <c r="S227" s="2">
        <f>VLOOKUP($C227,'[10]for slip'!$F:$BC,42,0)</f>
        <v>10000</v>
      </c>
      <c r="T227" s="2">
        <f>VLOOKUP($C227,'[10]for slip'!$F:$BC,43,0)</f>
        <v>53430.83</v>
      </c>
      <c r="U227" s="2">
        <f>VLOOKUP($C227,'[10]for slip'!$F:$BC,44,0)</f>
        <v>106861.66</v>
      </c>
      <c r="V227" s="2">
        <f>VLOOKUP($C227,'[10]for slip'!$F:$BC,45,0)</f>
        <v>53430.83</v>
      </c>
      <c r="W227" s="2">
        <f>VLOOKUP($C227,'[10]for slip'!$F:$BC,48,0)</f>
        <v>15604.584590750002</v>
      </c>
    </row>
    <row r="228" spans="1:23" x14ac:dyDescent="0.25">
      <c r="A228" s="1">
        <v>227</v>
      </c>
      <c r="B228" s="2" t="s">
        <v>475</v>
      </c>
      <c r="C228" s="2" t="s">
        <v>476</v>
      </c>
      <c r="D228" s="2" t="str">
        <f>VLOOKUP($C228,'[10]for slip'!$F:$BC,3,0)</f>
        <v>Pelaksana</v>
      </c>
      <c r="E228" s="2" t="str">
        <f>VLOOKUP($C228,'[10]for slip'!$F:$BC,4,0)</f>
        <v>Assembly</v>
      </c>
      <c r="F228" s="2">
        <f>VLOOKUP($C228,'[10]for slip'!$F:$BC,14,0)</f>
        <v>5343083</v>
      </c>
      <c r="G228" s="2">
        <f>VLOOKUP($C228,'[10]for slip'!$F:$BC,15,0)</f>
        <v>0</v>
      </c>
      <c r="H228" s="2">
        <f>VLOOKUP($C228,'[10]for slip'!$F:$BC,16,0)</f>
        <v>0</v>
      </c>
      <c r="I228" s="2">
        <f>VLOOKUP($C228,'[10]for slip'!$F:$BC,17,0)</f>
        <v>0</v>
      </c>
      <c r="J228" s="2">
        <f>VLOOKUP($C228,'[10]for slip'!$F:$BC,27,0)</f>
        <v>0</v>
      </c>
      <c r="K228" s="2">
        <f>VLOOKUP($C228,'[10]for slip'!$F:$BC,31,0)</f>
        <v>0</v>
      </c>
      <c r="L228" s="2">
        <f>VLOOKUP($C228,'[10]for slip'!$F:$BC,35,0)</f>
        <v>34354.584590750004</v>
      </c>
      <c r="M228" s="2">
        <f>VLOOKUP($C228,'[10]for slip'!$F:$BC,36,0)</f>
        <v>0</v>
      </c>
      <c r="N228" s="2">
        <f>VLOOKUP($C228,'[10]for slip'!$F:$BC,37,0)</f>
        <v>0</v>
      </c>
      <c r="O228" s="2">
        <f>VLOOKUP($C228,'[10]for slip'!$F:$BC,38,0)</f>
        <v>0</v>
      </c>
      <c r="P228" s="2">
        <f>VLOOKUP($C228,'[10]for slip'!$F:$BC,39,0)</f>
        <v>38000</v>
      </c>
      <c r="Q228" s="2">
        <f>VLOOKUP($C228,'[10]for slip'!$F:$BC,40,0)</f>
        <v>31700</v>
      </c>
      <c r="R228" s="2">
        <f>VLOOKUP($C228,'[10]for slip'!$F:$BC,41,0)</f>
        <v>0</v>
      </c>
      <c r="S228" s="2">
        <f>VLOOKUP($C228,'[10]for slip'!$F:$BC,42,0)</f>
        <v>10000</v>
      </c>
      <c r="T228" s="2">
        <f>VLOOKUP($C228,'[10]for slip'!$F:$BC,43,0)</f>
        <v>53430.83</v>
      </c>
      <c r="U228" s="2">
        <f>VLOOKUP($C228,'[10]for slip'!$F:$BC,44,0)</f>
        <v>106861.66</v>
      </c>
      <c r="V228" s="2">
        <f>VLOOKUP($C228,'[10]for slip'!$F:$BC,45,0)</f>
        <v>53430.83</v>
      </c>
      <c r="W228" s="2">
        <f>VLOOKUP($C228,'[10]for slip'!$F:$BC,48,0)</f>
        <v>34354.584590750004</v>
      </c>
    </row>
    <row r="229" spans="1:23" x14ac:dyDescent="0.25">
      <c r="A229" s="1">
        <v>228</v>
      </c>
      <c r="B229" s="2" t="s">
        <v>477</v>
      </c>
      <c r="C229" s="2" t="s">
        <v>478</v>
      </c>
      <c r="D229" s="2" t="str">
        <f>VLOOKUP($C229,'[10]for slip'!$F:$BC,3,0)</f>
        <v>Pelaksana</v>
      </c>
      <c r="E229" s="2" t="str">
        <f>VLOOKUP($C229,'[10]for slip'!$F:$BC,4,0)</f>
        <v>Assembly</v>
      </c>
      <c r="F229" s="2">
        <f>VLOOKUP($C229,'[10]for slip'!$F:$BC,14,0)</f>
        <v>5343083</v>
      </c>
      <c r="G229" s="2">
        <f>VLOOKUP($C229,'[10]for slip'!$F:$BC,15,0)</f>
        <v>0</v>
      </c>
      <c r="H229" s="2">
        <f>VLOOKUP($C229,'[10]for slip'!$F:$BC,16,0)</f>
        <v>0</v>
      </c>
      <c r="I229" s="2">
        <f>VLOOKUP($C229,'[10]for slip'!$F:$BC,17,0)</f>
        <v>0</v>
      </c>
      <c r="J229" s="2">
        <f>VLOOKUP($C229,'[10]for slip'!$F:$BC,27,0)</f>
        <v>0</v>
      </c>
      <c r="K229" s="2">
        <f>VLOOKUP($C229,'[10]for slip'!$F:$BC,31,0)</f>
        <v>0</v>
      </c>
      <c r="L229" s="2">
        <f>VLOOKUP($C229,'[10]for slip'!$F:$BC,35,0)</f>
        <v>34354.584590750004</v>
      </c>
      <c r="M229" s="2">
        <f>VLOOKUP($C229,'[10]for slip'!$F:$BC,36,0)</f>
        <v>0</v>
      </c>
      <c r="N229" s="2">
        <f>VLOOKUP($C229,'[10]for slip'!$F:$BC,37,0)</f>
        <v>0</v>
      </c>
      <c r="O229" s="2">
        <f>VLOOKUP($C229,'[10]for slip'!$F:$BC,38,0)</f>
        <v>0</v>
      </c>
      <c r="P229" s="2">
        <f>VLOOKUP($C229,'[10]for slip'!$F:$BC,39,0)</f>
        <v>38000</v>
      </c>
      <c r="Q229" s="2">
        <f>VLOOKUP($C229,'[10]for slip'!$F:$BC,40,0)</f>
        <v>31700</v>
      </c>
      <c r="R229" s="2">
        <f>VLOOKUP($C229,'[10]for slip'!$F:$BC,41,0)</f>
        <v>0</v>
      </c>
      <c r="S229" s="2">
        <f>VLOOKUP($C229,'[10]for slip'!$F:$BC,42,0)</f>
        <v>0</v>
      </c>
      <c r="T229" s="2">
        <f>VLOOKUP($C229,'[10]for slip'!$F:$BC,43,0)</f>
        <v>53430.83</v>
      </c>
      <c r="U229" s="2">
        <f>VLOOKUP($C229,'[10]for slip'!$F:$BC,44,0)</f>
        <v>106861.66</v>
      </c>
      <c r="V229" s="2">
        <f>VLOOKUP($C229,'[10]for slip'!$F:$BC,45,0)</f>
        <v>53430.83</v>
      </c>
      <c r="W229" s="2">
        <f>VLOOKUP($C229,'[10]for slip'!$F:$BC,48,0)</f>
        <v>34354.584590750004</v>
      </c>
    </row>
    <row r="230" spans="1:23" x14ac:dyDescent="0.25">
      <c r="A230" s="1">
        <v>229</v>
      </c>
      <c r="B230" s="2" t="s">
        <v>479</v>
      </c>
      <c r="C230" s="2" t="s">
        <v>480</v>
      </c>
      <c r="D230" s="2" t="str">
        <f>VLOOKUP($C230,'[10]for slip'!$F:$BC,3,0)</f>
        <v>Pelaksana</v>
      </c>
      <c r="E230" s="2" t="str">
        <f>VLOOKUP($C230,'[10]for slip'!$F:$BC,4,0)</f>
        <v>Assembly</v>
      </c>
      <c r="F230" s="2">
        <f>VLOOKUP($C230,'[10]for slip'!$F:$BC,14,0)</f>
        <v>5343083</v>
      </c>
      <c r="G230" s="2">
        <f>VLOOKUP($C230,'[10]for slip'!$F:$BC,15,0)</f>
        <v>0</v>
      </c>
      <c r="H230" s="2">
        <f>VLOOKUP($C230,'[10]for slip'!$F:$BC,16,0)</f>
        <v>0</v>
      </c>
      <c r="I230" s="2">
        <f>VLOOKUP($C230,'[10]for slip'!$F:$BC,17,0)</f>
        <v>0</v>
      </c>
      <c r="J230" s="2">
        <f>VLOOKUP($C230,'[10]for slip'!$F:$BC,27,0)</f>
        <v>0</v>
      </c>
      <c r="K230" s="2">
        <f>VLOOKUP($C230,'[10]for slip'!$F:$BC,31,0)</f>
        <v>0</v>
      </c>
      <c r="L230" s="2">
        <f>VLOOKUP($C230,'[10]for slip'!$F:$BC,35,0)</f>
        <v>0</v>
      </c>
      <c r="M230" s="2">
        <f>VLOOKUP($C230,'[10]for slip'!$F:$BC,36,0)</f>
        <v>0</v>
      </c>
      <c r="N230" s="2">
        <f>VLOOKUP($C230,'[10]for slip'!$F:$BC,37,0)</f>
        <v>0</v>
      </c>
      <c r="O230" s="2">
        <f>VLOOKUP($C230,'[10]for slip'!$F:$BC,38,0)</f>
        <v>0</v>
      </c>
      <c r="P230" s="2">
        <f>VLOOKUP($C230,'[10]for slip'!$F:$BC,39,0)</f>
        <v>38000</v>
      </c>
      <c r="Q230" s="2">
        <f>VLOOKUP($C230,'[10]for slip'!$F:$BC,40,0)</f>
        <v>31700</v>
      </c>
      <c r="R230" s="2">
        <f>VLOOKUP($C230,'[10]for slip'!$F:$BC,41,0)</f>
        <v>0</v>
      </c>
      <c r="S230" s="2">
        <f>VLOOKUP($C230,'[10]for slip'!$F:$BC,42,0)</f>
        <v>10000</v>
      </c>
      <c r="T230" s="2">
        <f>VLOOKUP($C230,'[10]for slip'!$F:$BC,43,0)</f>
        <v>53430.83</v>
      </c>
      <c r="U230" s="2">
        <f>VLOOKUP($C230,'[10]for slip'!$F:$BC,44,0)</f>
        <v>106861.66</v>
      </c>
      <c r="V230" s="2">
        <f>VLOOKUP($C230,'[10]for slip'!$F:$BC,45,0)</f>
        <v>53430.83</v>
      </c>
      <c r="W230" s="2">
        <f>VLOOKUP($C230,'[10]for slip'!$F:$BC,48,0)</f>
        <v>0</v>
      </c>
    </row>
    <row r="231" spans="1:23" x14ac:dyDescent="0.25">
      <c r="A231" s="1">
        <v>230</v>
      </c>
      <c r="B231" s="2" t="s">
        <v>481</v>
      </c>
      <c r="C231" s="2" t="s">
        <v>482</v>
      </c>
      <c r="D231" s="2" t="str">
        <f>VLOOKUP($C231,'[10]for slip'!$F:$BC,3,0)</f>
        <v>Pelaksana</v>
      </c>
      <c r="E231" s="2" t="str">
        <f>VLOOKUP($C231,'[10]for slip'!$F:$BC,4,0)</f>
        <v>Assembly</v>
      </c>
      <c r="F231" s="2">
        <f>VLOOKUP($C231,'[10]for slip'!$F:$BC,14,0)</f>
        <v>5343083</v>
      </c>
      <c r="G231" s="2">
        <f>VLOOKUP($C231,'[10]for slip'!$F:$BC,15,0)</f>
        <v>0</v>
      </c>
      <c r="H231" s="2">
        <f>VLOOKUP($C231,'[10]for slip'!$F:$BC,16,0)</f>
        <v>0</v>
      </c>
      <c r="I231" s="2">
        <f>VLOOKUP($C231,'[10]for slip'!$F:$BC,17,0)</f>
        <v>0</v>
      </c>
      <c r="J231" s="2">
        <f>VLOOKUP($C231,'[10]for slip'!$F:$BC,27,0)</f>
        <v>0</v>
      </c>
      <c r="K231" s="2">
        <f>VLOOKUP($C231,'[10]for slip'!$F:$BC,31,0)</f>
        <v>0</v>
      </c>
      <c r="L231" s="2">
        <f>VLOOKUP($C231,'[10]for slip'!$F:$BC,35,0)</f>
        <v>0</v>
      </c>
      <c r="M231" s="2">
        <f>VLOOKUP($C231,'[10]for slip'!$F:$BC,36,0)</f>
        <v>0</v>
      </c>
      <c r="N231" s="2">
        <f>VLOOKUP($C231,'[10]for slip'!$F:$BC,37,0)</f>
        <v>0</v>
      </c>
      <c r="O231" s="2">
        <f>VLOOKUP($C231,'[10]for slip'!$F:$BC,38,0)</f>
        <v>0</v>
      </c>
      <c r="P231" s="2">
        <f>VLOOKUP($C231,'[10]for slip'!$F:$BC,39,0)</f>
        <v>38000</v>
      </c>
      <c r="Q231" s="2">
        <f>VLOOKUP($C231,'[10]for slip'!$F:$BC,40,0)</f>
        <v>31700</v>
      </c>
      <c r="R231" s="2">
        <f>VLOOKUP($C231,'[10]for slip'!$F:$BC,41,0)</f>
        <v>0</v>
      </c>
      <c r="S231" s="2">
        <f>VLOOKUP($C231,'[10]for slip'!$F:$BC,42,0)</f>
        <v>0</v>
      </c>
      <c r="T231" s="2">
        <f>VLOOKUP($C231,'[10]for slip'!$F:$BC,43,0)</f>
        <v>53430.83</v>
      </c>
      <c r="U231" s="2">
        <f>VLOOKUP($C231,'[10]for slip'!$F:$BC,44,0)</f>
        <v>106861.66</v>
      </c>
      <c r="V231" s="2">
        <f>VLOOKUP($C231,'[10]for slip'!$F:$BC,45,0)</f>
        <v>53430.83</v>
      </c>
      <c r="W231" s="2">
        <f>VLOOKUP($C231,'[10]for slip'!$F:$BC,48,0)</f>
        <v>0</v>
      </c>
    </row>
    <row r="232" spans="1:23" x14ac:dyDescent="0.25">
      <c r="A232" s="1">
        <v>231</v>
      </c>
      <c r="B232" s="2" t="s">
        <v>483</v>
      </c>
      <c r="C232" s="2" t="s">
        <v>484</v>
      </c>
      <c r="D232" s="2" t="str">
        <f>VLOOKUP($C232,'[10]for slip'!$F:$BC,3,0)</f>
        <v>Pelaksana</v>
      </c>
      <c r="E232" s="2" t="str">
        <f>VLOOKUP($C232,'[10]for slip'!$F:$BC,4,0)</f>
        <v>Assembly</v>
      </c>
      <c r="F232" s="2">
        <f>VLOOKUP($C232,'[10]for slip'!$F:$BC,14,0)</f>
        <v>5343083</v>
      </c>
      <c r="G232" s="2">
        <f>VLOOKUP($C232,'[10]for slip'!$F:$BC,15,0)</f>
        <v>0</v>
      </c>
      <c r="H232" s="2">
        <f>VLOOKUP($C232,'[10]for slip'!$F:$BC,16,0)</f>
        <v>0</v>
      </c>
      <c r="I232" s="2">
        <f>VLOOKUP($C232,'[10]for slip'!$F:$BC,17,0)</f>
        <v>0</v>
      </c>
      <c r="J232" s="2">
        <f>VLOOKUP($C232,'[10]for slip'!$F:$BC,27,0)</f>
        <v>0</v>
      </c>
      <c r="K232" s="2">
        <f>VLOOKUP($C232,'[10]for slip'!$F:$BC,31,0)</f>
        <v>0</v>
      </c>
      <c r="L232" s="2">
        <f>VLOOKUP($C232,'[10]for slip'!$F:$BC,35,0)</f>
        <v>0</v>
      </c>
      <c r="M232" s="2">
        <f>VLOOKUP($C232,'[10]for slip'!$F:$BC,36,0)</f>
        <v>0</v>
      </c>
      <c r="N232" s="2">
        <f>VLOOKUP($C232,'[10]for slip'!$F:$BC,37,0)</f>
        <v>0</v>
      </c>
      <c r="O232" s="2">
        <f>VLOOKUP($C232,'[10]for slip'!$F:$BC,38,0)</f>
        <v>0</v>
      </c>
      <c r="P232" s="2">
        <f>VLOOKUP($C232,'[10]for slip'!$F:$BC,39,0)</f>
        <v>38000</v>
      </c>
      <c r="Q232" s="2">
        <f>VLOOKUP($C232,'[10]for slip'!$F:$BC,40,0)</f>
        <v>31700</v>
      </c>
      <c r="R232" s="2">
        <f>VLOOKUP($C232,'[10]for slip'!$F:$BC,41,0)</f>
        <v>0</v>
      </c>
      <c r="S232" s="2">
        <f>VLOOKUP($C232,'[10]for slip'!$F:$BC,42,0)</f>
        <v>0</v>
      </c>
      <c r="T232" s="2">
        <f>VLOOKUP($C232,'[10]for slip'!$F:$BC,43,0)</f>
        <v>53430.83</v>
      </c>
      <c r="U232" s="2">
        <f>VLOOKUP($C232,'[10]for slip'!$F:$BC,44,0)</f>
        <v>106861.66</v>
      </c>
      <c r="V232" s="2">
        <f>VLOOKUP($C232,'[10]for slip'!$F:$BC,45,0)</f>
        <v>53430.83</v>
      </c>
      <c r="W232" s="2">
        <f>VLOOKUP($C232,'[10]for slip'!$F:$BC,48,0)</f>
        <v>0</v>
      </c>
    </row>
    <row r="233" spans="1:23" x14ac:dyDescent="0.25">
      <c r="A233" s="1">
        <v>232</v>
      </c>
      <c r="B233" s="2" t="s">
        <v>485</v>
      </c>
      <c r="C233" s="2" t="s">
        <v>486</v>
      </c>
      <c r="D233" s="2" t="str">
        <f>VLOOKUP($C233,'[10]for slip'!$F:$BC,3,0)</f>
        <v>Pelaksana</v>
      </c>
      <c r="E233" s="2" t="str">
        <f>VLOOKUP($C233,'[10]for slip'!$F:$BC,4,0)</f>
        <v>Assembly</v>
      </c>
      <c r="F233" s="2">
        <f>VLOOKUP($C233,'[10]for slip'!$F:$BC,14,0)</f>
        <v>5343083</v>
      </c>
      <c r="G233" s="2">
        <f>VLOOKUP($C233,'[10]for slip'!$F:$BC,15,0)</f>
        <v>0</v>
      </c>
      <c r="H233" s="2">
        <f>VLOOKUP($C233,'[10]for slip'!$F:$BC,16,0)</f>
        <v>0</v>
      </c>
      <c r="I233" s="2">
        <f>VLOOKUP($C233,'[10]for slip'!$F:$BC,17,0)</f>
        <v>0</v>
      </c>
      <c r="J233" s="2">
        <f>VLOOKUP($C233,'[10]for slip'!$F:$BC,27,0)</f>
        <v>0</v>
      </c>
      <c r="K233" s="2">
        <f>VLOOKUP($C233,'[10]for slip'!$F:$BC,31,0)</f>
        <v>0</v>
      </c>
      <c r="L233" s="2">
        <f>VLOOKUP($C233,'[10]for slip'!$F:$BC,35,0)</f>
        <v>34354.584590750004</v>
      </c>
      <c r="M233" s="2">
        <f>VLOOKUP($C233,'[10]for slip'!$F:$BC,36,0)</f>
        <v>0</v>
      </c>
      <c r="N233" s="2">
        <f>VLOOKUP($C233,'[10]for slip'!$F:$BC,37,0)</f>
        <v>0</v>
      </c>
      <c r="O233" s="2">
        <f>VLOOKUP($C233,'[10]for slip'!$F:$BC,38,0)</f>
        <v>0</v>
      </c>
      <c r="P233" s="2">
        <f>VLOOKUP($C233,'[10]for slip'!$F:$BC,39,0)</f>
        <v>38000</v>
      </c>
      <c r="Q233" s="2">
        <f>VLOOKUP($C233,'[10]for slip'!$F:$BC,40,0)</f>
        <v>31700</v>
      </c>
      <c r="R233" s="2">
        <f>VLOOKUP($C233,'[10]for slip'!$F:$BC,41,0)</f>
        <v>0</v>
      </c>
      <c r="S233" s="2">
        <f>VLOOKUP($C233,'[10]for slip'!$F:$BC,42,0)</f>
        <v>10000</v>
      </c>
      <c r="T233" s="2">
        <f>VLOOKUP($C233,'[10]for slip'!$F:$BC,43,0)</f>
        <v>53430.83</v>
      </c>
      <c r="U233" s="2">
        <f>VLOOKUP($C233,'[10]for slip'!$F:$BC,44,0)</f>
        <v>106861.66</v>
      </c>
      <c r="V233" s="2">
        <f>VLOOKUP($C233,'[10]for slip'!$F:$BC,45,0)</f>
        <v>53430.83</v>
      </c>
      <c r="W233" s="2">
        <f>VLOOKUP($C233,'[10]for slip'!$F:$BC,48,0)</f>
        <v>34354.584590750004</v>
      </c>
    </row>
    <row r="234" spans="1:23" x14ac:dyDescent="0.25">
      <c r="A234" s="1">
        <v>233</v>
      </c>
      <c r="B234" s="2" t="s">
        <v>487</v>
      </c>
      <c r="C234" s="2" t="s">
        <v>488</v>
      </c>
      <c r="D234" s="2" t="str">
        <f>VLOOKUP($C234,'[10]for slip'!$F:$BC,3,0)</f>
        <v>Pelaksana</v>
      </c>
      <c r="E234" s="2" t="str">
        <f>VLOOKUP($C234,'[10]for slip'!$F:$BC,4,0)</f>
        <v>Assembly</v>
      </c>
      <c r="F234" s="2">
        <f>VLOOKUP($C234,'[10]for slip'!$F:$BC,14,0)</f>
        <v>5343083</v>
      </c>
      <c r="G234" s="2">
        <f>VLOOKUP($C234,'[10]for slip'!$F:$BC,15,0)</f>
        <v>0</v>
      </c>
      <c r="H234" s="2">
        <f>VLOOKUP($C234,'[10]for slip'!$F:$BC,16,0)</f>
        <v>0</v>
      </c>
      <c r="I234" s="2">
        <f>VLOOKUP($C234,'[10]for slip'!$F:$BC,17,0)</f>
        <v>0</v>
      </c>
      <c r="J234" s="2">
        <f>VLOOKUP($C234,'[10]for slip'!$F:$BC,27,0)</f>
        <v>0</v>
      </c>
      <c r="K234" s="2">
        <f>VLOOKUP($C234,'[10]for slip'!$F:$BC,31,0)</f>
        <v>0</v>
      </c>
      <c r="L234" s="2">
        <f>VLOOKUP($C234,'[10]for slip'!$F:$BC,35,0)</f>
        <v>0</v>
      </c>
      <c r="M234" s="2">
        <f>VLOOKUP($C234,'[10]for slip'!$F:$BC,36,0)</f>
        <v>0</v>
      </c>
      <c r="N234" s="2">
        <f>VLOOKUP($C234,'[10]for slip'!$F:$BC,37,0)</f>
        <v>0</v>
      </c>
      <c r="O234" s="2">
        <f>VLOOKUP($C234,'[10]for slip'!$F:$BC,38,0)</f>
        <v>0</v>
      </c>
      <c r="P234" s="2">
        <f>VLOOKUP($C234,'[10]for slip'!$F:$BC,39,0)</f>
        <v>38000</v>
      </c>
      <c r="Q234" s="2">
        <f>VLOOKUP($C234,'[10]for slip'!$F:$BC,40,0)</f>
        <v>31700</v>
      </c>
      <c r="R234" s="2">
        <f>VLOOKUP($C234,'[10]for slip'!$F:$BC,41,0)</f>
        <v>0</v>
      </c>
      <c r="S234" s="2">
        <f>VLOOKUP($C234,'[10]for slip'!$F:$BC,42,0)</f>
        <v>0</v>
      </c>
      <c r="T234" s="2">
        <f>VLOOKUP($C234,'[10]for slip'!$F:$BC,43,0)</f>
        <v>53430.83</v>
      </c>
      <c r="U234" s="2">
        <f>VLOOKUP($C234,'[10]for slip'!$F:$BC,44,0)</f>
        <v>106861.66</v>
      </c>
      <c r="V234" s="2">
        <f>VLOOKUP($C234,'[10]for slip'!$F:$BC,45,0)</f>
        <v>53430.83</v>
      </c>
      <c r="W234" s="2">
        <f>VLOOKUP($C234,'[10]for slip'!$F:$BC,48,0)</f>
        <v>0</v>
      </c>
    </row>
    <row r="235" spans="1:23" x14ac:dyDescent="0.25">
      <c r="A235" s="1">
        <v>234</v>
      </c>
      <c r="B235" s="2" t="s">
        <v>489</v>
      </c>
      <c r="C235" s="2" t="s">
        <v>490</v>
      </c>
      <c r="D235" s="2" t="str">
        <f>VLOOKUP($C235,'[10]for slip'!$F:$BC,3,0)</f>
        <v>Pelaksana</v>
      </c>
      <c r="E235" s="2" t="str">
        <f>VLOOKUP($C235,'[10]for slip'!$F:$BC,4,0)</f>
        <v>Assembly</v>
      </c>
      <c r="F235" s="2">
        <f>VLOOKUP($C235,'[10]for slip'!$F:$BC,14,0)</f>
        <v>5343083</v>
      </c>
      <c r="G235" s="2">
        <f>VLOOKUP($C235,'[10]for slip'!$F:$BC,15,0)</f>
        <v>0</v>
      </c>
      <c r="H235" s="2">
        <f>VLOOKUP($C235,'[10]for slip'!$F:$BC,16,0)</f>
        <v>0</v>
      </c>
      <c r="I235" s="2">
        <f>VLOOKUP($C235,'[10]for slip'!$F:$BC,17,0)</f>
        <v>0</v>
      </c>
      <c r="J235" s="2">
        <f>VLOOKUP($C235,'[10]for slip'!$F:$BC,27,0)</f>
        <v>0</v>
      </c>
      <c r="K235" s="2">
        <f>VLOOKUP($C235,'[10]for slip'!$F:$BC,31,0)</f>
        <v>0</v>
      </c>
      <c r="L235" s="2">
        <f>VLOOKUP($C235,'[10]for slip'!$F:$BC,35,0)</f>
        <v>0</v>
      </c>
      <c r="M235" s="2">
        <f>VLOOKUP($C235,'[10]for slip'!$F:$BC,36,0)</f>
        <v>0</v>
      </c>
      <c r="N235" s="2">
        <f>VLOOKUP($C235,'[10]for slip'!$F:$BC,37,0)</f>
        <v>0</v>
      </c>
      <c r="O235" s="2">
        <f>VLOOKUP($C235,'[10]for slip'!$F:$BC,38,0)</f>
        <v>0</v>
      </c>
      <c r="P235" s="2">
        <f>VLOOKUP($C235,'[10]for slip'!$F:$BC,39,0)</f>
        <v>38000</v>
      </c>
      <c r="Q235" s="2">
        <f>VLOOKUP($C235,'[10]for slip'!$F:$BC,40,0)</f>
        <v>31700</v>
      </c>
      <c r="R235" s="2">
        <f>VLOOKUP($C235,'[10]for slip'!$F:$BC,41,0)</f>
        <v>0</v>
      </c>
      <c r="S235" s="2">
        <f>VLOOKUP($C235,'[10]for slip'!$F:$BC,42,0)</f>
        <v>0</v>
      </c>
      <c r="T235" s="2">
        <f>VLOOKUP($C235,'[10]for slip'!$F:$BC,43,0)</f>
        <v>53430.83</v>
      </c>
      <c r="U235" s="2">
        <f>VLOOKUP($C235,'[10]for slip'!$F:$BC,44,0)</f>
        <v>106861.66</v>
      </c>
      <c r="V235" s="2">
        <f>VLOOKUP($C235,'[10]for slip'!$F:$BC,45,0)</f>
        <v>53430.83</v>
      </c>
      <c r="W235" s="2">
        <f>VLOOKUP($C235,'[10]for slip'!$F:$BC,48,0)</f>
        <v>0</v>
      </c>
    </row>
    <row r="236" spans="1:23" x14ac:dyDescent="0.25">
      <c r="A236" s="1">
        <v>235</v>
      </c>
      <c r="B236" s="2" t="s">
        <v>491</v>
      </c>
      <c r="C236" s="2" t="s">
        <v>492</v>
      </c>
      <c r="D236" s="2" t="str">
        <f>VLOOKUP($C236,'[10]for slip'!$F:$BC,3,0)</f>
        <v>Pelaksana</v>
      </c>
      <c r="E236" s="2" t="str">
        <f>VLOOKUP($C236,'[10]for slip'!$F:$BC,4,0)</f>
        <v>Assembly</v>
      </c>
      <c r="F236" s="2">
        <f>VLOOKUP($C236,'[10]for slip'!$F:$BC,14,0)</f>
        <v>5343083</v>
      </c>
      <c r="G236" s="2">
        <f>VLOOKUP($C236,'[10]for slip'!$F:$BC,15,0)</f>
        <v>0</v>
      </c>
      <c r="H236" s="2">
        <f>VLOOKUP($C236,'[10]for slip'!$F:$BC,16,0)</f>
        <v>0</v>
      </c>
      <c r="I236" s="2">
        <f>VLOOKUP($C236,'[10]for slip'!$F:$BC,17,0)</f>
        <v>0</v>
      </c>
      <c r="J236" s="2">
        <f>VLOOKUP($C236,'[10]for slip'!$F:$BC,27,0)</f>
        <v>0</v>
      </c>
      <c r="K236" s="2">
        <f>VLOOKUP($C236,'[10]for slip'!$F:$BC,31,0)</f>
        <v>0</v>
      </c>
      <c r="L236" s="2">
        <f>VLOOKUP($C236,'[10]for slip'!$F:$BC,35,0)</f>
        <v>0</v>
      </c>
      <c r="M236" s="2">
        <f>VLOOKUP($C236,'[10]for slip'!$F:$BC,36,0)</f>
        <v>0</v>
      </c>
      <c r="N236" s="2">
        <f>VLOOKUP($C236,'[10]for slip'!$F:$BC,37,0)</f>
        <v>0</v>
      </c>
      <c r="O236" s="2">
        <f>VLOOKUP($C236,'[10]for slip'!$F:$BC,38,0)</f>
        <v>0</v>
      </c>
      <c r="P236" s="2">
        <f>VLOOKUP($C236,'[10]for slip'!$F:$BC,39,0)</f>
        <v>38000</v>
      </c>
      <c r="Q236" s="2">
        <f>VLOOKUP($C236,'[10]for slip'!$F:$BC,40,0)</f>
        <v>31700</v>
      </c>
      <c r="R236" s="2">
        <f>VLOOKUP($C236,'[10]for slip'!$F:$BC,41,0)</f>
        <v>0</v>
      </c>
      <c r="S236" s="2">
        <f>VLOOKUP($C236,'[10]for slip'!$F:$BC,42,0)</f>
        <v>0</v>
      </c>
      <c r="T236" s="2">
        <f>VLOOKUP($C236,'[10]for slip'!$F:$BC,43,0)</f>
        <v>53430.83</v>
      </c>
      <c r="U236" s="2">
        <f>VLOOKUP($C236,'[10]for slip'!$F:$BC,44,0)</f>
        <v>106861.66</v>
      </c>
      <c r="V236" s="2">
        <f>VLOOKUP($C236,'[10]for slip'!$F:$BC,45,0)</f>
        <v>53430.83</v>
      </c>
      <c r="W236" s="2">
        <f>VLOOKUP($C236,'[10]for slip'!$F:$BC,48,0)</f>
        <v>0</v>
      </c>
    </row>
    <row r="237" spans="1:23" x14ac:dyDescent="0.25">
      <c r="A237" s="1">
        <v>236</v>
      </c>
      <c r="B237" s="2" t="s">
        <v>493</v>
      </c>
      <c r="C237" s="2" t="s">
        <v>494</v>
      </c>
      <c r="D237" s="2" t="str">
        <f>VLOOKUP($C237,'[10]for slip'!$F:$BC,3,0)</f>
        <v>Pelaksana</v>
      </c>
      <c r="E237" s="2" t="str">
        <f>VLOOKUP($C237,'[10]for slip'!$F:$BC,4,0)</f>
        <v>Assembly</v>
      </c>
      <c r="F237" s="2">
        <f>VLOOKUP($C237,'[10]for slip'!$F:$BC,14,0)</f>
        <v>5343083</v>
      </c>
      <c r="G237" s="2">
        <f>VLOOKUP($C237,'[10]for slip'!$F:$BC,15,0)</f>
        <v>0</v>
      </c>
      <c r="H237" s="2">
        <f>VLOOKUP($C237,'[10]for slip'!$F:$BC,16,0)</f>
        <v>0</v>
      </c>
      <c r="I237" s="2">
        <f>VLOOKUP($C237,'[10]for slip'!$F:$BC,17,0)</f>
        <v>0</v>
      </c>
      <c r="J237" s="2">
        <f>VLOOKUP($C237,'[10]for slip'!$F:$BC,27,0)</f>
        <v>0</v>
      </c>
      <c r="K237" s="2">
        <f>VLOOKUP($C237,'[10]for slip'!$F:$BC,31,0)</f>
        <v>0</v>
      </c>
      <c r="L237" s="2">
        <f>VLOOKUP($C237,'[10]for slip'!$F:$BC,35,0)</f>
        <v>34354.584590750004</v>
      </c>
      <c r="M237" s="2">
        <f>VLOOKUP($C237,'[10]for slip'!$F:$BC,36,0)</f>
        <v>0</v>
      </c>
      <c r="N237" s="2">
        <f>VLOOKUP($C237,'[10]for slip'!$F:$BC,37,0)</f>
        <v>0</v>
      </c>
      <c r="O237" s="2">
        <f>VLOOKUP($C237,'[10]for slip'!$F:$BC,38,0)</f>
        <v>0</v>
      </c>
      <c r="P237" s="2">
        <f>VLOOKUP($C237,'[10]for slip'!$F:$BC,39,0)</f>
        <v>38000</v>
      </c>
      <c r="Q237" s="2">
        <f>VLOOKUP($C237,'[10]for slip'!$F:$BC,40,0)</f>
        <v>31700</v>
      </c>
      <c r="R237" s="2">
        <f>VLOOKUP($C237,'[10]for slip'!$F:$BC,41,0)</f>
        <v>0</v>
      </c>
      <c r="S237" s="2">
        <f>VLOOKUP($C237,'[10]for slip'!$F:$BC,42,0)</f>
        <v>0</v>
      </c>
      <c r="T237" s="2">
        <f>VLOOKUP($C237,'[10]for slip'!$F:$BC,43,0)</f>
        <v>53430.83</v>
      </c>
      <c r="U237" s="2">
        <f>VLOOKUP($C237,'[10]for slip'!$F:$BC,44,0)</f>
        <v>106861.66</v>
      </c>
      <c r="V237" s="2">
        <f>VLOOKUP($C237,'[10]for slip'!$F:$BC,45,0)</f>
        <v>53430.83</v>
      </c>
      <c r="W237" s="2">
        <f>VLOOKUP($C237,'[10]for slip'!$F:$BC,48,0)</f>
        <v>34354.584590750004</v>
      </c>
    </row>
    <row r="238" spans="1:23" x14ac:dyDescent="0.25">
      <c r="A238" s="1">
        <v>237</v>
      </c>
      <c r="B238" s="2" t="s">
        <v>495</v>
      </c>
      <c r="C238" s="2" t="s">
        <v>496</v>
      </c>
      <c r="D238" s="2" t="str">
        <f>VLOOKUP($C238,'[10]for slip'!$F:$BC,3,0)</f>
        <v>Pelaksana</v>
      </c>
      <c r="E238" s="2" t="str">
        <f>VLOOKUP($C238,'[10]for slip'!$F:$BC,4,0)</f>
        <v>Assembly</v>
      </c>
      <c r="F238" s="2">
        <f>VLOOKUP($C238,'[10]for slip'!$F:$BC,14,0)</f>
        <v>5343083</v>
      </c>
      <c r="G238" s="2">
        <f>VLOOKUP($C238,'[10]for slip'!$F:$BC,15,0)</f>
        <v>0</v>
      </c>
      <c r="H238" s="2">
        <f>VLOOKUP($C238,'[10]for slip'!$F:$BC,16,0)</f>
        <v>0</v>
      </c>
      <c r="I238" s="2">
        <f>VLOOKUP($C238,'[10]for slip'!$F:$BC,17,0)</f>
        <v>0</v>
      </c>
      <c r="J238" s="2">
        <f>VLOOKUP($C238,'[10]for slip'!$F:$BC,27,0)</f>
        <v>0</v>
      </c>
      <c r="K238" s="2">
        <f>VLOOKUP($C238,'[10]for slip'!$F:$BC,31,0)</f>
        <v>0</v>
      </c>
      <c r="L238" s="2">
        <f>VLOOKUP($C238,'[10]for slip'!$F:$BC,35,0)</f>
        <v>0</v>
      </c>
      <c r="M238" s="2">
        <f>VLOOKUP($C238,'[10]for slip'!$F:$BC,36,0)</f>
        <v>0</v>
      </c>
      <c r="N238" s="2">
        <f>VLOOKUP($C238,'[10]for slip'!$F:$BC,37,0)</f>
        <v>0</v>
      </c>
      <c r="O238" s="2">
        <f>VLOOKUP($C238,'[10]for slip'!$F:$BC,38,0)</f>
        <v>0</v>
      </c>
      <c r="P238" s="2">
        <f>VLOOKUP($C238,'[10]for slip'!$F:$BC,39,0)</f>
        <v>38000</v>
      </c>
      <c r="Q238" s="2">
        <f>VLOOKUP($C238,'[10]for slip'!$F:$BC,40,0)</f>
        <v>31700</v>
      </c>
      <c r="R238" s="2">
        <f>VLOOKUP($C238,'[10]for slip'!$F:$BC,41,0)</f>
        <v>0</v>
      </c>
      <c r="S238" s="2">
        <f>VLOOKUP($C238,'[10]for slip'!$F:$BC,42,0)</f>
        <v>0</v>
      </c>
      <c r="T238" s="2">
        <f>VLOOKUP($C238,'[10]for slip'!$F:$BC,43,0)</f>
        <v>53430.83</v>
      </c>
      <c r="U238" s="2">
        <f>VLOOKUP($C238,'[10]for slip'!$F:$BC,44,0)</f>
        <v>106861.66</v>
      </c>
      <c r="V238" s="2">
        <f>VLOOKUP($C238,'[10]for slip'!$F:$BC,45,0)</f>
        <v>53430.83</v>
      </c>
      <c r="W238" s="2">
        <f>VLOOKUP($C238,'[10]for slip'!$F:$BC,48,0)</f>
        <v>0</v>
      </c>
    </row>
    <row r="239" spans="1:23" x14ac:dyDescent="0.25">
      <c r="A239" s="1">
        <v>238</v>
      </c>
      <c r="B239" s="2" t="s">
        <v>497</v>
      </c>
      <c r="C239" s="2" t="s">
        <v>498</v>
      </c>
      <c r="D239" s="2" t="str">
        <f>VLOOKUP($C239,'[10]for slip'!$F:$BC,3,0)</f>
        <v>Pelaksana</v>
      </c>
      <c r="E239" s="2" t="str">
        <f>VLOOKUP($C239,'[10]for slip'!$F:$BC,4,0)</f>
        <v>Assembly</v>
      </c>
      <c r="F239" s="2">
        <f>VLOOKUP($C239,'[10]for slip'!$F:$BC,14,0)</f>
        <v>5343083</v>
      </c>
      <c r="G239" s="2">
        <f>VLOOKUP($C239,'[10]for slip'!$F:$BC,15,0)</f>
        <v>0</v>
      </c>
      <c r="H239" s="2">
        <f>VLOOKUP($C239,'[10]for slip'!$F:$BC,16,0)</f>
        <v>0</v>
      </c>
      <c r="I239" s="2">
        <f>VLOOKUP($C239,'[10]for slip'!$F:$BC,17,0)</f>
        <v>0</v>
      </c>
      <c r="J239" s="2">
        <f>VLOOKUP($C239,'[10]for slip'!$F:$BC,27,0)</f>
        <v>0</v>
      </c>
      <c r="K239" s="2">
        <f>VLOOKUP($C239,'[10]for slip'!$F:$BC,31,0)</f>
        <v>0</v>
      </c>
      <c r="L239" s="2">
        <f>VLOOKUP($C239,'[10]for slip'!$F:$BC,35,0)</f>
        <v>0</v>
      </c>
      <c r="M239" s="2">
        <f>VLOOKUP($C239,'[10]for slip'!$F:$BC,36,0)</f>
        <v>0</v>
      </c>
      <c r="N239" s="2">
        <f>VLOOKUP($C239,'[10]for slip'!$F:$BC,37,0)</f>
        <v>0</v>
      </c>
      <c r="O239" s="2">
        <f>VLOOKUP($C239,'[10]for slip'!$F:$BC,38,0)</f>
        <v>0</v>
      </c>
      <c r="P239" s="2">
        <f>VLOOKUP($C239,'[10]for slip'!$F:$BC,39,0)</f>
        <v>0</v>
      </c>
      <c r="Q239" s="2">
        <f>VLOOKUP($C239,'[10]for slip'!$F:$BC,40,0)</f>
        <v>31700</v>
      </c>
      <c r="R239" s="2">
        <f>VLOOKUP($C239,'[10]for slip'!$F:$BC,41,0)</f>
        <v>0</v>
      </c>
      <c r="S239" s="2">
        <f>VLOOKUP($C239,'[10]for slip'!$F:$BC,42,0)</f>
        <v>0</v>
      </c>
      <c r="T239" s="2">
        <f>VLOOKUP($C239,'[10]for slip'!$F:$BC,43,0)</f>
        <v>53430.83</v>
      </c>
      <c r="U239" s="2">
        <f>VLOOKUP($C239,'[10]for slip'!$F:$BC,44,0)</f>
        <v>106861.66</v>
      </c>
      <c r="V239" s="2">
        <f>VLOOKUP($C239,'[10]for slip'!$F:$BC,45,0)</f>
        <v>53430.83</v>
      </c>
      <c r="W239" s="2">
        <f>VLOOKUP($C239,'[10]for slip'!$F:$BC,48,0)</f>
        <v>0</v>
      </c>
    </row>
    <row r="240" spans="1:23" x14ac:dyDescent="0.25">
      <c r="A240" s="1">
        <v>239</v>
      </c>
      <c r="B240" s="2" t="s">
        <v>499</v>
      </c>
      <c r="C240" s="2" t="s">
        <v>500</v>
      </c>
      <c r="D240" s="2" t="str">
        <f>VLOOKUP($C240,'[10]for slip'!$F:$BC,3,0)</f>
        <v>Pelaksana</v>
      </c>
      <c r="E240" s="2" t="str">
        <f>VLOOKUP($C240,'[10]for slip'!$F:$BC,4,0)</f>
        <v>Assembly</v>
      </c>
      <c r="F240" s="2">
        <f>VLOOKUP($C240,'[10]for slip'!$F:$BC,14,0)</f>
        <v>5343083</v>
      </c>
      <c r="G240" s="2">
        <f>VLOOKUP($C240,'[10]for slip'!$F:$BC,15,0)</f>
        <v>0</v>
      </c>
      <c r="H240" s="2">
        <f>VLOOKUP($C240,'[10]for slip'!$F:$BC,16,0)</f>
        <v>0</v>
      </c>
      <c r="I240" s="2">
        <f>VLOOKUP($C240,'[10]for slip'!$F:$BC,17,0)</f>
        <v>0</v>
      </c>
      <c r="J240" s="2">
        <f>VLOOKUP($C240,'[10]for slip'!$F:$BC,27,0)</f>
        <v>0</v>
      </c>
      <c r="K240" s="2">
        <f>VLOOKUP($C240,'[10]for slip'!$F:$BC,31,0)</f>
        <v>0</v>
      </c>
      <c r="L240" s="2">
        <f>VLOOKUP($C240,'[10]for slip'!$F:$BC,35,0)</f>
        <v>15604.584590750002</v>
      </c>
      <c r="M240" s="2">
        <f>VLOOKUP($C240,'[10]for slip'!$F:$BC,36,0)</f>
        <v>0</v>
      </c>
      <c r="N240" s="2">
        <f>VLOOKUP($C240,'[10]for slip'!$F:$BC,37,0)</f>
        <v>0</v>
      </c>
      <c r="O240" s="2">
        <f>VLOOKUP($C240,'[10]for slip'!$F:$BC,38,0)</f>
        <v>0</v>
      </c>
      <c r="P240" s="2">
        <f>VLOOKUP($C240,'[10]for slip'!$F:$BC,39,0)</f>
        <v>38000</v>
      </c>
      <c r="Q240" s="2">
        <f>VLOOKUP($C240,'[10]for slip'!$F:$BC,40,0)</f>
        <v>31700</v>
      </c>
      <c r="R240" s="2">
        <f>VLOOKUP($C240,'[10]for slip'!$F:$BC,41,0)</f>
        <v>0</v>
      </c>
      <c r="S240" s="2">
        <f>VLOOKUP($C240,'[10]for slip'!$F:$BC,42,0)</f>
        <v>0</v>
      </c>
      <c r="T240" s="2">
        <f>VLOOKUP($C240,'[10]for slip'!$F:$BC,43,0)</f>
        <v>53430.83</v>
      </c>
      <c r="U240" s="2">
        <f>VLOOKUP($C240,'[10]for slip'!$F:$BC,44,0)</f>
        <v>106861.66</v>
      </c>
      <c r="V240" s="2">
        <f>VLOOKUP($C240,'[10]for slip'!$F:$BC,45,0)</f>
        <v>53430.83</v>
      </c>
      <c r="W240" s="2">
        <f>VLOOKUP($C240,'[10]for slip'!$F:$BC,48,0)</f>
        <v>15604.584590750002</v>
      </c>
    </row>
    <row r="241" spans="1:23" x14ac:dyDescent="0.25">
      <c r="A241" s="1">
        <v>240</v>
      </c>
      <c r="B241" s="2" t="s">
        <v>501</v>
      </c>
      <c r="C241" s="2" t="s">
        <v>502</v>
      </c>
      <c r="D241" s="2" t="str">
        <f>VLOOKUP($C241,'[10]for slip'!$F:$BC,3,0)</f>
        <v>Pelaksana</v>
      </c>
      <c r="E241" s="2" t="str">
        <f>VLOOKUP($C241,'[10]for slip'!$F:$BC,4,0)</f>
        <v>Assembly</v>
      </c>
      <c r="F241" s="2">
        <f>VLOOKUP($C241,'[10]for slip'!$F:$BC,14,0)</f>
        <v>5343083</v>
      </c>
      <c r="G241" s="2">
        <f>VLOOKUP($C241,'[10]for slip'!$F:$BC,15,0)</f>
        <v>0</v>
      </c>
      <c r="H241" s="2">
        <f>VLOOKUP($C241,'[10]for slip'!$F:$BC,16,0)</f>
        <v>0</v>
      </c>
      <c r="I241" s="2">
        <f>VLOOKUP($C241,'[10]for slip'!$F:$BC,17,0)</f>
        <v>0</v>
      </c>
      <c r="J241" s="2">
        <f>VLOOKUP($C241,'[10]for slip'!$F:$BC,27,0)</f>
        <v>0</v>
      </c>
      <c r="K241" s="2">
        <f>VLOOKUP($C241,'[10]for slip'!$F:$BC,31,0)</f>
        <v>0</v>
      </c>
      <c r="L241" s="2">
        <f>VLOOKUP($C241,'[10]for slip'!$F:$BC,35,0)</f>
        <v>15604.584590750002</v>
      </c>
      <c r="M241" s="2">
        <f>VLOOKUP($C241,'[10]for slip'!$F:$BC,36,0)</f>
        <v>0</v>
      </c>
      <c r="N241" s="2">
        <f>VLOOKUP($C241,'[10]for slip'!$F:$BC,37,0)</f>
        <v>0</v>
      </c>
      <c r="O241" s="2">
        <f>VLOOKUP($C241,'[10]for slip'!$F:$BC,38,0)</f>
        <v>0</v>
      </c>
      <c r="P241" s="2">
        <f>VLOOKUP($C241,'[10]for slip'!$F:$BC,39,0)</f>
        <v>0</v>
      </c>
      <c r="Q241" s="2">
        <f>VLOOKUP($C241,'[10]for slip'!$F:$BC,40,0)</f>
        <v>31700</v>
      </c>
      <c r="R241" s="2">
        <f>VLOOKUP($C241,'[10]for slip'!$F:$BC,41,0)</f>
        <v>0</v>
      </c>
      <c r="S241" s="2">
        <f>VLOOKUP($C241,'[10]for slip'!$F:$BC,42,0)</f>
        <v>0</v>
      </c>
      <c r="T241" s="2">
        <f>VLOOKUP($C241,'[10]for slip'!$F:$BC,43,0)</f>
        <v>53430.83</v>
      </c>
      <c r="U241" s="2">
        <f>VLOOKUP($C241,'[10]for slip'!$F:$BC,44,0)</f>
        <v>106861.66</v>
      </c>
      <c r="V241" s="2">
        <f>VLOOKUP($C241,'[10]for slip'!$F:$BC,45,0)</f>
        <v>53430.83</v>
      </c>
      <c r="W241" s="2">
        <f>VLOOKUP($C241,'[10]for slip'!$F:$BC,48,0)</f>
        <v>15604.584590750002</v>
      </c>
    </row>
    <row r="242" spans="1:23" x14ac:dyDescent="0.25">
      <c r="A242" s="1">
        <v>241</v>
      </c>
      <c r="B242" s="2" t="s">
        <v>503</v>
      </c>
      <c r="C242" s="2" t="s">
        <v>504</v>
      </c>
      <c r="D242" s="2" t="str">
        <f>VLOOKUP($C242,'[10]for slip'!$F:$BC,3,0)</f>
        <v>Pelaksana</v>
      </c>
      <c r="E242" s="2" t="str">
        <f>VLOOKUP($C242,'[10]for slip'!$F:$BC,4,0)</f>
        <v>Assembly</v>
      </c>
      <c r="F242" s="2">
        <f>VLOOKUP($C242,'[10]for slip'!$F:$BC,14,0)</f>
        <v>5343083</v>
      </c>
      <c r="G242" s="2">
        <f>VLOOKUP($C242,'[10]for slip'!$F:$BC,15,0)</f>
        <v>0</v>
      </c>
      <c r="H242" s="2">
        <f>VLOOKUP($C242,'[10]for slip'!$F:$BC,16,0)</f>
        <v>0</v>
      </c>
      <c r="I242" s="2">
        <f>VLOOKUP($C242,'[10]for slip'!$F:$BC,17,0)</f>
        <v>0</v>
      </c>
      <c r="J242" s="2">
        <f>VLOOKUP($C242,'[10]for slip'!$F:$BC,27,0)</f>
        <v>0</v>
      </c>
      <c r="K242" s="2">
        <f>VLOOKUP($C242,'[10]for slip'!$F:$BC,31,0)</f>
        <v>0</v>
      </c>
      <c r="L242" s="2">
        <f>VLOOKUP($C242,'[10]for slip'!$F:$BC,35,0)</f>
        <v>34354.584590750004</v>
      </c>
      <c r="M242" s="2">
        <f>VLOOKUP($C242,'[10]for slip'!$F:$BC,36,0)</f>
        <v>0</v>
      </c>
      <c r="N242" s="2">
        <f>VLOOKUP($C242,'[10]for slip'!$F:$BC,37,0)</f>
        <v>0</v>
      </c>
      <c r="O242" s="2">
        <f>VLOOKUP($C242,'[10]for slip'!$F:$BC,38,0)</f>
        <v>0</v>
      </c>
      <c r="P242" s="2">
        <f>VLOOKUP($C242,'[10]for slip'!$F:$BC,39,0)</f>
        <v>0</v>
      </c>
      <c r="Q242" s="2">
        <f>VLOOKUP($C242,'[10]for slip'!$F:$BC,40,0)</f>
        <v>31700</v>
      </c>
      <c r="R242" s="2">
        <f>VLOOKUP($C242,'[10]for slip'!$F:$BC,41,0)</f>
        <v>0</v>
      </c>
      <c r="S242" s="2">
        <f>VLOOKUP($C242,'[10]for slip'!$F:$BC,42,0)</f>
        <v>0</v>
      </c>
      <c r="T242" s="2">
        <f>VLOOKUP($C242,'[10]for slip'!$F:$BC,43,0)</f>
        <v>53430.83</v>
      </c>
      <c r="U242" s="2">
        <f>VLOOKUP($C242,'[10]for slip'!$F:$BC,44,0)</f>
        <v>106861.66</v>
      </c>
      <c r="V242" s="2">
        <f>VLOOKUP($C242,'[10]for slip'!$F:$BC,45,0)</f>
        <v>53430.83</v>
      </c>
      <c r="W242" s="2">
        <f>VLOOKUP($C242,'[10]for slip'!$F:$BC,48,0)</f>
        <v>34354.584590750004</v>
      </c>
    </row>
    <row r="243" spans="1:23" x14ac:dyDescent="0.25">
      <c r="A243" s="1">
        <v>242</v>
      </c>
      <c r="B243" s="2" t="s">
        <v>505</v>
      </c>
      <c r="C243" s="2" t="s">
        <v>506</v>
      </c>
      <c r="D243" s="2" t="str">
        <f>VLOOKUP($C243,'[10]for slip'!$F:$BC,3,0)</f>
        <v>Pelaksana</v>
      </c>
      <c r="E243" s="2" t="str">
        <f>VLOOKUP($C243,'[10]for slip'!$F:$BC,4,0)</f>
        <v>Assembly</v>
      </c>
      <c r="F243" s="2">
        <f>VLOOKUP($C243,'[10]for slip'!$F:$BC,14,0)</f>
        <v>5343083</v>
      </c>
      <c r="G243" s="2">
        <f>VLOOKUP($C243,'[10]for slip'!$F:$BC,15,0)</f>
        <v>0</v>
      </c>
      <c r="H243" s="2">
        <f>VLOOKUP($C243,'[10]for slip'!$F:$BC,16,0)</f>
        <v>0</v>
      </c>
      <c r="I243" s="2">
        <f>VLOOKUP($C243,'[10]for slip'!$F:$BC,17,0)</f>
        <v>0</v>
      </c>
      <c r="J243" s="2">
        <f>VLOOKUP($C243,'[10]for slip'!$F:$BC,27,0)</f>
        <v>0</v>
      </c>
      <c r="K243" s="2">
        <f>VLOOKUP($C243,'[10]for slip'!$F:$BC,31,0)</f>
        <v>0</v>
      </c>
      <c r="L243" s="2">
        <f>VLOOKUP($C243,'[10]for slip'!$F:$BC,35,0)</f>
        <v>34354.584590750004</v>
      </c>
      <c r="M243" s="2">
        <f>VLOOKUP($C243,'[10]for slip'!$F:$BC,36,0)</f>
        <v>0</v>
      </c>
      <c r="N243" s="2">
        <f>VLOOKUP($C243,'[10]for slip'!$F:$BC,37,0)</f>
        <v>0</v>
      </c>
      <c r="O243" s="2">
        <f>VLOOKUP($C243,'[10]for slip'!$F:$BC,38,0)</f>
        <v>0</v>
      </c>
      <c r="P243" s="2">
        <f>VLOOKUP($C243,'[10]for slip'!$F:$BC,39,0)</f>
        <v>0</v>
      </c>
      <c r="Q243" s="2">
        <f>VLOOKUP($C243,'[10]for slip'!$F:$BC,40,0)</f>
        <v>31700</v>
      </c>
      <c r="R243" s="2">
        <f>VLOOKUP($C243,'[10]for slip'!$F:$BC,41,0)</f>
        <v>0</v>
      </c>
      <c r="S243" s="2">
        <f>VLOOKUP($C243,'[10]for slip'!$F:$BC,42,0)</f>
        <v>0</v>
      </c>
      <c r="T243" s="2">
        <f>VLOOKUP($C243,'[10]for slip'!$F:$BC,43,0)</f>
        <v>53430.83</v>
      </c>
      <c r="U243" s="2">
        <f>VLOOKUP($C243,'[10]for slip'!$F:$BC,44,0)</f>
        <v>106861.66</v>
      </c>
      <c r="V243" s="2">
        <f>VLOOKUP($C243,'[10]for slip'!$F:$BC,45,0)</f>
        <v>53430.83</v>
      </c>
      <c r="W243" s="2">
        <f>VLOOKUP($C243,'[10]for slip'!$F:$BC,48,0)</f>
        <v>34354.584590750004</v>
      </c>
    </row>
    <row r="244" spans="1:23" x14ac:dyDescent="0.25">
      <c r="A244" s="1">
        <v>243</v>
      </c>
      <c r="B244" s="2" t="s">
        <v>507</v>
      </c>
      <c r="C244" s="2" t="s">
        <v>508</v>
      </c>
      <c r="D244" s="2" t="str">
        <f>VLOOKUP($C244,'[10]for slip'!$F:$BC,3,0)</f>
        <v>Pelaksana</v>
      </c>
      <c r="E244" s="2" t="str">
        <f>VLOOKUP($C244,'[10]for slip'!$F:$BC,4,0)</f>
        <v>Assembly</v>
      </c>
      <c r="F244" s="2">
        <f>VLOOKUP($C244,'[10]for slip'!$F:$BC,14,0)</f>
        <v>5343083</v>
      </c>
      <c r="G244" s="2">
        <f>VLOOKUP($C244,'[10]for slip'!$F:$BC,15,0)</f>
        <v>0</v>
      </c>
      <c r="H244" s="2">
        <f>VLOOKUP($C244,'[10]for slip'!$F:$BC,16,0)</f>
        <v>0</v>
      </c>
      <c r="I244" s="2">
        <f>VLOOKUP($C244,'[10]for slip'!$F:$BC,17,0)</f>
        <v>0</v>
      </c>
      <c r="J244" s="2">
        <f>VLOOKUP($C244,'[10]for slip'!$F:$BC,27,0)</f>
        <v>0</v>
      </c>
      <c r="K244" s="2">
        <f>VLOOKUP($C244,'[10]for slip'!$F:$BC,31,0)</f>
        <v>0</v>
      </c>
      <c r="L244" s="2">
        <f>VLOOKUP($C244,'[10]for slip'!$F:$BC,35,0)</f>
        <v>15604.584590750002</v>
      </c>
      <c r="M244" s="2">
        <f>VLOOKUP($C244,'[10]for slip'!$F:$BC,36,0)</f>
        <v>0</v>
      </c>
      <c r="N244" s="2">
        <f>VLOOKUP($C244,'[10]for slip'!$F:$BC,37,0)</f>
        <v>0</v>
      </c>
      <c r="O244" s="2">
        <f>VLOOKUP($C244,'[10]for slip'!$F:$BC,38,0)</f>
        <v>0</v>
      </c>
      <c r="P244" s="2">
        <f>VLOOKUP($C244,'[10]for slip'!$F:$BC,39,0)</f>
        <v>38000</v>
      </c>
      <c r="Q244" s="2">
        <f>VLOOKUP($C244,'[10]for slip'!$F:$BC,40,0)</f>
        <v>31700</v>
      </c>
      <c r="R244" s="2">
        <f>VLOOKUP($C244,'[10]for slip'!$F:$BC,41,0)</f>
        <v>0</v>
      </c>
      <c r="S244" s="2">
        <f>VLOOKUP($C244,'[10]for slip'!$F:$BC,42,0)</f>
        <v>0</v>
      </c>
      <c r="T244" s="2">
        <f>VLOOKUP($C244,'[10]for slip'!$F:$BC,43,0)</f>
        <v>53430.83</v>
      </c>
      <c r="U244" s="2">
        <f>VLOOKUP($C244,'[10]for slip'!$F:$BC,44,0)</f>
        <v>106861.66</v>
      </c>
      <c r="V244" s="2">
        <f>VLOOKUP($C244,'[10]for slip'!$F:$BC,45,0)</f>
        <v>53430.83</v>
      </c>
      <c r="W244" s="2">
        <f>VLOOKUP($C244,'[10]for slip'!$F:$BC,48,0)</f>
        <v>15604.584590750002</v>
      </c>
    </row>
    <row r="245" spans="1:23" x14ac:dyDescent="0.25">
      <c r="A245" s="1">
        <v>244</v>
      </c>
      <c r="B245" s="2" t="s">
        <v>509</v>
      </c>
      <c r="C245" s="2" t="s">
        <v>510</v>
      </c>
      <c r="D245" s="2" t="str">
        <f>VLOOKUP($C245,'[10]for slip'!$F:$BC,3,0)</f>
        <v>Pelaksana</v>
      </c>
      <c r="E245" s="2" t="str">
        <f>VLOOKUP($C245,'[10]for slip'!$F:$BC,4,0)</f>
        <v>Assembly</v>
      </c>
      <c r="F245" s="2">
        <f>VLOOKUP($C245,'[10]for slip'!$F:$BC,14,0)</f>
        <v>5343083</v>
      </c>
      <c r="G245" s="2">
        <f>VLOOKUP($C245,'[10]for slip'!$F:$BC,15,0)</f>
        <v>0</v>
      </c>
      <c r="H245" s="2">
        <f>VLOOKUP($C245,'[10]for slip'!$F:$BC,16,0)</f>
        <v>0</v>
      </c>
      <c r="I245" s="2">
        <f>VLOOKUP($C245,'[10]for slip'!$F:$BC,17,0)</f>
        <v>0</v>
      </c>
      <c r="J245" s="2">
        <f>VLOOKUP($C245,'[10]for slip'!$F:$BC,27,0)</f>
        <v>0</v>
      </c>
      <c r="K245" s="2">
        <f>VLOOKUP($C245,'[10]for slip'!$F:$BC,31,0)</f>
        <v>0</v>
      </c>
      <c r="L245" s="2">
        <f>VLOOKUP($C245,'[10]for slip'!$F:$BC,35,0)</f>
        <v>15604.584590750002</v>
      </c>
      <c r="M245" s="2">
        <f>VLOOKUP($C245,'[10]for slip'!$F:$BC,36,0)</f>
        <v>0</v>
      </c>
      <c r="N245" s="2">
        <f>VLOOKUP($C245,'[10]for slip'!$F:$BC,37,0)</f>
        <v>0</v>
      </c>
      <c r="O245" s="2">
        <f>VLOOKUP($C245,'[10]for slip'!$F:$BC,38,0)</f>
        <v>0</v>
      </c>
      <c r="P245" s="2">
        <f>VLOOKUP($C245,'[10]for slip'!$F:$BC,39,0)</f>
        <v>38000</v>
      </c>
      <c r="Q245" s="2">
        <f>VLOOKUP($C245,'[10]for slip'!$F:$BC,40,0)</f>
        <v>31700</v>
      </c>
      <c r="R245" s="2">
        <f>VLOOKUP($C245,'[10]for slip'!$F:$BC,41,0)</f>
        <v>0</v>
      </c>
      <c r="S245" s="2">
        <f>VLOOKUP($C245,'[10]for slip'!$F:$BC,42,0)</f>
        <v>0</v>
      </c>
      <c r="T245" s="2">
        <f>VLOOKUP($C245,'[10]for slip'!$F:$BC,43,0)</f>
        <v>53430.83</v>
      </c>
      <c r="U245" s="2">
        <f>VLOOKUP($C245,'[10]for slip'!$F:$BC,44,0)</f>
        <v>106861.66</v>
      </c>
      <c r="V245" s="2">
        <f>VLOOKUP($C245,'[10]for slip'!$F:$BC,45,0)</f>
        <v>53430.83</v>
      </c>
      <c r="W245" s="2">
        <f>VLOOKUP($C245,'[10]for slip'!$F:$BC,48,0)</f>
        <v>15604.584590750002</v>
      </c>
    </row>
    <row r="246" spans="1:23" x14ac:dyDescent="0.25">
      <c r="A246" s="1">
        <v>245</v>
      </c>
      <c r="B246" s="2" t="s">
        <v>511</v>
      </c>
      <c r="C246" s="2" t="s">
        <v>512</v>
      </c>
      <c r="D246" s="2" t="str">
        <f>VLOOKUP($C246,'[10]for slip'!$F:$BC,3,0)</f>
        <v>Pelaksana</v>
      </c>
      <c r="E246" s="2" t="str">
        <f>VLOOKUP($C246,'[10]for slip'!$F:$BC,4,0)</f>
        <v>Assembly</v>
      </c>
      <c r="F246" s="2">
        <f>VLOOKUP($C246,'[10]for slip'!$F:$BC,14,0)</f>
        <v>5343083</v>
      </c>
      <c r="G246" s="2">
        <f>VLOOKUP($C246,'[10]for slip'!$F:$BC,15,0)</f>
        <v>0</v>
      </c>
      <c r="H246" s="2">
        <f>VLOOKUP($C246,'[10]for slip'!$F:$BC,16,0)</f>
        <v>0</v>
      </c>
      <c r="I246" s="2">
        <f>VLOOKUP($C246,'[10]for slip'!$F:$BC,17,0)</f>
        <v>0</v>
      </c>
      <c r="J246" s="2">
        <f>VLOOKUP($C246,'[10]for slip'!$F:$BC,27,0)</f>
        <v>0</v>
      </c>
      <c r="K246" s="2">
        <f>VLOOKUP($C246,'[10]for slip'!$F:$BC,31,0)</f>
        <v>0</v>
      </c>
      <c r="L246" s="2">
        <f>VLOOKUP($C246,'[10]for slip'!$F:$BC,35,0)</f>
        <v>0</v>
      </c>
      <c r="M246" s="2">
        <f>VLOOKUP($C246,'[10]for slip'!$F:$BC,36,0)</f>
        <v>0</v>
      </c>
      <c r="N246" s="2">
        <f>VLOOKUP($C246,'[10]for slip'!$F:$BC,37,0)</f>
        <v>0</v>
      </c>
      <c r="O246" s="2">
        <f>VLOOKUP($C246,'[10]for slip'!$F:$BC,38,0)</f>
        <v>0</v>
      </c>
      <c r="P246" s="2">
        <f>VLOOKUP($C246,'[10]for slip'!$F:$BC,39,0)</f>
        <v>38000</v>
      </c>
      <c r="Q246" s="2">
        <f>VLOOKUP($C246,'[10]for slip'!$F:$BC,40,0)</f>
        <v>31700</v>
      </c>
      <c r="R246" s="2">
        <f>VLOOKUP($C246,'[10]for slip'!$F:$BC,41,0)</f>
        <v>0</v>
      </c>
      <c r="S246" s="2">
        <f>VLOOKUP($C246,'[10]for slip'!$F:$BC,42,0)</f>
        <v>0</v>
      </c>
      <c r="T246" s="2">
        <f>VLOOKUP($C246,'[10]for slip'!$F:$BC,43,0)</f>
        <v>53430.83</v>
      </c>
      <c r="U246" s="2">
        <f>VLOOKUP($C246,'[10]for slip'!$F:$BC,44,0)</f>
        <v>106861.66</v>
      </c>
      <c r="V246" s="2">
        <f>VLOOKUP($C246,'[10]for slip'!$F:$BC,45,0)</f>
        <v>53430.83</v>
      </c>
      <c r="W246" s="2">
        <f>VLOOKUP($C246,'[10]for slip'!$F:$BC,48,0)</f>
        <v>0</v>
      </c>
    </row>
    <row r="247" spans="1:23" x14ac:dyDescent="0.25">
      <c r="A247" s="1">
        <v>246</v>
      </c>
      <c r="B247" s="2" t="s">
        <v>513</v>
      </c>
      <c r="C247" s="2" t="s">
        <v>514</v>
      </c>
      <c r="D247" s="2" t="str">
        <f>VLOOKUP($C247,'[10]for slip'!$F:$BC,3,0)</f>
        <v>Pelaksana</v>
      </c>
      <c r="E247" s="2" t="str">
        <f>VLOOKUP($C247,'[10]for slip'!$F:$BC,4,0)</f>
        <v>Assembly</v>
      </c>
      <c r="F247" s="2">
        <f>VLOOKUP($C247,'[10]for slip'!$F:$BC,14,0)</f>
        <v>5343083</v>
      </c>
      <c r="G247" s="2">
        <f>VLOOKUP($C247,'[10]for slip'!$F:$BC,15,0)</f>
        <v>0</v>
      </c>
      <c r="H247" s="2">
        <f>VLOOKUP($C247,'[10]for slip'!$F:$BC,16,0)</f>
        <v>0</v>
      </c>
      <c r="I247" s="2">
        <f>VLOOKUP($C247,'[10]for slip'!$F:$BC,17,0)</f>
        <v>0</v>
      </c>
      <c r="J247" s="2">
        <f>VLOOKUP($C247,'[10]for slip'!$F:$BC,27,0)</f>
        <v>0</v>
      </c>
      <c r="K247" s="2">
        <f>VLOOKUP($C247,'[10]for slip'!$F:$BC,31,0)</f>
        <v>0</v>
      </c>
      <c r="L247" s="2">
        <f>VLOOKUP($C247,'[10]for slip'!$F:$BC,35,0)</f>
        <v>0</v>
      </c>
      <c r="M247" s="2">
        <f>VLOOKUP($C247,'[10]for slip'!$F:$BC,36,0)</f>
        <v>0</v>
      </c>
      <c r="N247" s="2">
        <f>VLOOKUP($C247,'[10]for slip'!$F:$BC,37,0)</f>
        <v>0</v>
      </c>
      <c r="O247" s="2">
        <f>VLOOKUP($C247,'[10]for slip'!$F:$BC,38,0)</f>
        <v>0</v>
      </c>
      <c r="P247" s="2">
        <f>VLOOKUP($C247,'[10]for slip'!$F:$BC,39,0)</f>
        <v>38000</v>
      </c>
      <c r="Q247" s="2">
        <f>VLOOKUP($C247,'[10]for slip'!$F:$BC,40,0)</f>
        <v>31700</v>
      </c>
      <c r="R247" s="2">
        <f>VLOOKUP($C247,'[10]for slip'!$F:$BC,41,0)</f>
        <v>0</v>
      </c>
      <c r="S247" s="2">
        <f>VLOOKUP($C247,'[10]for slip'!$F:$BC,42,0)</f>
        <v>0</v>
      </c>
      <c r="T247" s="2">
        <f>VLOOKUP($C247,'[10]for slip'!$F:$BC,43,0)</f>
        <v>53430.83</v>
      </c>
      <c r="U247" s="2">
        <f>VLOOKUP($C247,'[10]for slip'!$F:$BC,44,0)</f>
        <v>106861.66</v>
      </c>
      <c r="V247" s="2">
        <f>VLOOKUP($C247,'[10]for slip'!$F:$BC,45,0)</f>
        <v>53430.83</v>
      </c>
      <c r="W247" s="2">
        <f>VLOOKUP($C247,'[10]for slip'!$F:$BC,48,0)</f>
        <v>0</v>
      </c>
    </row>
    <row r="248" spans="1:23" x14ac:dyDescent="0.25">
      <c r="A248" s="1">
        <v>247</v>
      </c>
      <c r="B248" s="2" t="s">
        <v>515</v>
      </c>
      <c r="C248" s="2" t="s">
        <v>516</v>
      </c>
      <c r="D248" s="2" t="str">
        <f>VLOOKUP($C248,'[10]for slip'!$F:$BC,3,0)</f>
        <v>Pelaksana</v>
      </c>
      <c r="E248" s="2" t="str">
        <f>VLOOKUP($C248,'[10]for slip'!$F:$BC,4,0)</f>
        <v>Assembly</v>
      </c>
      <c r="F248" s="2">
        <f>VLOOKUP($C248,'[10]for slip'!$F:$BC,14,0)</f>
        <v>5343083</v>
      </c>
      <c r="G248" s="2">
        <f>VLOOKUP($C248,'[10]for slip'!$F:$BC,15,0)</f>
        <v>0</v>
      </c>
      <c r="H248" s="2">
        <f>VLOOKUP($C248,'[10]for slip'!$F:$BC,16,0)</f>
        <v>0</v>
      </c>
      <c r="I248" s="2">
        <f>VLOOKUP($C248,'[10]for slip'!$F:$BC,17,0)</f>
        <v>0</v>
      </c>
      <c r="J248" s="2">
        <f>VLOOKUP($C248,'[10]for slip'!$F:$BC,27,0)</f>
        <v>0</v>
      </c>
      <c r="K248" s="2">
        <f>VLOOKUP($C248,'[10]for slip'!$F:$BC,31,0)</f>
        <v>0</v>
      </c>
      <c r="L248" s="2">
        <f>VLOOKUP($C248,'[10]for slip'!$F:$BC,35,0)</f>
        <v>34354.584590750004</v>
      </c>
      <c r="M248" s="2">
        <f>VLOOKUP($C248,'[10]for slip'!$F:$BC,36,0)</f>
        <v>0</v>
      </c>
      <c r="N248" s="2">
        <f>VLOOKUP($C248,'[10]for slip'!$F:$BC,37,0)</f>
        <v>0</v>
      </c>
      <c r="O248" s="2">
        <f>VLOOKUP($C248,'[10]for slip'!$F:$BC,38,0)</f>
        <v>0</v>
      </c>
      <c r="P248" s="2">
        <f>VLOOKUP($C248,'[10]for slip'!$F:$BC,39,0)</f>
        <v>38000</v>
      </c>
      <c r="Q248" s="2">
        <f>VLOOKUP($C248,'[10]for slip'!$F:$BC,40,0)</f>
        <v>31700</v>
      </c>
      <c r="R248" s="2">
        <f>VLOOKUP($C248,'[10]for slip'!$F:$BC,41,0)</f>
        <v>0</v>
      </c>
      <c r="S248" s="2">
        <f>VLOOKUP($C248,'[10]for slip'!$F:$BC,42,0)</f>
        <v>0</v>
      </c>
      <c r="T248" s="2">
        <f>VLOOKUP($C248,'[10]for slip'!$F:$BC,43,0)</f>
        <v>53430.83</v>
      </c>
      <c r="U248" s="2">
        <f>VLOOKUP($C248,'[10]for slip'!$F:$BC,44,0)</f>
        <v>106861.66</v>
      </c>
      <c r="V248" s="2">
        <f>VLOOKUP($C248,'[10]for slip'!$F:$BC,45,0)</f>
        <v>53430.83</v>
      </c>
      <c r="W248" s="2">
        <f>VLOOKUP($C248,'[10]for slip'!$F:$BC,48,0)</f>
        <v>34354.584590750004</v>
      </c>
    </row>
    <row r="249" spans="1:23" x14ac:dyDescent="0.25">
      <c r="A249" s="1">
        <v>248</v>
      </c>
      <c r="B249" s="2" t="s">
        <v>517</v>
      </c>
      <c r="C249" s="2" t="s">
        <v>518</v>
      </c>
      <c r="D249" s="2" t="str">
        <f>VLOOKUP($C249,'[10]for slip'!$F:$BC,3,0)</f>
        <v>Pelaksana</v>
      </c>
      <c r="E249" s="2" t="str">
        <f>VLOOKUP($C249,'[10]for slip'!$F:$BC,4,0)</f>
        <v>Assembly</v>
      </c>
      <c r="F249" s="2">
        <f>VLOOKUP($C249,'[10]for slip'!$F:$BC,14,0)</f>
        <v>5343083</v>
      </c>
      <c r="G249" s="2">
        <f>VLOOKUP($C249,'[10]for slip'!$F:$BC,15,0)</f>
        <v>0</v>
      </c>
      <c r="H249" s="2">
        <f>VLOOKUP($C249,'[10]for slip'!$F:$BC,16,0)</f>
        <v>0</v>
      </c>
      <c r="I249" s="2">
        <f>VLOOKUP($C249,'[10]for slip'!$F:$BC,17,0)</f>
        <v>0</v>
      </c>
      <c r="J249" s="2">
        <f>VLOOKUP($C249,'[10]for slip'!$F:$BC,27,0)</f>
        <v>0</v>
      </c>
      <c r="K249" s="2">
        <f>VLOOKUP($C249,'[10]for slip'!$F:$BC,31,0)</f>
        <v>0</v>
      </c>
      <c r="L249" s="2">
        <f>VLOOKUP($C249,'[10]for slip'!$F:$BC,35,0)</f>
        <v>34354.584590750004</v>
      </c>
      <c r="M249" s="2">
        <f>VLOOKUP($C249,'[10]for slip'!$F:$BC,36,0)</f>
        <v>0</v>
      </c>
      <c r="N249" s="2">
        <f>VLOOKUP($C249,'[10]for slip'!$F:$BC,37,0)</f>
        <v>0</v>
      </c>
      <c r="O249" s="2">
        <f>VLOOKUP($C249,'[10]for slip'!$F:$BC,38,0)</f>
        <v>0</v>
      </c>
      <c r="P249" s="2">
        <f>VLOOKUP($C249,'[10]for slip'!$F:$BC,39,0)</f>
        <v>0</v>
      </c>
      <c r="Q249" s="2">
        <f>VLOOKUP($C249,'[10]for slip'!$F:$BC,40,0)</f>
        <v>31700</v>
      </c>
      <c r="R249" s="2">
        <f>VLOOKUP($C249,'[10]for slip'!$F:$BC,41,0)</f>
        <v>0</v>
      </c>
      <c r="S249" s="2">
        <f>VLOOKUP($C249,'[10]for slip'!$F:$BC,42,0)</f>
        <v>0</v>
      </c>
      <c r="T249" s="2">
        <f>VLOOKUP($C249,'[10]for slip'!$F:$BC,43,0)</f>
        <v>53430.83</v>
      </c>
      <c r="U249" s="2">
        <f>VLOOKUP($C249,'[10]for slip'!$F:$BC,44,0)</f>
        <v>106861.66</v>
      </c>
      <c r="V249" s="2">
        <f>VLOOKUP($C249,'[10]for slip'!$F:$BC,45,0)</f>
        <v>53430.83</v>
      </c>
      <c r="W249" s="2">
        <f>VLOOKUP($C249,'[10]for slip'!$F:$BC,48,0)</f>
        <v>34354.584590750004</v>
      </c>
    </row>
    <row r="250" spans="1:23" x14ac:dyDescent="0.25">
      <c r="A250" s="1">
        <v>249</v>
      </c>
      <c r="B250" s="2" t="s">
        <v>519</v>
      </c>
      <c r="C250" s="2" t="s">
        <v>520</v>
      </c>
      <c r="D250" s="2" t="str">
        <f>VLOOKUP($C250,'[10]for slip'!$F:$BC,3,0)</f>
        <v>Pelaksana</v>
      </c>
      <c r="E250" s="2" t="str">
        <f>VLOOKUP($C250,'[10]for slip'!$F:$BC,4,0)</f>
        <v>Assembly</v>
      </c>
      <c r="F250" s="2">
        <f>VLOOKUP($C250,'[10]for slip'!$F:$BC,14,0)</f>
        <v>5343083</v>
      </c>
      <c r="G250" s="2">
        <f>VLOOKUP($C250,'[10]for slip'!$F:$BC,15,0)</f>
        <v>0</v>
      </c>
      <c r="H250" s="2">
        <f>VLOOKUP($C250,'[10]for slip'!$F:$BC,16,0)</f>
        <v>0</v>
      </c>
      <c r="I250" s="2">
        <f>VLOOKUP($C250,'[10]for slip'!$F:$BC,17,0)</f>
        <v>0</v>
      </c>
      <c r="J250" s="2">
        <f>VLOOKUP($C250,'[10]for slip'!$F:$BC,27,0)</f>
        <v>0</v>
      </c>
      <c r="K250" s="2">
        <f>VLOOKUP($C250,'[10]for slip'!$F:$BC,31,0)</f>
        <v>0</v>
      </c>
      <c r="L250" s="2">
        <f>VLOOKUP($C250,'[10]for slip'!$F:$BC,35,0)</f>
        <v>34354.584590750004</v>
      </c>
      <c r="M250" s="2">
        <f>VLOOKUP($C250,'[10]for slip'!$F:$BC,36,0)</f>
        <v>0</v>
      </c>
      <c r="N250" s="2">
        <f>VLOOKUP($C250,'[10]for slip'!$F:$BC,37,0)</f>
        <v>0</v>
      </c>
      <c r="O250" s="2">
        <f>VLOOKUP($C250,'[10]for slip'!$F:$BC,38,0)</f>
        <v>0</v>
      </c>
      <c r="P250" s="2">
        <f>VLOOKUP($C250,'[10]for slip'!$F:$BC,39,0)</f>
        <v>38000</v>
      </c>
      <c r="Q250" s="2">
        <f>VLOOKUP($C250,'[10]for slip'!$F:$BC,40,0)</f>
        <v>0</v>
      </c>
      <c r="R250" s="2">
        <f>VLOOKUP($C250,'[10]for slip'!$F:$BC,41,0)</f>
        <v>0</v>
      </c>
      <c r="S250" s="2">
        <f>VLOOKUP($C250,'[10]for slip'!$F:$BC,42,0)</f>
        <v>0</v>
      </c>
      <c r="T250" s="2">
        <f>VLOOKUP($C250,'[10]for slip'!$F:$BC,43,0)</f>
        <v>53430.83</v>
      </c>
      <c r="U250" s="2">
        <f>VLOOKUP($C250,'[10]for slip'!$F:$BC,44,0)</f>
        <v>106861.66</v>
      </c>
      <c r="V250" s="2">
        <f>VLOOKUP($C250,'[10]for slip'!$F:$BC,45,0)</f>
        <v>53430.83</v>
      </c>
      <c r="W250" s="2">
        <f>VLOOKUP($C250,'[10]for slip'!$F:$BC,48,0)</f>
        <v>34354.584590750004</v>
      </c>
    </row>
    <row r="251" spans="1:23" x14ac:dyDescent="0.25">
      <c r="A251" s="1">
        <v>250</v>
      </c>
      <c r="B251" s="2" t="s">
        <v>521</v>
      </c>
      <c r="C251" s="2" t="s">
        <v>522</v>
      </c>
      <c r="D251" s="2" t="str">
        <f>VLOOKUP($C251,'[10]for slip'!$F:$BC,3,0)</f>
        <v>Pelaksana</v>
      </c>
      <c r="E251" s="2" t="str">
        <f>VLOOKUP($C251,'[10]for slip'!$F:$BC,4,0)</f>
        <v>Assembly</v>
      </c>
      <c r="F251" s="2">
        <f>VLOOKUP($C251,'[10]for slip'!$F:$BC,14,0)</f>
        <v>5343083</v>
      </c>
      <c r="G251" s="2">
        <f>VLOOKUP($C251,'[10]for slip'!$F:$BC,15,0)</f>
        <v>0</v>
      </c>
      <c r="H251" s="2">
        <f>VLOOKUP($C251,'[10]for slip'!$F:$BC,16,0)</f>
        <v>0</v>
      </c>
      <c r="I251" s="2">
        <f>VLOOKUP($C251,'[10]for slip'!$F:$BC,17,0)</f>
        <v>0</v>
      </c>
      <c r="J251" s="2">
        <f>VLOOKUP($C251,'[10]for slip'!$F:$BC,27,0)</f>
        <v>0</v>
      </c>
      <c r="K251" s="2">
        <f>VLOOKUP($C251,'[10]for slip'!$F:$BC,31,0)</f>
        <v>0</v>
      </c>
      <c r="L251" s="2">
        <f>VLOOKUP($C251,'[10]for slip'!$F:$BC,35,0)</f>
        <v>34354.584590750004</v>
      </c>
      <c r="M251" s="2">
        <f>VLOOKUP($C251,'[10]for slip'!$F:$BC,36,0)</f>
        <v>0</v>
      </c>
      <c r="N251" s="2">
        <f>VLOOKUP($C251,'[10]for slip'!$F:$BC,37,0)</f>
        <v>0</v>
      </c>
      <c r="O251" s="2">
        <f>VLOOKUP($C251,'[10]for slip'!$F:$BC,38,0)</f>
        <v>0</v>
      </c>
      <c r="P251" s="2">
        <f>VLOOKUP($C251,'[10]for slip'!$F:$BC,39,0)</f>
        <v>38000</v>
      </c>
      <c r="Q251" s="2">
        <f>VLOOKUP($C251,'[10]for slip'!$F:$BC,40,0)</f>
        <v>31700</v>
      </c>
      <c r="R251" s="2">
        <f>VLOOKUP($C251,'[10]for slip'!$F:$BC,41,0)</f>
        <v>0</v>
      </c>
      <c r="S251" s="2">
        <f>VLOOKUP($C251,'[10]for slip'!$F:$BC,42,0)</f>
        <v>0</v>
      </c>
      <c r="T251" s="2">
        <f>VLOOKUP($C251,'[10]for slip'!$F:$BC,43,0)</f>
        <v>53430.83</v>
      </c>
      <c r="U251" s="2">
        <f>VLOOKUP($C251,'[10]for slip'!$F:$BC,44,0)</f>
        <v>106861.66</v>
      </c>
      <c r="V251" s="2">
        <f>VLOOKUP($C251,'[10]for slip'!$F:$BC,45,0)</f>
        <v>53430.83</v>
      </c>
      <c r="W251" s="2">
        <f>VLOOKUP($C251,'[10]for slip'!$F:$BC,48,0)</f>
        <v>34354.584590750004</v>
      </c>
    </row>
    <row r="252" spans="1:23" x14ac:dyDescent="0.25">
      <c r="A252" s="1">
        <v>251</v>
      </c>
      <c r="B252" s="2" t="s">
        <v>523</v>
      </c>
      <c r="C252" s="2" t="s">
        <v>524</v>
      </c>
      <c r="D252" s="2" t="str">
        <f>VLOOKUP($C252,'[10]for slip'!$F:$BC,3,0)</f>
        <v>Pelaksana</v>
      </c>
      <c r="E252" s="2" t="str">
        <f>VLOOKUP($C252,'[10]for slip'!$F:$BC,4,0)</f>
        <v>Assembly</v>
      </c>
      <c r="F252" s="2">
        <f>VLOOKUP($C252,'[10]for slip'!$F:$BC,14,0)</f>
        <v>5343083</v>
      </c>
      <c r="G252" s="2">
        <f>VLOOKUP($C252,'[10]for slip'!$F:$BC,15,0)</f>
        <v>0</v>
      </c>
      <c r="H252" s="2">
        <f>VLOOKUP($C252,'[10]for slip'!$F:$BC,16,0)</f>
        <v>0</v>
      </c>
      <c r="I252" s="2">
        <f>VLOOKUP($C252,'[10]for slip'!$F:$BC,17,0)</f>
        <v>0</v>
      </c>
      <c r="J252" s="2">
        <f>VLOOKUP($C252,'[10]for slip'!$F:$BC,27,0)</f>
        <v>0</v>
      </c>
      <c r="K252" s="2">
        <f>VLOOKUP($C252,'[10]for slip'!$F:$BC,31,0)</f>
        <v>0</v>
      </c>
      <c r="L252" s="2">
        <f>VLOOKUP($C252,'[10]for slip'!$F:$BC,35,0)</f>
        <v>15604.584590750002</v>
      </c>
      <c r="M252" s="2">
        <f>VLOOKUP($C252,'[10]for slip'!$F:$BC,36,0)</f>
        <v>0</v>
      </c>
      <c r="N252" s="2">
        <f>VLOOKUP($C252,'[10]for slip'!$F:$BC,37,0)</f>
        <v>0</v>
      </c>
      <c r="O252" s="2">
        <f>VLOOKUP($C252,'[10]for slip'!$F:$BC,38,0)</f>
        <v>0</v>
      </c>
      <c r="P252" s="2">
        <f>VLOOKUP($C252,'[10]for slip'!$F:$BC,39,0)</f>
        <v>38000</v>
      </c>
      <c r="Q252" s="2">
        <f>VLOOKUP($C252,'[10]for slip'!$F:$BC,40,0)</f>
        <v>31700</v>
      </c>
      <c r="R252" s="2">
        <f>VLOOKUP($C252,'[10]for slip'!$F:$BC,41,0)</f>
        <v>0</v>
      </c>
      <c r="S252" s="2">
        <f>VLOOKUP($C252,'[10]for slip'!$F:$BC,42,0)</f>
        <v>0</v>
      </c>
      <c r="T252" s="2">
        <f>VLOOKUP($C252,'[10]for slip'!$F:$BC,43,0)</f>
        <v>53430.83</v>
      </c>
      <c r="U252" s="2">
        <f>VLOOKUP($C252,'[10]for slip'!$F:$BC,44,0)</f>
        <v>106861.66</v>
      </c>
      <c r="V252" s="2">
        <f>VLOOKUP($C252,'[10]for slip'!$F:$BC,45,0)</f>
        <v>53430.83</v>
      </c>
      <c r="W252" s="2">
        <f>VLOOKUP($C252,'[10]for slip'!$F:$BC,48,0)</f>
        <v>15604.584590750002</v>
      </c>
    </row>
    <row r="253" spans="1:23" x14ac:dyDescent="0.25">
      <c r="A253" s="1">
        <v>252</v>
      </c>
      <c r="B253" s="2" t="s">
        <v>525</v>
      </c>
      <c r="C253" s="2" t="s">
        <v>526</v>
      </c>
      <c r="D253" s="2" t="str">
        <f>VLOOKUP($C253,'[10]for slip'!$F:$BC,3,0)</f>
        <v>Pelaksana</v>
      </c>
      <c r="E253" s="2" t="str">
        <f>VLOOKUP($C253,'[10]for slip'!$F:$BC,4,0)</f>
        <v>Assembly</v>
      </c>
      <c r="F253" s="2">
        <f>VLOOKUP($C253,'[10]for slip'!$F:$BC,14,0)</f>
        <v>5343083</v>
      </c>
      <c r="G253" s="2">
        <f>VLOOKUP($C253,'[10]for slip'!$F:$BC,15,0)</f>
        <v>0</v>
      </c>
      <c r="H253" s="2">
        <f>VLOOKUP($C253,'[10]for slip'!$F:$BC,16,0)</f>
        <v>0</v>
      </c>
      <c r="I253" s="2">
        <f>VLOOKUP($C253,'[10]for slip'!$F:$BC,17,0)</f>
        <v>0</v>
      </c>
      <c r="J253" s="2">
        <f>VLOOKUP($C253,'[10]for slip'!$F:$BC,27,0)</f>
        <v>0</v>
      </c>
      <c r="K253" s="2">
        <f>VLOOKUP($C253,'[10]for slip'!$F:$BC,31,0)</f>
        <v>0</v>
      </c>
      <c r="L253" s="2">
        <f>VLOOKUP($C253,'[10]for slip'!$F:$BC,35,0)</f>
        <v>0</v>
      </c>
      <c r="M253" s="2">
        <f>VLOOKUP($C253,'[10]for slip'!$F:$BC,36,0)</f>
        <v>0</v>
      </c>
      <c r="N253" s="2">
        <f>VLOOKUP($C253,'[10]for slip'!$F:$BC,37,0)</f>
        <v>0</v>
      </c>
      <c r="O253" s="2">
        <f>VLOOKUP($C253,'[10]for slip'!$F:$BC,38,0)</f>
        <v>0</v>
      </c>
      <c r="P253" s="2">
        <f>VLOOKUP($C253,'[10]for slip'!$F:$BC,39,0)</f>
        <v>38000</v>
      </c>
      <c r="Q253" s="2">
        <f>VLOOKUP($C253,'[10]for slip'!$F:$BC,40,0)</f>
        <v>31700</v>
      </c>
      <c r="R253" s="2">
        <f>VLOOKUP($C253,'[10]for slip'!$F:$BC,41,0)</f>
        <v>0</v>
      </c>
      <c r="S253" s="2">
        <f>VLOOKUP($C253,'[10]for slip'!$F:$BC,42,0)</f>
        <v>0</v>
      </c>
      <c r="T253" s="2">
        <f>VLOOKUP($C253,'[10]for slip'!$F:$BC,43,0)</f>
        <v>53430.83</v>
      </c>
      <c r="U253" s="2">
        <f>VLOOKUP($C253,'[10]for slip'!$F:$BC,44,0)</f>
        <v>106861.66</v>
      </c>
      <c r="V253" s="2">
        <f>VLOOKUP($C253,'[10]for slip'!$F:$BC,45,0)</f>
        <v>53430.83</v>
      </c>
      <c r="W253" s="2">
        <f>VLOOKUP($C253,'[10]for slip'!$F:$BC,48,0)</f>
        <v>0</v>
      </c>
    </row>
    <row r="254" spans="1:23" x14ac:dyDescent="0.25">
      <c r="A254" s="1">
        <v>253</v>
      </c>
      <c r="B254" s="2" t="s">
        <v>527</v>
      </c>
      <c r="C254" s="2" t="s">
        <v>528</v>
      </c>
      <c r="D254" s="2" t="str">
        <f>VLOOKUP($C254,'[10]for slip'!$F:$BC,3,0)</f>
        <v>Pelaksana</v>
      </c>
      <c r="E254" s="2" t="str">
        <f>VLOOKUP($C254,'[10]for slip'!$F:$BC,4,0)</f>
        <v>Assembly</v>
      </c>
      <c r="F254" s="2">
        <f>VLOOKUP($C254,'[10]for slip'!$F:$BC,14,0)</f>
        <v>5343083</v>
      </c>
      <c r="G254" s="2">
        <f>VLOOKUP($C254,'[10]for slip'!$F:$BC,15,0)</f>
        <v>0</v>
      </c>
      <c r="H254" s="2">
        <f>VLOOKUP($C254,'[10]for slip'!$F:$BC,16,0)</f>
        <v>0</v>
      </c>
      <c r="I254" s="2">
        <f>VLOOKUP($C254,'[10]for slip'!$F:$BC,17,0)</f>
        <v>0</v>
      </c>
      <c r="J254" s="2">
        <f>VLOOKUP($C254,'[10]for slip'!$F:$BC,27,0)</f>
        <v>0</v>
      </c>
      <c r="K254" s="2">
        <f>VLOOKUP($C254,'[10]for slip'!$F:$BC,31,0)</f>
        <v>0</v>
      </c>
      <c r="L254" s="2">
        <f>VLOOKUP($C254,'[10]for slip'!$F:$BC,35,0)</f>
        <v>15604.584590750002</v>
      </c>
      <c r="M254" s="2">
        <f>VLOOKUP($C254,'[10]for slip'!$F:$BC,36,0)</f>
        <v>0</v>
      </c>
      <c r="N254" s="2">
        <f>VLOOKUP($C254,'[10]for slip'!$F:$BC,37,0)</f>
        <v>0</v>
      </c>
      <c r="O254" s="2">
        <f>VLOOKUP($C254,'[10]for slip'!$F:$BC,38,0)</f>
        <v>0</v>
      </c>
      <c r="P254" s="2">
        <f>VLOOKUP($C254,'[10]for slip'!$F:$BC,39,0)</f>
        <v>38000</v>
      </c>
      <c r="Q254" s="2">
        <f>VLOOKUP($C254,'[10]for slip'!$F:$BC,40,0)</f>
        <v>31700</v>
      </c>
      <c r="R254" s="2">
        <f>VLOOKUP($C254,'[10]for slip'!$F:$BC,41,0)</f>
        <v>0</v>
      </c>
      <c r="S254" s="2">
        <f>VLOOKUP($C254,'[10]for slip'!$F:$BC,42,0)</f>
        <v>10000</v>
      </c>
      <c r="T254" s="2">
        <f>VLOOKUP($C254,'[10]for slip'!$F:$BC,43,0)</f>
        <v>53430.83</v>
      </c>
      <c r="U254" s="2">
        <f>VLOOKUP($C254,'[10]for slip'!$F:$BC,44,0)</f>
        <v>106861.66</v>
      </c>
      <c r="V254" s="2">
        <f>VLOOKUP($C254,'[10]for slip'!$F:$BC,45,0)</f>
        <v>53430.83</v>
      </c>
      <c r="W254" s="2">
        <f>VLOOKUP($C254,'[10]for slip'!$F:$BC,48,0)</f>
        <v>15604.584590750002</v>
      </c>
    </row>
    <row r="255" spans="1:23" x14ac:dyDescent="0.25">
      <c r="A255" s="1">
        <v>254</v>
      </c>
      <c r="B255" s="2" t="s">
        <v>529</v>
      </c>
      <c r="C255" s="2" t="s">
        <v>530</v>
      </c>
      <c r="D255" s="2" t="str">
        <f>VLOOKUP($C255,'[10]for slip'!$F:$BC,3,0)</f>
        <v>Pelaksana</v>
      </c>
      <c r="E255" s="2" t="str">
        <f>VLOOKUP($C255,'[10]for slip'!$F:$BC,4,0)</f>
        <v>Assembly</v>
      </c>
      <c r="F255" s="2">
        <f>VLOOKUP($C255,'[10]for slip'!$F:$BC,14,0)</f>
        <v>5343083</v>
      </c>
      <c r="G255" s="2">
        <f>VLOOKUP($C255,'[10]for slip'!$F:$BC,15,0)</f>
        <v>0</v>
      </c>
      <c r="H255" s="2">
        <f>VLOOKUP($C255,'[10]for slip'!$F:$BC,16,0)</f>
        <v>0</v>
      </c>
      <c r="I255" s="2">
        <f>VLOOKUP($C255,'[10]for slip'!$F:$BC,17,0)</f>
        <v>0</v>
      </c>
      <c r="J255" s="2">
        <f>VLOOKUP($C255,'[10]for slip'!$F:$BC,27,0)</f>
        <v>0</v>
      </c>
      <c r="K255" s="2">
        <f>VLOOKUP($C255,'[10]for slip'!$F:$BC,31,0)</f>
        <v>0</v>
      </c>
      <c r="L255" s="2">
        <f>VLOOKUP($C255,'[10]for slip'!$F:$BC,35,0)</f>
        <v>34354.584590750004</v>
      </c>
      <c r="M255" s="2">
        <f>VLOOKUP($C255,'[10]for slip'!$F:$BC,36,0)</f>
        <v>0</v>
      </c>
      <c r="N255" s="2">
        <f>VLOOKUP($C255,'[10]for slip'!$F:$BC,37,0)</f>
        <v>0</v>
      </c>
      <c r="O255" s="2">
        <f>VLOOKUP($C255,'[10]for slip'!$F:$BC,38,0)</f>
        <v>0</v>
      </c>
      <c r="P255" s="2">
        <f>VLOOKUP($C255,'[10]for slip'!$F:$BC,39,0)</f>
        <v>38000</v>
      </c>
      <c r="Q255" s="2">
        <f>VLOOKUP($C255,'[10]for slip'!$F:$BC,40,0)</f>
        <v>31700</v>
      </c>
      <c r="R255" s="2">
        <f>VLOOKUP($C255,'[10]for slip'!$F:$BC,41,0)</f>
        <v>0</v>
      </c>
      <c r="S255" s="2">
        <f>VLOOKUP($C255,'[10]for slip'!$F:$BC,42,0)</f>
        <v>10000</v>
      </c>
      <c r="T255" s="2">
        <f>VLOOKUP($C255,'[10]for slip'!$F:$BC,43,0)</f>
        <v>53430.83</v>
      </c>
      <c r="U255" s="2">
        <f>VLOOKUP($C255,'[10]for slip'!$F:$BC,44,0)</f>
        <v>106861.66</v>
      </c>
      <c r="V255" s="2">
        <f>VLOOKUP($C255,'[10]for slip'!$F:$BC,45,0)</f>
        <v>53430.83</v>
      </c>
      <c r="W255" s="2">
        <f>VLOOKUP($C255,'[10]for slip'!$F:$BC,48,0)</f>
        <v>34354.584590750004</v>
      </c>
    </row>
    <row r="256" spans="1:23" x14ac:dyDescent="0.25">
      <c r="A256" s="1">
        <v>255</v>
      </c>
      <c r="B256" s="2" t="s">
        <v>531</v>
      </c>
      <c r="C256" s="2" t="s">
        <v>532</v>
      </c>
      <c r="D256" s="2" t="str">
        <f>VLOOKUP($C256,'[10]for slip'!$F:$BC,3,0)</f>
        <v>Pelaksana</v>
      </c>
      <c r="E256" s="2" t="str">
        <f>VLOOKUP($C256,'[10]for slip'!$F:$BC,4,0)</f>
        <v>Assembly</v>
      </c>
      <c r="F256" s="2">
        <f>VLOOKUP($C256,'[10]for slip'!$F:$BC,14,0)</f>
        <v>5343083</v>
      </c>
      <c r="G256" s="2">
        <f>VLOOKUP($C256,'[10]for slip'!$F:$BC,15,0)</f>
        <v>0</v>
      </c>
      <c r="H256" s="2">
        <f>VLOOKUP($C256,'[10]for slip'!$F:$BC,16,0)</f>
        <v>0</v>
      </c>
      <c r="I256" s="2">
        <f>VLOOKUP($C256,'[10]for slip'!$F:$BC,17,0)</f>
        <v>0</v>
      </c>
      <c r="J256" s="2">
        <f>VLOOKUP($C256,'[10]for slip'!$F:$BC,27,0)</f>
        <v>0</v>
      </c>
      <c r="K256" s="2">
        <f>VLOOKUP($C256,'[10]for slip'!$F:$BC,31,0)</f>
        <v>0</v>
      </c>
      <c r="L256" s="2">
        <f>VLOOKUP($C256,'[10]for slip'!$F:$BC,35,0)</f>
        <v>34354.584590750004</v>
      </c>
      <c r="M256" s="2">
        <f>VLOOKUP($C256,'[10]for slip'!$F:$BC,36,0)</f>
        <v>0</v>
      </c>
      <c r="N256" s="2">
        <f>VLOOKUP($C256,'[10]for slip'!$F:$BC,37,0)</f>
        <v>0</v>
      </c>
      <c r="O256" s="2">
        <f>VLOOKUP($C256,'[10]for slip'!$F:$BC,38,0)</f>
        <v>0</v>
      </c>
      <c r="P256" s="2">
        <f>VLOOKUP($C256,'[10]for slip'!$F:$BC,39,0)</f>
        <v>38000</v>
      </c>
      <c r="Q256" s="2">
        <f>VLOOKUP($C256,'[10]for slip'!$F:$BC,40,0)</f>
        <v>31700</v>
      </c>
      <c r="R256" s="2">
        <f>VLOOKUP($C256,'[10]for slip'!$F:$BC,41,0)</f>
        <v>0</v>
      </c>
      <c r="S256" s="2">
        <f>VLOOKUP($C256,'[10]for slip'!$F:$BC,42,0)</f>
        <v>0</v>
      </c>
      <c r="T256" s="2">
        <f>VLOOKUP($C256,'[10]for slip'!$F:$BC,43,0)</f>
        <v>53430.83</v>
      </c>
      <c r="U256" s="2">
        <f>VLOOKUP($C256,'[10]for slip'!$F:$BC,44,0)</f>
        <v>106861.66</v>
      </c>
      <c r="V256" s="2">
        <f>VLOOKUP($C256,'[10]for slip'!$F:$BC,45,0)</f>
        <v>53430.83</v>
      </c>
      <c r="W256" s="2">
        <f>VLOOKUP($C256,'[10]for slip'!$F:$BC,48,0)</f>
        <v>34354.584590750004</v>
      </c>
    </row>
    <row r="257" spans="1:23" x14ac:dyDescent="0.25">
      <c r="A257" s="1">
        <v>256</v>
      </c>
      <c r="B257" s="2" t="s">
        <v>533</v>
      </c>
      <c r="C257" s="2" t="s">
        <v>534</v>
      </c>
      <c r="D257" s="2" t="str">
        <f>VLOOKUP($C257,'[10]for slip'!$F:$BC,3,0)</f>
        <v>Pelaksana</v>
      </c>
      <c r="E257" s="2" t="str">
        <f>VLOOKUP($C257,'[10]for slip'!$F:$BC,4,0)</f>
        <v>Assembly</v>
      </c>
      <c r="F257" s="2">
        <f>VLOOKUP($C257,'[10]for slip'!$F:$BC,14,0)</f>
        <v>5343083</v>
      </c>
      <c r="G257" s="2">
        <f>VLOOKUP($C257,'[10]for slip'!$F:$BC,15,0)</f>
        <v>0</v>
      </c>
      <c r="H257" s="2">
        <f>VLOOKUP($C257,'[10]for slip'!$F:$BC,16,0)</f>
        <v>0</v>
      </c>
      <c r="I257" s="2">
        <f>VLOOKUP($C257,'[10]for slip'!$F:$BC,17,0)</f>
        <v>0</v>
      </c>
      <c r="J257" s="2">
        <f>VLOOKUP($C257,'[10]for slip'!$F:$BC,27,0)</f>
        <v>0</v>
      </c>
      <c r="K257" s="2">
        <f>VLOOKUP($C257,'[10]for slip'!$F:$BC,31,0)</f>
        <v>0</v>
      </c>
      <c r="L257" s="2">
        <f>VLOOKUP($C257,'[10]for slip'!$F:$BC,35,0)</f>
        <v>0</v>
      </c>
      <c r="M257" s="2">
        <f>VLOOKUP($C257,'[10]for slip'!$F:$BC,36,0)</f>
        <v>0</v>
      </c>
      <c r="N257" s="2">
        <f>VLOOKUP($C257,'[10]for slip'!$F:$BC,37,0)</f>
        <v>0</v>
      </c>
      <c r="O257" s="2">
        <f>VLOOKUP($C257,'[10]for slip'!$F:$BC,38,0)</f>
        <v>0</v>
      </c>
      <c r="P257" s="2">
        <f>VLOOKUP($C257,'[10]for slip'!$F:$BC,39,0)</f>
        <v>38000</v>
      </c>
      <c r="Q257" s="2">
        <f>VLOOKUP($C257,'[10]for slip'!$F:$BC,40,0)</f>
        <v>31700</v>
      </c>
      <c r="R257" s="2">
        <f>VLOOKUP($C257,'[10]for slip'!$F:$BC,41,0)</f>
        <v>0</v>
      </c>
      <c r="S257" s="2">
        <f>VLOOKUP($C257,'[10]for slip'!$F:$BC,42,0)</f>
        <v>0</v>
      </c>
      <c r="T257" s="2">
        <f>VLOOKUP($C257,'[10]for slip'!$F:$BC,43,0)</f>
        <v>53430.83</v>
      </c>
      <c r="U257" s="2">
        <f>VLOOKUP($C257,'[10]for slip'!$F:$BC,44,0)</f>
        <v>106861.66</v>
      </c>
      <c r="V257" s="2">
        <f>VLOOKUP($C257,'[10]for slip'!$F:$BC,45,0)</f>
        <v>53430.83</v>
      </c>
      <c r="W257" s="2">
        <f>VLOOKUP($C257,'[10]for slip'!$F:$BC,48,0)</f>
        <v>0</v>
      </c>
    </row>
    <row r="258" spans="1:23" x14ac:dyDescent="0.25">
      <c r="A258" s="1">
        <v>257</v>
      </c>
      <c r="B258" s="2" t="s">
        <v>535</v>
      </c>
      <c r="C258" s="2" t="s">
        <v>536</v>
      </c>
      <c r="D258" s="2" t="str">
        <f>VLOOKUP($C258,'[10]for slip'!$F:$BC,3,0)</f>
        <v>Pelaksana</v>
      </c>
      <c r="E258" s="2" t="str">
        <f>VLOOKUP($C258,'[10]for slip'!$F:$BC,4,0)</f>
        <v>Assembly</v>
      </c>
      <c r="F258" s="2">
        <f>VLOOKUP($C258,'[10]for slip'!$F:$BC,14,0)</f>
        <v>5343083</v>
      </c>
      <c r="G258" s="2">
        <f>VLOOKUP($C258,'[10]for slip'!$F:$BC,15,0)</f>
        <v>0</v>
      </c>
      <c r="H258" s="2">
        <f>VLOOKUP($C258,'[10]for slip'!$F:$BC,16,0)</f>
        <v>0</v>
      </c>
      <c r="I258" s="2">
        <f>VLOOKUP($C258,'[10]for slip'!$F:$BC,17,0)</f>
        <v>0</v>
      </c>
      <c r="J258" s="2">
        <f>VLOOKUP($C258,'[10]for slip'!$F:$BC,27,0)</f>
        <v>0</v>
      </c>
      <c r="K258" s="2">
        <f>VLOOKUP($C258,'[10]for slip'!$F:$BC,31,0)</f>
        <v>0</v>
      </c>
      <c r="L258" s="2">
        <f>VLOOKUP($C258,'[10]for slip'!$F:$BC,35,0)</f>
        <v>0</v>
      </c>
      <c r="M258" s="2">
        <f>VLOOKUP($C258,'[10]for slip'!$F:$BC,36,0)</f>
        <v>0</v>
      </c>
      <c r="N258" s="2">
        <f>VLOOKUP($C258,'[10]for slip'!$F:$BC,37,0)</f>
        <v>0</v>
      </c>
      <c r="O258" s="2">
        <f>VLOOKUP($C258,'[10]for slip'!$F:$BC,38,0)</f>
        <v>0</v>
      </c>
      <c r="P258" s="2">
        <f>VLOOKUP($C258,'[10]for slip'!$F:$BC,39,0)</f>
        <v>38000</v>
      </c>
      <c r="Q258" s="2">
        <f>VLOOKUP($C258,'[10]for slip'!$F:$BC,40,0)</f>
        <v>31700</v>
      </c>
      <c r="R258" s="2">
        <f>VLOOKUP($C258,'[10]for slip'!$F:$BC,41,0)</f>
        <v>0</v>
      </c>
      <c r="S258" s="2">
        <f>VLOOKUP($C258,'[10]for slip'!$F:$BC,42,0)</f>
        <v>0</v>
      </c>
      <c r="T258" s="2">
        <f>VLOOKUP($C258,'[10]for slip'!$F:$BC,43,0)</f>
        <v>53430.83</v>
      </c>
      <c r="U258" s="2">
        <f>VLOOKUP($C258,'[10]for slip'!$F:$BC,44,0)</f>
        <v>106861.66</v>
      </c>
      <c r="V258" s="2">
        <f>VLOOKUP($C258,'[10]for slip'!$F:$BC,45,0)</f>
        <v>53430.83</v>
      </c>
      <c r="W258" s="2">
        <f>VLOOKUP($C258,'[10]for slip'!$F:$BC,48,0)</f>
        <v>0</v>
      </c>
    </row>
    <row r="259" spans="1:23" x14ac:dyDescent="0.25">
      <c r="A259" s="1">
        <v>258</v>
      </c>
      <c r="B259" s="2" t="s">
        <v>537</v>
      </c>
      <c r="C259" s="2" t="s">
        <v>538</v>
      </c>
      <c r="D259" s="2" t="str">
        <f>VLOOKUP($C259,'[10]for slip'!$F:$BC,3,0)</f>
        <v>Pelaksana</v>
      </c>
      <c r="E259" s="2" t="str">
        <f>VLOOKUP($C259,'[10]for slip'!$F:$BC,4,0)</f>
        <v>Assembly</v>
      </c>
      <c r="F259" s="2">
        <f>VLOOKUP($C259,'[10]for slip'!$F:$BC,14,0)</f>
        <v>5343083</v>
      </c>
      <c r="G259" s="2">
        <f>VLOOKUP($C259,'[10]for slip'!$F:$BC,15,0)</f>
        <v>0</v>
      </c>
      <c r="H259" s="2">
        <f>VLOOKUP($C259,'[10]for slip'!$F:$BC,16,0)</f>
        <v>0</v>
      </c>
      <c r="I259" s="2">
        <f>VLOOKUP($C259,'[10]for slip'!$F:$BC,17,0)</f>
        <v>0</v>
      </c>
      <c r="J259" s="2">
        <f>VLOOKUP($C259,'[10]for slip'!$F:$BC,27,0)</f>
        <v>0</v>
      </c>
      <c r="K259" s="2">
        <f>VLOOKUP($C259,'[10]for slip'!$F:$BC,31,0)</f>
        <v>0</v>
      </c>
      <c r="L259" s="2">
        <f>VLOOKUP($C259,'[10]for slip'!$F:$BC,35,0)</f>
        <v>0</v>
      </c>
      <c r="M259" s="2">
        <f>VLOOKUP($C259,'[10]for slip'!$F:$BC,36,0)</f>
        <v>0</v>
      </c>
      <c r="N259" s="2">
        <f>VLOOKUP($C259,'[10]for slip'!$F:$BC,37,0)</f>
        <v>0</v>
      </c>
      <c r="O259" s="2">
        <f>VLOOKUP($C259,'[10]for slip'!$F:$BC,38,0)</f>
        <v>0</v>
      </c>
      <c r="P259" s="2">
        <f>VLOOKUP($C259,'[10]for slip'!$F:$BC,39,0)</f>
        <v>38000</v>
      </c>
      <c r="Q259" s="2">
        <f>VLOOKUP($C259,'[10]for slip'!$F:$BC,40,0)</f>
        <v>31700</v>
      </c>
      <c r="R259" s="2">
        <f>VLOOKUP($C259,'[10]for slip'!$F:$BC,41,0)</f>
        <v>0</v>
      </c>
      <c r="S259" s="2">
        <f>VLOOKUP($C259,'[10]for slip'!$F:$BC,42,0)</f>
        <v>0</v>
      </c>
      <c r="T259" s="2">
        <f>VLOOKUP($C259,'[10]for slip'!$F:$BC,43,0)</f>
        <v>53430.83</v>
      </c>
      <c r="U259" s="2">
        <f>VLOOKUP($C259,'[10]for slip'!$F:$BC,44,0)</f>
        <v>106861.66</v>
      </c>
      <c r="V259" s="2">
        <f>VLOOKUP($C259,'[10]for slip'!$F:$BC,45,0)</f>
        <v>53430.83</v>
      </c>
      <c r="W259" s="2">
        <f>VLOOKUP($C259,'[10]for slip'!$F:$BC,48,0)</f>
        <v>0</v>
      </c>
    </row>
    <row r="260" spans="1:23" x14ac:dyDescent="0.25">
      <c r="A260" s="1">
        <v>259</v>
      </c>
      <c r="B260" s="2" t="s">
        <v>539</v>
      </c>
      <c r="C260" s="2" t="s">
        <v>540</v>
      </c>
      <c r="D260" s="2" t="str">
        <f>VLOOKUP($C260,'[10]for slip'!$F:$BC,3,0)</f>
        <v>Pelaksana</v>
      </c>
      <c r="E260" s="2" t="str">
        <f>VLOOKUP($C260,'[10]for slip'!$F:$BC,4,0)</f>
        <v>Assembly</v>
      </c>
      <c r="F260" s="2">
        <f>VLOOKUP($C260,'[10]for slip'!$F:$BC,14,0)</f>
        <v>5343083</v>
      </c>
      <c r="G260" s="2">
        <f>VLOOKUP($C260,'[10]for slip'!$F:$BC,15,0)</f>
        <v>0</v>
      </c>
      <c r="H260" s="2">
        <f>VLOOKUP($C260,'[10]for slip'!$F:$BC,16,0)</f>
        <v>0</v>
      </c>
      <c r="I260" s="2">
        <f>VLOOKUP($C260,'[10]for slip'!$F:$BC,17,0)</f>
        <v>0</v>
      </c>
      <c r="J260" s="2">
        <f>VLOOKUP($C260,'[10]for slip'!$F:$BC,27,0)</f>
        <v>0</v>
      </c>
      <c r="K260" s="2">
        <f>VLOOKUP($C260,'[10]for slip'!$F:$BC,31,0)</f>
        <v>0</v>
      </c>
      <c r="L260" s="2">
        <f>VLOOKUP($C260,'[10]for slip'!$F:$BC,35,0)</f>
        <v>0</v>
      </c>
      <c r="M260" s="2">
        <f>VLOOKUP($C260,'[10]for slip'!$F:$BC,36,0)</f>
        <v>0</v>
      </c>
      <c r="N260" s="2">
        <f>VLOOKUP($C260,'[10]for slip'!$F:$BC,37,0)</f>
        <v>0</v>
      </c>
      <c r="O260" s="2">
        <f>VLOOKUP($C260,'[10]for slip'!$F:$BC,38,0)</f>
        <v>0</v>
      </c>
      <c r="P260" s="2">
        <f>VLOOKUP($C260,'[10]for slip'!$F:$BC,39,0)</f>
        <v>0</v>
      </c>
      <c r="Q260" s="2">
        <f>VLOOKUP($C260,'[10]for slip'!$F:$BC,40,0)</f>
        <v>31700</v>
      </c>
      <c r="R260" s="2">
        <f>VLOOKUP($C260,'[10]for slip'!$F:$BC,41,0)</f>
        <v>0</v>
      </c>
      <c r="S260" s="2">
        <f>VLOOKUP($C260,'[10]for slip'!$F:$BC,42,0)</f>
        <v>0</v>
      </c>
      <c r="T260" s="2">
        <f>VLOOKUP($C260,'[10]for slip'!$F:$BC,43,0)</f>
        <v>53430.83</v>
      </c>
      <c r="U260" s="2">
        <f>VLOOKUP($C260,'[10]for slip'!$F:$BC,44,0)</f>
        <v>106861.66</v>
      </c>
      <c r="V260" s="2">
        <f>VLOOKUP($C260,'[10]for slip'!$F:$BC,45,0)</f>
        <v>53430.83</v>
      </c>
      <c r="W260" s="2">
        <f>VLOOKUP($C260,'[10]for slip'!$F:$BC,48,0)</f>
        <v>0</v>
      </c>
    </row>
    <row r="261" spans="1:23" x14ac:dyDescent="0.25">
      <c r="A261" s="1">
        <v>260</v>
      </c>
      <c r="B261" s="2" t="s">
        <v>541</v>
      </c>
      <c r="C261" s="2" t="s">
        <v>542</v>
      </c>
      <c r="D261" s="2" t="str">
        <f>VLOOKUP($C261,'[10]for slip'!$F:$BC,3,0)</f>
        <v>Pelaksana</v>
      </c>
      <c r="E261" s="2" t="str">
        <f>VLOOKUP($C261,'[10]for slip'!$F:$BC,4,0)</f>
        <v>Assembly</v>
      </c>
      <c r="F261" s="2">
        <f>VLOOKUP($C261,'[10]for slip'!$F:$BC,14,0)</f>
        <v>5343083</v>
      </c>
      <c r="G261" s="2">
        <f>VLOOKUP($C261,'[10]for slip'!$F:$BC,15,0)</f>
        <v>0</v>
      </c>
      <c r="H261" s="2">
        <f>VLOOKUP($C261,'[10]for slip'!$F:$BC,16,0)</f>
        <v>0</v>
      </c>
      <c r="I261" s="2">
        <f>VLOOKUP($C261,'[10]for slip'!$F:$BC,17,0)</f>
        <v>0</v>
      </c>
      <c r="J261" s="2">
        <f>VLOOKUP($C261,'[10]for slip'!$F:$BC,27,0)</f>
        <v>0</v>
      </c>
      <c r="K261" s="2">
        <f>VLOOKUP($C261,'[10]for slip'!$F:$BC,31,0)</f>
        <v>0</v>
      </c>
      <c r="L261" s="2">
        <f>VLOOKUP($C261,'[10]for slip'!$F:$BC,35,0)</f>
        <v>34354.584590750004</v>
      </c>
      <c r="M261" s="2">
        <f>VLOOKUP($C261,'[10]for slip'!$F:$BC,36,0)</f>
        <v>0</v>
      </c>
      <c r="N261" s="2">
        <f>VLOOKUP($C261,'[10]for slip'!$F:$BC,37,0)</f>
        <v>0</v>
      </c>
      <c r="O261" s="2">
        <f>VLOOKUP($C261,'[10]for slip'!$F:$BC,38,0)</f>
        <v>0</v>
      </c>
      <c r="P261" s="2">
        <f>VLOOKUP($C261,'[10]for slip'!$F:$BC,39,0)</f>
        <v>0</v>
      </c>
      <c r="Q261" s="2">
        <f>VLOOKUP($C261,'[10]for slip'!$F:$BC,40,0)</f>
        <v>31700</v>
      </c>
      <c r="R261" s="2">
        <f>VLOOKUP($C261,'[10]for slip'!$F:$BC,41,0)</f>
        <v>0</v>
      </c>
      <c r="S261" s="2">
        <f>VLOOKUP($C261,'[10]for slip'!$F:$BC,42,0)</f>
        <v>0</v>
      </c>
      <c r="T261" s="2">
        <f>VLOOKUP($C261,'[10]for slip'!$F:$BC,43,0)</f>
        <v>53430.83</v>
      </c>
      <c r="U261" s="2">
        <f>VLOOKUP($C261,'[10]for slip'!$F:$BC,44,0)</f>
        <v>106861.66</v>
      </c>
      <c r="V261" s="2">
        <f>VLOOKUP($C261,'[10]for slip'!$F:$BC,45,0)</f>
        <v>53430.83</v>
      </c>
      <c r="W261" s="2">
        <f>VLOOKUP($C261,'[10]for slip'!$F:$BC,48,0)</f>
        <v>34354.584590750004</v>
      </c>
    </row>
    <row r="262" spans="1:23" x14ac:dyDescent="0.25">
      <c r="A262" s="1">
        <v>261</v>
      </c>
      <c r="B262" s="2" t="s">
        <v>543</v>
      </c>
      <c r="C262" s="2" t="s">
        <v>544</v>
      </c>
      <c r="D262" s="2" t="str">
        <f>VLOOKUP($C262,'[10]for slip'!$F:$BC,3,0)</f>
        <v>Pelaksana</v>
      </c>
      <c r="E262" s="2" t="str">
        <f>VLOOKUP($C262,'[10]for slip'!$F:$BC,4,0)</f>
        <v>Assembly</v>
      </c>
      <c r="F262" s="2">
        <f>VLOOKUP($C262,'[10]for slip'!$F:$BC,14,0)</f>
        <v>5343083</v>
      </c>
      <c r="G262" s="2">
        <f>VLOOKUP($C262,'[10]for slip'!$F:$BC,15,0)</f>
        <v>0</v>
      </c>
      <c r="H262" s="2">
        <f>VLOOKUP($C262,'[10]for slip'!$F:$BC,16,0)</f>
        <v>0</v>
      </c>
      <c r="I262" s="2">
        <f>VLOOKUP($C262,'[10]for slip'!$F:$BC,17,0)</f>
        <v>0</v>
      </c>
      <c r="J262" s="2">
        <f>VLOOKUP($C262,'[10]for slip'!$F:$BC,27,0)</f>
        <v>0</v>
      </c>
      <c r="K262" s="2">
        <f>VLOOKUP($C262,'[10]for slip'!$F:$BC,31,0)</f>
        <v>0</v>
      </c>
      <c r="L262" s="2">
        <f>VLOOKUP($C262,'[10]for slip'!$F:$BC,35,0)</f>
        <v>34354.584590750004</v>
      </c>
      <c r="M262" s="2">
        <f>VLOOKUP($C262,'[10]for slip'!$F:$BC,36,0)</f>
        <v>0</v>
      </c>
      <c r="N262" s="2">
        <f>VLOOKUP($C262,'[10]for slip'!$F:$BC,37,0)</f>
        <v>0</v>
      </c>
      <c r="O262" s="2">
        <f>VLOOKUP($C262,'[10]for slip'!$F:$BC,38,0)</f>
        <v>0</v>
      </c>
      <c r="P262" s="2">
        <f>VLOOKUP($C262,'[10]for slip'!$F:$BC,39,0)</f>
        <v>0</v>
      </c>
      <c r="Q262" s="2">
        <f>VLOOKUP($C262,'[10]for slip'!$F:$BC,40,0)</f>
        <v>0</v>
      </c>
      <c r="R262" s="2">
        <f>VLOOKUP($C262,'[10]for slip'!$F:$BC,41,0)</f>
        <v>0</v>
      </c>
      <c r="S262" s="2">
        <f>VLOOKUP($C262,'[10]for slip'!$F:$BC,42,0)</f>
        <v>0</v>
      </c>
      <c r="T262" s="2">
        <f>VLOOKUP($C262,'[10]for slip'!$F:$BC,43,0)</f>
        <v>53430.83</v>
      </c>
      <c r="U262" s="2">
        <f>VLOOKUP($C262,'[10]for slip'!$F:$BC,44,0)</f>
        <v>106861.66</v>
      </c>
      <c r="V262" s="2">
        <f>VLOOKUP($C262,'[10]for slip'!$F:$BC,45,0)</f>
        <v>53430.83</v>
      </c>
      <c r="W262" s="2">
        <f>VLOOKUP($C262,'[10]for slip'!$F:$BC,48,0)</f>
        <v>34354.584590750004</v>
      </c>
    </row>
    <row r="263" spans="1:23" x14ac:dyDescent="0.25">
      <c r="A263" s="1">
        <v>262</v>
      </c>
      <c r="B263" s="2" t="s">
        <v>545</v>
      </c>
      <c r="C263" s="2" t="s">
        <v>546</v>
      </c>
      <c r="D263" s="2" t="str">
        <f>VLOOKUP($C263,'[10]for slip'!$F:$BC,3,0)</f>
        <v>Pelaksana</v>
      </c>
      <c r="E263" s="2" t="str">
        <f>VLOOKUP($C263,'[10]for slip'!$F:$BC,4,0)</f>
        <v>Assembly</v>
      </c>
      <c r="F263" s="2">
        <f>VLOOKUP($C263,'[10]for slip'!$F:$BC,14,0)</f>
        <v>5343083</v>
      </c>
      <c r="G263" s="2">
        <f>VLOOKUP($C263,'[10]for slip'!$F:$BC,15,0)</f>
        <v>0</v>
      </c>
      <c r="H263" s="2">
        <f>VLOOKUP($C263,'[10]for slip'!$F:$BC,16,0)</f>
        <v>0</v>
      </c>
      <c r="I263" s="2">
        <f>VLOOKUP($C263,'[10]for slip'!$F:$BC,17,0)</f>
        <v>0</v>
      </c>
      <c r="J263" s="2">
        <f>VLOOKUP($C263,'[10]for slip'!$F:$BC,27,0)</f>
        <v>0</v>
      </c>
      <c r="K263" s="2">
        <f>VLOOKUP($C263,'[10]for slip'!$F:$BC,31,0)</f>
        <v>0</v>
      </c>
      <c r="L263" s="2">
        <f>VLOOKUP($C263,'[10]for slip'!$F:$BC,35,0)</f>
        <v>0</v>
      </c>
      <c r="M263" s="2">
        <f>VLOOKUP($C263,'[10]for slip'!$F:$BC,36,0)</f>
        <v>0</v>
      </c>
      <c r="N263" s="2">
        <f>VLOOKUP($C263,'[10]for slip'!$F:$BC,37,0)</f>
        <v>0</v>
      </c>
      <c r="O263" s="2">
        <f>VLOOKUP($C263,'[10]for slip'!$F:$BC,38,0)</f>
        <v>0</v>
      </c>
      <c r="P263" s="2">
        <f>VLOOKUP($C263,'[10]for slip'!$F:$BC,39,0)</f>
        <v>0</v>
      </c>
      <c r="Q263" s="2">
        <f>VLOOKUP($C263,'[10]for slip'!$F:$BC,40,0)</f>
        <v>31700</v>
      </c>
      <c r="R263" s="2">
        <f>VLOOKUP($C263,'[10]for slip'!$F:$BC,41,0)</f>
        <v>0</v>
      </c>
      <c r="S263" s="2">
        <f>VLOOKUP($C263,'[10]for slip'!$F:$BC,42,0)</f>
        <v>0</v>
      </c>
      <c r="T263" s="2">
        <f>VLOOKUP($C263,'[10]for slip'!$F:$BC,43,0)</f>
        <v>53430.83</v>
      </c>
      <c r="U263" s="2">
        <f>VLOOKUP($C263,'[10]for slip'!$F:$BC,44,0)</f>
        <v>106861.66</v>
      </c>
      <c r="V263" s="2">
        <f>VLOOKUP($C263,'[10]for slip'!$F:$BC,45,0)</f>
        <v>53430.83</v>
      </c>
      <c r="W263" s="2">
        <f>VLOOKUP($C263,'[10]for slip'!$F:$BC,48,0)</f>
        <v>0</v>
      </c>
    </row>
    <row r="264" spans="1:23" x14ac:dyDescent="0.25">
      <c r="A264" s="1">
        <v>263</v>
      </c>
      <c r="B264" s="2" t="s">
        <v>547</v>
      </c>
      <c r="C264" s="2" t="s">
        <v>548</v>
      </c>
      <c r="D264" s="2" t="str">
        <f>VLOOKUP($C264,'[10]for slip'!$F:$BC,3,0)</f>
        <v>Pelaksana</v>
      </c>
      <c r="E264" s="2" t="str">
        <f>VLOOKUP($C264,'[10]for slip'!$F:$BC,4,0)</f>
        <v>Assembly</v>
      </c>
      <c r="F264" s="2">
        <f>VLOOKUP($C264,'[10]for slip'!$F:$BC,14,0)</f>
        <v>5343083</v>
      </c>
      <c r="G264" s="2">
        <f>VLOOKUP($C264,'[10]for slip'!$F:$BC,15,0)</f>
        <v>0</v>
      </c>
      <c r="H264" s="2">
        <f>VLOOKUP($C264,'[10]for slip'!$F:$BC,16,0)</f>
        <v>0</v>
      </c>
      <c r="I264" s="2">
        <f>VLOOKUP($C264,'[10]for slip'!$F:$BC,17,0)</f>
        <v>0</v>
      </c>
      <c r="J264" s="2">
        <f>VLOOKUP($C264,'[10]for slip'!$F:$BC,27,0)</f>
        <v>0</v>
      </c>
      <c r="K264" s="2">
        <f>VLOOKUP($C264,'[10]for slip'!$F:$BC,31,0)</f>
        <v>0</v>
      </c>
      <c r="L264" s="2">
        <f>VLOOKUP($C264,'[10]for slip'!$F:$BC,35,0)</f>
        <v>0</v>
      </c>
      <c r="M264" s="2">
        <f>VLOOKUP($C264,'[10]for slip'!$F:$BC,36,0)</f>
        <v>0</v>
      </c>
      <c r="N264" s="2">
        <f>VLOOKUP($C264,'[10]for slip'!$F:$BC,37,0)</f>
        <v>0</v>
      </c>
      <c r="O264" s="2">
        <f>VLOOKUP($C264,'[10]for slip'!$F:$BC,38,0)</f>
        <v>0</v>
      </c>
      <c r="P264" s="2">
        <f>VLOOKUP($C264,'[10]for slip'!$F:$BC,39,0)</f>
        <v>38000</v>
      </c>
      <c r="Q264" s="2">
        <f>VLOOKUP($C264,'[10]for slip'!$F:$BC,40,0)</f>
        <v>31700</v>
      </c>
      <c r="R264" s="2">
        <f>VLOOKUP($C264,'[10]for slip'!$F:$BC,41,0)</f>
        <v>0</v>
      </c>
      <c r="S264" s="2">
        <f>VLOOKUP($C264,'[10]for slip'!$F:$BC,42,0)</f>
        <v>10000</v>
      </c>
      <c r="T264" s="2">
        <f>VLOOKUP($C264,'[10]for slip'!$F:$BC,43,0)</f>
        <v>53430.83</v>
      </c>
      <c r="U264" s="2">
        <f>VLOOKUP($C264,'[10]for slip'!$F:$BC,44,0)</f>
        <v>106861.66</v>
      </c>
      <c r="V264" s="2">
        <f>VLOOKUP($C264,'[10]for slip'!$F:$BC,45,0)</f>
        <v>53430.83</v>
      </c>
      <c r="W264" s="2">
        <f>VLOOKUP($C264,'[10]for slip'!$F:$BC,48,0)</f>
        <v>0</v>
      </c>
    </row>
    <row r="265" spans="1:23" x14ac:dyDescent="0.25">
      <c r="A265" s="1">
        <v>264</v>
      </c>
      <c r="B265" s="2" t="s">
        <v>549</v>
      </c>
      <c r="C265" s="2" t="s">
        <v>550</v>
      </c>
      <c r="D265" s="2" t="str">
        <f>VLOOKUP($C265,'[10]for slip'!$F:$BC,3,0)</f>
        <v>Pelaksana</v>
      </c>
      <c r="E265" s="2" t="str">
        <f>VLOOKUP($C265,'[10]for slip'!$F:$BC,4,0)</f>
        <v>Assembly</v>
      </c>
      <c r="F265" s="2">
        <f>VLOOKUP($C265,'[10]for slip'!$F:$BC,14,0)</f>
        <v>5343083</v>
      </c>
      <c r="G265" s="2">
        <f>VLOOKUP($C265,'[10]for slip'!$F:$BC,15,0)</f>
        <v>0</v>
      </c>
      <c r="H265" s="2">
        <f>VLOOKUP($C265,'[10]for slip'!$F:$BC,16,0)</f>
        <v>0</v>
      </c>
      <c r="I265" s="2">
        <f>VLOOKUP($C265,'[10]for slip'!$F:$BC,17,0)</f>
        <v>0</v>
      </c>
      <c r="J265" s="2">
        <f>VLOOKUP($C265,'[10]for slip'!$F:$BC,27,0)</f>
        <v>0</v>
      </c>
      <c r="K265" s="2">
        <f>VLOOKUP($C265,'[10]for slip'!$F:$BC,31,0)</f>
        <v>0</v>
      </c>
      <c r="L265" s="2">
        <f>VLOOKUP($C265,'[10]for slip'!$F:$BC,35,0)</f>
        <v>34354.584590750004</v>
      </c>
      <c r="M265" s="2">
        <f>VLOOKUP($C265,'[10]for slip'!$F:$BC,36,0)</f>
        <v>0</v>
      </c>
      <c r="N265" s="2">
        <f>VLOOKUP($C265,'[10]for slip'!$F:$BC,37,0)</f>
        <v>0</v>
      </c>
      <c r="O265" s="2">
        <f>VLOOKUP($C265,'[10]for slip'!$F:$BC,38,0)</f>
        <v>0</v>
      </c>
      <c r="P265" s="2">
        <f>VLOOKUP($C265,'[10]for slip'!$F:$BC,39,0)</f>
        <v>38000</v>
      </c>
      <c r="Q265" s="2">
        <f>VLOOKUP($C265,'[10]for slip'!$F:$BC,40,0)</f>
        <v>31700</v>
      </c>
      <c r="R265" s="2">
        <f>VLOOKUP($C265,'[10]for slip'!$F:$BC,41,0)</f>
        <v>0</v>
      </c>
      <c r="S265" s="2">
        <f>VLOOKUP($C265,'[10]for slip'!$F:$BC,42,0)</f>
        <v>0</v>
      </c>
      <c r="T265" s="2">
        <f>VLOOKUP($C265,'[10]for slip'!$F:$BC,43,0)</f>
        <v>53430.83</v>
      </c>
      <c r="U265" s="2">
        <f>VLOOKUP($C265,'[10]for slip'!$F:$BC,44,0)</f>
        <v>106861.66</v>
      </c>
      <c r="V265" s="2">
        <f>VLOOKUP($C265,'[10]for slip'!$F:$BC,45,0)</f>
        <v>53430.83</v>
      </c>
      <c r="W265" s="2">
        <f>VLOOKUP($C265,'[10]for slip'!$F:$BC,48,0)</f>
        <v>34354.584590750004</v>
      </c>
    </row>
    <row r="266" spans="1:23" x14ac:dyDescent="0.25">
      <c r="A266" s="1">
        <v>265</v>
      </c>
      <c r="B266" s="2" t="s">
        <v>551</v>
      </c>
      <c r="C266" s="2" t="s">
        <v>552</v>
      </c>
      <c r="D266" s="2" t="str">
        <f>VLOOKUP($C266,'[10]for slip'!$F:$BC,3,0)</f>
        <v>Pelaksana</v>
      </c>
      <c r="E266" s="2" t="str">
        <f>VLOOKUP($C266,'[10]for slip'!$F:$BC,4,0)</f>
        <v>Assembly</v>
      </c>
      <c r="F266" s="2">
        <f>VLOOKUP($C266,'[10]for slip'!$F:$BC,14,0)</f>
        <v>5343083</v>
      </c>
      <c r="G266" s="2">
        <f>VLOOKUP($C266,'[10]for slip'!$F:$BC,15,0)</f>
        <v>0</v>
      </c>
      <c r="H266" s="2">
        <f>VLOOKUP($C266,'[10]for slip'!$F:$BC,16,0)</f>
        <v>0</v>
      </c>
      <c r="I266" s="2">
        <f>VLOOKUP($C266,'[10]for slip'!$F:$BC,17,0)</f>
        <v>0</v>
      </c>
      <c r="J266" s="2">
        <f>VLOOKUP($C266,'[10]for slip'!$F:$BC,27,0)</f>
        <v>0</v>
      </c>
      <c r="K266" s="2">
        <f>VLOOKUP($C266,'[10]for slip'!$F:$BC,31,0)</f>
        <v>0</v>
      </c>
      <c r="L266" s="2">
        <f>VLOOKUP($C266,'[10]for slip'!$F:$BC,35,0)</f>
        <v>15604.584590750002</v>
      </c>
      <c r="M266" s="2">
        <f>VLOOKUP($C266,'[10]for slip'!$F:$BC,36,0)</f>
        <v>0</v>
      </c>
      <c r="N266" s="2">
        <f>VLOOKUP($C266,'[10]for slip'!$F:$BC,37,0)</f>
        <v>0</v>
      </c>
      <c r="O266" s="2">
        <f>VLOOKUP($C266,'[10]for slip'!$F:$BC,38,0)</f>
        <v>0</v>
      </c>
      <c r="P266" s="2">
        <f>VLOOKUP($C266,'[10]for slip'!$F:$BC,39,0)</f>
        <v>38000</v>
      </c>
      <c r="Q266" s="2">
        <f>VLOOKUP($C266,'[10]for slip'!$F:$BC,40,0)</f>
        <v>31700</v>
      </c>
      <c r="R266" s="2">
        <f>VLOOKUP($C266,'[10]for slip'!$F:$BC,41,0)</f>
        <v>0</v>
      </c>
      <c r="S266" s="2">
        <f>VLOOKUP($C266,'[10]for slip'!$F:$BC,42,0)</f>
        <v>0</v>
      </c>
      <c r="T266" s="2">
        <f>VLOOKUP($C266,'[10]for slip'!$F:$BC,43,0)</f>
        <v>53430.83</v>
      </c>
      <c r="U266" s="2">
        <f>VLOOKUP($C266,'[10]for slip'!$F:$BC,44,0)</f>
        <v>106861.66</v>
      </c>
      <c r="V266" s="2">
        <f>VLOOKUP($C266,'[10]for slip'!$F:$BC,45,0)</f>
        <v>53430.83</v>
      </c>
      <c r="W266" s="2">
        <f>VLOOKUP($C266,'[10]for slip'!$F:$BC,48,0)</f>
        <v>15604.584590750002</v>
      </c>
    </row>
    <row r="267" spans="1:23" x14ac:dyDescent="0.25">
      <c r="A267" s="1">
        <v>266</v>
      </c>
      <c r="B267" s="2" t="s">
        <v>553</v>
      </c>
      <c r="C267" s="2" t="s">
        <v>554</v>
      </c>
      <c r="D267" s="2" t="str">
        <f>VLOOKUP($C267,'[10]for slip'!$F:$BC,3,0)</f>
        <v>Pelaksana</v>
      </c>
      <c r="E267" s="2" t="str">
        <f>VLOOKUP($C267,'[10]for slip'!$F:$BC,4,0)</f>
        <v>Assembly</v>
      </c>
      <c r="F267" s="2">
        <f>VLOOKUP($C267,'[10]for slip'!$F:$BC,14,0)</f>
        <v>5343083</v>
      </c>
      <c r="G267" s="2">
        <f>VLOOKUP($C267,'[10]for slip'!$F:$BC,15,0)</f>
        <v>0</v>
      </c>
      <c r="H267" s="2">
        <f>VLOOKUP($C267,'[10]for slip'!$F:$BC,16,0)</f>
        <v>0</v>
      </c>
      <c r="I267" s="2">
        <f>VLOOKUP($C267,'[10]for slip'!$F:$BC,17,0)</f>
        <v>0</v>
      </c>
      <c r="J267" s="2">
        <f>VLOOKUP($C267,'[10]for slip'!$F:$BC,27,0)</f>
        <v>0</v>
      </c>
      <c r="K267" s="2">
        <f>VLOOKUP($C267,'[10]for slip'!$F:$BC,31,0)</f>
        <v>0</v>
      </c>
      <c r="L267" s="2">
        <f>VLOOKUP($C267,'[10]for slip'!$F:$BC,35,0)</f>
        <v>15604.584590750002</v>
      </c>
      <c r="M267" s="2">
        <f>VLOOKUP($C267,'[10]for slip'!$F:$BC,36,0)</f>
        <v>0</v>
      </c>
      <c r="N267" s="2">
        <f>VLOOKUP($C267,'[10]for slip'!$F:$BC,37,0)</f>
        <v>0</v>
      </c>
      <c r="O267" s="2">
        <f>VLOOKUP($C267,'[10]for slip'!$F:$BC,38,0)</f>
        <v>0</v>
      </c>
      <c r="P267" s="2">
        <f>VLOOKUP($C267,'[10]for slip'!$F:$BC,39,0)</f>
        <v>38000</v>
      </c>
      <c r="Q267" s="2">
        <f>VLOOKUP($C267,'[10]for slip'!$F:$BC,40,0)</f>
        <v>31700</v>
      </c>
      <c r="R267" s="2">
        <f>VLOOKUP($C267,'[10]for slip'!$F:$BC,41,0)</f>
        <v>0</v>
      </c>
      <c r="S267" s="2">
        <f>VLOOKUP($C267,'[10]for slip'!$F:$BC,42,0)</f>
        <v>10000</v>
      </c>
      <c r="T267" s="2">
        <f>VLOOKUP($C267,'[10]for slip'!$F:$BC,43,0)</f>
        <v>106861.66</v>
      </c>
      <c r="U267" s="2">
        <f>VLOOKUP($C267,'[10]for slip'!$F:$BC,44,0)</f>
        <v>106861.66</v>
      </c>
      <c r="V267" s="2">
        <f>VLOOKUP($C267,'[10]for slip'!$F:$BC,45,0)</f>
        <v>53430.83</v>
      </c>
      <c r="W267" s="2">
        <f>VLOOKUP($C267,'[10]for slip'!$F:$BC,48,0)</f>
        <v>15604.584590750002</v>
      </c>
    </row>
    <row r="268" spans="1:23" x14ac:dyDescent="0.25">
      <c r="A268" s="1">
        <v>267</v>
      </c>
      <c r="B268" s="2" t="s">
        <v>555</v>
      </c>
      <c r="C268" s="2" t="s">
        <v>556</v>
      </c>
      <c r="D268" s="2" t="str">
        <f>VLOOKUP($C268,'[10]for slip'!$F:$BC,3,0)</f>
        <v>Pelaksana</v>
      </c>
      <c r="E268" s="2" t="str">
        <f>VLOOKUP($C268,'[10]for slip'!$F:$BC,4,0)</f>
        <v>Assembly</v>
      </c>
      <c r="F268" s="2">
        <f>VLOOKUP($C268,'[10]for slip'!$F:$BC,14,0)</f>
        <v>5343083</v>
      </c>
      <c r="G268" s="2">
        <f>VLOOKUP($C268,'[10]for slip'!$F:$BC,15,0)</f>
        <v>0</v>
      </c>
      <c r="H268" s="2">
        <f>VLOOKUP($C268,'[10]for slip'!$F:$BC,16,0)</f>
        <v>0</v>
      </c>
      <c r="I268" s="2">
        <f>VLOOKUP($C268,'[10]for slip'!$F:$BC,17,0)</f>
        <v>0</v>
      </c>
      <c r="J268" s="2">
        <f>VLOOKUP($C268,'[10]for slip'!$F:$BC,27,0)</f>
        <v>0</v>
      </c>
      <c r="K268" s="2">
        <f>VLOOKUP($C268,'[10]for slip'!$F:$BC,31,0)</f>
        <v>0</v>
      </c>
      <c r="L268" s="2">
        <f>VLOOKUP($C268,'[10]for slip'!$F:$BC,35,0)</f>
        <v>15604.584590750002</v>
      </c>
      <c r="M268" s="2">
        <f>VLOOKUP($C268,'[10]for slip'!$F:$BC,36,0)</f>
        <v>0</v>
      </c>
      <c r="N268" s="2">
        <f>VLOOKUP($C268,'[10]for slip'!$F:$BC,37,0)</f>
        <v>0</v>
      </c>
      <c r="O268" s="2">
        <f>VLOOKUP($C268,'[10]for slip'!$F:$BC,38,0)</f>
        <v>0</v>
      </c>
      <c r="P268" s="2">
        <f>VLOOKUP($C268,'[10]for slip'!$F:$BC,39,0)</f>
        <v>0</v>
      </c>
      <c r="Q268" s="2">
        <f>VLOOKUP($C268,'[10]for slip'!$F:$BC,40,0)</f>
        <v>31700</v>
      </c>
      <c r="R268" s="2">
        <f>VLOOKUP($C268,'[10]for slip'!$F:$BC,41,0)</f>
        <v>0</v>
      </c>
      <c r="S268" s="2">
        <f>VLOOKUP($C268,'[10]for slip'!$F:$BC,42,0)</f>
        <v>0</v>
      </c>
      <c r="T268" s="2">
        <f>VLOOKUP($C268,'[10]for slip'!$F:$BC,43,0)</f>
        <v>53430.83</v>
      </c>
      <c r="U268" s="2">
        <f>VLOOKUP($C268,'[10]for slip'!$F:$BC,44,0)</f>
        <v>106861.66</v>
      </c>
      <c r="V268" s="2">
        <f>VLOOKUP($C268,'[10]for slip'!$F:$BC,45,0)</f>
        <v>53430.83</v>
      </c>
      <c r="W268" s="2">
        <f>VLOOKUP($C268,'[10]for slip'!$F:$BC,48,0)</f>
        <v>15604.584590750002</v>
      </c>
    </row>
    <row r="269" spans="1:23" x14ac:dyDescent="0.25">
      <c r="A269" s="1">
        <v>268</v>
      </c>
      <c r="B269" s="2" t="s">
        <v>557</v>
      </c>
      <c r="C269" s="2" t="s">
        <v>558</v>
      </c>
      <c r="D269" s="2" t="str">
        <f>VLOOKUP($C269,'[10]for slip'!$F:$BC,3,0)</f>
        <v>Pelaksana</v>
      </c>
      <c r="E269" s="2" t="str">
        <f>VLOOKUP($C269,'[10]for slip'!$F:$BC,4,0)</f>
        <v>Assembly</v>
      </c>
      <c r="F269" s="2">
        <f>VLOOKUP($C269,'[10]for slip'!$F:$BC,14,0)</f>
        <v>5343083</v>
      </c>
      <c r="G269" s="2">
        <f>VLOOKUP($C269,'[10]for slip'!$F:$BC,15,0)</f>
        <v>0</v>
      </c>
      <c r="H269" s="2">
        <f>VLOOKUP($C269,'[10]for slip'!$F:$BC,16,0)</f>
        <v>0</v>
      </c>
      <c r="I269" s="2">
        <f>VLOOKUP($C269,'[10]for slip'!$F:$BC,17,0)</f>
        <v>0</v>
      </c>
      <c r="J269" s="2">
        <f>VLOOKUP($C269,'[10]for slip'!$F:$BC,27,0)</f>
        <v>0</v>
      </c>
      <c r="K269" s="2">
        <f>VLOOKUP($C269,'[10]for slip'!$F:$BC,31,0)</f>
        <v>0</v>
      </c>
      <c r="L269" s="2">
        <f>VLOOKUP($C269,'[10]for slip'!$F:$BC,35,0)</f>
        <v>10183.497090750001</v>
      </c>
      <c r="M269" s="2">
        <f>VLOOKUP($C269,'[10]for slip'!$F:$BC,36,0)</f>
        <v>0</v>
      </c>
      <c r="N269" s="2">
        <f>VLOOKUP($C269,'[10]for slip'!$F:$BC,37,0)</f>
        <v>2</v>
      </c>
      <c r="O269" s="2">
        <f>VLOOKUP($C269,'[10]for slip'!$F:$BC,38,0)</f>
        <v>508865</v>
      </c>
      <c r="P269" s="2">
        <f>VLOOKUP($C269,'[10]for slip'!$F:$BC,39,0)</f>
        <v>38000</v>
      </c>
      <c r="Q269" s="2">
        <f>VLOOKUP($C269,'[10]for slip'!$F:$BC,40,0)</f>
        <v>31700</v>
      </c>
      <c r="R269" s="2">
        <f>VLOOKUP($C269,'[10]for slip'!$F:$BC,41,0)</f>
        <v>0</v>
      </c>
      <c r="S269" s="2">
        <f>VLOOKUP($C269,'[10]for slip'!$F:$BC,42,0)</f>
        <v>0</v>
      </c>
      <c r="T269" s="2">
        <f>VLOOKUP($C269,'[10]for slip'!$F:$BC,43,0)</f>
        <v>53430.83</v>
      </c>
      <c r="U269" s="2">
        <f>VLOOKUP($C269,'[10]for slip'!$F:$BC,44,0)</f>
        <v>106861.66</v>
      </c>
      <c r="V269" s="2">
        <f>VLOOKUP($C269,'[10]for slip'!$F:$BC,45,0)</f>
        <v>53430.83</v>
      </c>
      <c r="W269" s="2">
        <f>VLOOKUP($C269,'[10]for slip'!$F:$BC,48,0)</f>
        <v>10183.497090750001</v>
      </c>
    </row>
    <row r="270" spans="1:23" x14ac:dyDescent="0.25">
      <c r="A270" s="1">
        <v>269</v>
      </c>
      <c r="B270" s="2" t="s">
        <v>559</v>
      </c>
      <c r="C270" s="2" t="s">
        <v>560</v>
      </c>
      <c r="D270" s="2" t="str">
        <f>VLOOKUP($C270,'[10]for slip'!$F:$BC,3,0)</f>
        <v>Pelaksana</v>
      </c>
      <c r="E270" s="2" t="str">
        <f>VLOOKUP($C270,'[10]for slip'!$F:$BC,4,0)</f>
        <v>Assembly</v>
      </c>
      <c r="F270" s="2">
        <f>VLOOKUP($C270,'[10]for slip'!$F:$BC,14,0)</f>
        <v>5343083</v>
      </c>
      <c r="G270" s="2">
        <f>VLOOKUP($C270,'[10]for slip'!$F:$BC,15,0)</f>
        <v>0</v>
      </c>
      <c r="H270" s="2">
        <f>VLOOKUP($C270,'[10]for slip'!$F:$BC,16,0)</f>
        <v>0</v>
      </c>
      <c r="I270" s="2">
        <f>VLOOKUP($C270,'[10]for slip'!$F:$BC,17,0)</f>
        <v>0</v>
      </c>
      <c r="J270" s="2">
        <f>VLOOKUP($C270,'[10]for slip'!$F:$BC,27,0)</f>
        <v>0</v>
      </c>
      <c r="K270" s="2">
        <f>VLOOKUP($C270,'[10]for slip'!$F:$BC,31,0)</f>
        <v>0</v>
      </c>
      <c r="L270" s="2">
        <f>VLOOKUP($C270,'[10]for slip'!$F:$BC,35,0)</f>
        <v>0</v>
      </c>
      <c r="M270" s="2">
        <f>VLOOKUP($C270,'[10]for slip'!$F:$BC,36,0)</f>
        <v>0</v>
      </c>
      <c r="N270" s="2">
        <f>VLOOKUP($C270,'[10]for slip'!$F:$BC,37,0)</f>
        <v>0</v>
      </c>
      <c r="O270" s="2">
        <f>VLOOKUP($C270,'[10]for slip'!$F:$BC,38,0)</f>
        <v>0</v>
      </c>
      <c r="P270" s="2">
        <f>VLOOKUP($C270,'[10]for slip'!$F:$BC,39,0)</f>
        <v>38000</v>
      </c>
      <c r="Q270" s="2">
        <f>VLOOKUP($C270,'[10]for slip'!$F:$BC,40,0)</f>
        <v>31700</v>
      </c>
      <c r="R270" s="2">
        <f>VLOOKUP($C270,'[10]for slip'!$F:$BC,41,0)</f>
        <v>0</v>
      </c>
      <c r="S270" s="2">
        <f>VLOOKUP($C270,'[10]for slip'!$F:$BC,42,0)</f>
        <v>10000</v>
      </c>
      <c r="T270" s="2">
        <f>VLOOKUP($C270,'[10]for slip'!$F:$BC,43,0)</f>
        <v>53430.83</v>
      </c>
      <c r="U270" s="2">
        <f>VLOOKUP($C270,'[10]for slip'!$F:$BC,44,0)</f>
        <v>106861.66</v>
      </c>
      <c r="V270" s="2">
        <f>VLOOKUP($C270,'[10]for slip'!$F:$BC,45,0)</f>
        <v>53430.83</v>
      </c>
      <c r="W270" s="2">
        <f>VLOOKUP($C270,'[10]for slip'!$F:$BC,48,0)</f>
        <v>0</v>
      </c>
    </row>
    <row r="271" spans="1:23" x14ac:dyDescent="0.25">
      <c r="A271" s="1">
        <v>270</v>
      </c>
      <c r="B271" s="2" t="s">
        <v>561</v>
      </c>
      <c r="C271" s="2" t="s">
        <v>562</v>
      </c>
      <c r="D271" s="2" t="str">
        <f>VLOOKUP($C271,'[10]for slip'!$F:$BC,3,0)</f>
        <v>Pelaksana</v>
      </c>
      <c r="E271" s="2" t="str">
        <f>VLOOKUP($C271,'[10]for slip'!$F:$BC,4,0)</f>
        <v>Assembly</v>
      </c>
      <c r="F271" s="2">
        <f>VLOOKUP($C271,'[10]for slip'!$F:$BC,14,0)</f>
        <v>5343083</v>
      </c>
      <c r="G271" s="2">
        <f>VLOOKUP($C271,'[10]for slip'!$F:$BC,15,0)</f>
        <v>0</v>
      </c>
      <c r="H271" s="2">
        <f>VLOOKUP($C271,'[10]for slip'!$F:$BC,16,0)</f>
        <v>0</v>
      </c>
      <c r="I271" s="2">
        <f>VLOOKUP($C271,'[10]for slip'!$F:$BC,17,0)</f>
        <v>0</v>
      </c>
      <c r="J271" s="2">
        <f>VLOOKUP($C271,'[10]for slip'!$F:$BC,27,0)</f>
        <v>0</v>
      </c>
      <c r="K271" s="2">
        <f>VLOOKUP($C271,'[10]for slip'!$F:$BC,31,0)</f>
        <v>0</v>
      </c>
      <c r="L271" s="2">
        <f>VLOOKUP($C271,'[10]for slip'!$F:$BC,35,0)</f>
        <v>0</v>
      </c>
      <c r="M271" s="2">
        <f>VLOOKUP($C271,'[10]for slip'!$F:$BC,36,0)</f>
        <v>0</v>
      </c>
      <c r="N271" s="2">
        <f>VLOOKUP($C271,'[10]for slip'!$F:$BC,37,0)</f>
        <v>20</v>
      </c>
      <c r="O271" s="2">
        <f>VLOOKUP($C271,'[10]for slip'!$F:$BC,38,0)</f>
        <v>5088650</v>
      </c>
      <c r="P271" s="2">
        <f>VLOOKUP($C271,'[10]for slip'!$F:$BC,39,0)</f>
        <v>38000</v>
      </c>
      <c r="Q271" s="2">
        <f>VLOOKUP($C271,'[10]for slip'!$F:$BC,40,0)</f>
        <v>0</v>
      </c>
      <c r="R271" s="2">
        <f>VLOOKUP($C271,'[10]for slip'!$F:$BC,41,0)</f>
        <v>0</v>
      </c>
      <c r="S271" s="2">
        <f>VLOOKUP($C271,'[10]for slip'!$F:$BC,42,0)</f>
        <v>0</v>
      </c>
      <c r="T271" s="2">
        <f>VLOOKUP($C271,'[10]for slip'!$F:$BC,43,0)</f>
        <v>53430.83</v>
      </c>
      <c r="U271" s="2">
        <f>VLOOKUP($C271,'[10]for slip'!$F:$BC,44,0)</f>
        <v>106861.66</v>
      </c>
      <c r="V271" s="2">
        <f>VLOOKUP($C271,'[10]for slip'!$F:$BC,45,0)</f>
        <v>53430.83</v>
      </c>
      <c r="W271" s="2">
        <f>VLOOKUP($C271,'[10]for slip'!$F:$BC,48,0)</f>
        <v>0</v>
      </c>
    </row>
    <row r="272" spans="1:23" x14ac:dyDescent="0.25">
      <c r="A272" s="1">
        <v>271</v>
      </c>
      <c r="B272" s="2" t="s">
        <v>563</v>
      </c>
      <c r="C272" s="2" t="s">
        <v>564</v>
      </c>
      <c r="D272" s="2" t="str">
        <f>VLOOKUP($C272,'[10]for slip'!$F:$BC,3,0)</f>
        <v>Pelaksana</v>
      </c>
      <c r="E272" s="2" t="str">
        <f>VLOOKUP($C272,'[10]for slip'!$F:$BC,4,0)</f>
        <v>Assembly</v>
      </c>
      <c r="F272" s="2">
        <f>VLOOKUP($C272,'[10]for slip'!$F:$BC,14,0)</f>
        <v>5343083</v>
      </c>
      <c r="G272" s="2">
        <f>VLOOKUP($C272,'[10]for slip'!$F:$BC,15,0)</f>
        <v>0</v>
      </c>
      <c r="H272" s="2">
        <f>VLOOKUP($C272,'[10]for slip'!$F:$BC,16,0)</f>
        <v>0</v>
      </c>
      <c r="I272" s="2">
        <f>VLOOKUP($C272,'[10]for slip'!$F:$BC,17,0)</f>
        <v>0</v>
      </c>
      <c r="J272" s="2">
        <f>VLOOKUP($C272,'[10]for slip'!$F:$BC,27,0)</f>
        <v>0</v>
      </c>
      <c r="K272" s="2">
        <f>VLOOKUP($C272,'[10]for slip'!$F:$BC,31,0)</f>
        <v>0</v>
      </c>
      <c r="L272" s="2">
        <f>VLOOKUP($C272,'[10]for slip'!$F:$BC,35,0)</f>
        <v>0</v>
      </c>
      <c r="M272" s="2">
        <f>VLOOKUP($C272,'[10]for slip'!$F:$BC,36,0)</f>
        <v>0</v>
      </c>
      <c r="N272" s="2">
        <f>VLOOKUP($C272,'[10]for slip'!$F:$BC,37,0)</f>
        <v>0</v>
      </c>
      <c r="O272" s="2">
        <f>VLOOKUP($C272,'[10]for slip'!$F:$BC,38,0)</f>
        <v>0</v>
      </c>
      <c r="P272" s="2">
        <f>VLOOKUP($C272,'[10]for slip'!$F:$BC,39,0)</f>
        <v>38000</v>
      </c>
      <c r="Q272" s="2">
        <f>VLOOKUP($C272,'[10]for slip'!$F:$BC,40,0)</f>
        <v>31700</v>
      </c>
      <c r="R272" s="2">
        <f>VLOOKUP($C272,'[10]for slip'!$F:$BC,41,0)</f>
        <v>0</v>
      </c>
      <c r="S272" s="2">
        <f>VLOOKUP($C272,'[10]for slip'!$F:$BC,42,0)</f>
        <v>0</v>
      </c>
      <c r="T272" s="2">
        <f>VLOOKUP($C272,'[10]for slip'!$F:$BC,43,0)</f>
        <v>53430.83</v>
      </c>
      <c r="U272" s="2">
        <f>VLOOKUP($C272,'[10]for slip'!$F:$BC,44,0)</f>
        <v>106861.66</v>
      </c>
      <c r="V272" s="2">
        <f>VLOOKUP($C272,'[10]for slip'!$F:$BC,45,0)</f>
        <v>53430.83</v>
      </c>
      <c r="W272" s="2">
        <f>VLOOKUP($C272,'[10]for slip'!$F:$BC,48,0)</f>
        <v>0</v>
      </c>
    </row>
    <row r="273" spans="1:23" x14ac:dyDescent="0.25">
      <c r="A273" s="1">
        <v>272</v>
      </c>
      <c r="B273" s="2" t="s">
        <v>565</v>
      </c>
      <c r="C273" s="2" t="s">
        <v>566</v>
      </c>
      <c r="D273" s="2" t="str">
        <f>VLOOKUP($C273,'[10]for slip'!$F:$BC,3,0)</f>
        <v>Pelaksana</v>
      </c>
      <c r="E273" s="2" t="str">
        <f>VLOOKUP($C273,'[10]for slip'!$F:$BC,4,0)</f>
        <v>Assembly</v>
      </c>
      <c r="F273" s="2">
        <f>VLOOKUP($C273,'[10]for slip'!$F:$BC,14,0)</f>
        <v>5343083</v>
      </c>
      <c r="G273" s="2">
        <f>VLOOKUP($C273,'[10]for slip'!$F:$BC,15,0)</f>
        <v>0</v>
      </c>
      <c r="H273" s="2">
        <f>VLOOKUP($C273,'[10]for slip'!$F:$BC,16,0)</f>
        <v>0</v>
      </c>
      <c r="I273" s="2">
        <f>VLOOKUP($C273,'[10]for slip'!$F:$BC,17,0)</f>
        <v>0</v>
      </c>
      <c r="J273" s="2">
        <f>VLOOKUP($C273,'[10]for slip'!$F:$BC,27,0)</f>
        <v>0</v>
      </c>
      <c r="K273" s="2">
        <f>VLOOKUP($C273,'[10]for slip'!$F:$BC,31,0)</f>
        <v>0</v>
      </c>
      <c r="L273" s="2">
        <f>VLOOKUP($C273,'[10]for slip'!$F:$BC,35,0)</f>
        <v>34354.584590750004</v>
      </c>
      <c r="M273" s="2">
        <f>VLOOKUP($C273,'[10]for slip'!$F:$BC,36,0)</f>
        <v>0</v>
      </c>
      <c r="N273" s="2">
        <f>VLOOKUP($C273,'[10]for slip'!$F:$BC,37,0)</f>
        <v>0</v>
      </c>
      <c r="O273" s="2">
        <f>VLOOKUP($C273,'[10]for slip'!$F:$BC,38,0)</f>
        <v>0</v>
      </c>
      <c r="P273" s="2">
        <f>VLOOKUP($C273,'[10]for slip'!$F:$BC,39,0)</f>
        <v>0</v>
      </c>
      <c r="Q273" s="2">
        <f>VLOOKUP($C273,'[10]for slip'!$F:$BC,40,0)</f>
        <v>31700</v>
      </c>
      <c r="R273" s="2">
        <f>VLOOKUP($C273,'[10]for slip'!$F:$BC,41,0)</f>
        <v>0</v>
      </c>
      <c r="S273" s="2">
        <f>VLOOKUP($C273,'[10]for slip'!$F:$BC,42,0)</f>
        <v>0</v>
      </c>
      <c r="T273" s="2">
        <f>VLOOKUP($C273,'[10]for slip'!$F:$BC,43,0)</f>
        <v>53430.83</v>
      </c>
      <c r="U273" s="2">
        <f>VLOOKUP($C273,'[10]for slip'!$F:$BC,44,0)</f>
        <v>106861.66</v>
      </c>
      <c r="V273" s="2">
        <f>VLOOKUP($C273,'[10]for slip'!$F:$BC,45,0)</f>
        <v>53430.83</v>
      </c>
      <c r="W273" s="2">
        <f>VLOOKUP($C273,'[10]for slip'!$F:$BC,48,0)</f>
        <v>34354.584590750004</v>
      </c>
    </row>
    <row r="274" spans="1:23" x14ac:dyDescent="0.25">
      <c r="A274" s="1">
        <v>273</v>
      </c>
      <c r="B274" s="2" t="s">
        <v>567</v>
      </c>
      <c r="C274" s="2" t="s">
        <v>568</v>
      </c>
      <c r="D274" s="2" t="str">
        <f>VLOOKUP($C274,'[10]for slip'!$F:$BC,3,0)</f>
        <v>Pelaksana</v>
      </c>
      <c r="E274" s="2" t="str">
        <f>VLOOKUP($C274,'[10]for slip'!$F:$BC,4,0)</f>
        <v>Assembly</v>
      </c>
      <c r="F274" s="2">
        <f>VLOOKUP($C274,'[10]for slip'!$F:$BC,14,0)</f>
        <v>5343083</v>
      </c>
      <c r="G274" s="2">
        <f>VLOOKUP($C274,'[10]for slip'!$F:$BC,15,0)</f>
        <v>0</v>
      </c>
      <c r="H274" s="2">
        <f>VLOOKUP($C274,'[10]for slip'!$F:$BC,16,0)</f>
        <v>0</v>
      </c>
      <c r="I274" s="2">
        <f>VLOOKUP($C274,'[10]for slip'!$F:$BC,17,0)</f>
        <v>0</v>
      </c>
      <c r="J274" s="2">
        <f>VLOOKUP($C274,'[10]for slip'!$F:$BC,27,0)</f>
        <v>0</v>
      </c>
      <c r="K274" s="2">
        <f>VLOOKUP($C274,'[10]for slip'!$F:$BC,31,0)</f>
        <v>0</v>
      </c>
      <c r="L274" s="2">
        <f>VLOOKUP($C274,'[10]for slip'!$F:$BC,35,0)</f>
        <v>0</v>
      </c>
      <c r="M274" s="2">
        <f>VLOOKUP($C274,'[10]for slip'!$F:$BC,36,0)</f>
        <v>0</v>
      </c>
      <c r="N274" s="2">
        <f>VLOOKUP($C274,'[10]for slip'!$F:$BC,37,0)</f>
        <v>0</v>
      </c>
      <c r="O274" s="2">
        <f>VLOOKUP($C274,'[10]for slip'!$F:$BC,38,0)</f>
        <v>0</v>
      </c>
      <c r="P274" s="2">
        <f>VLOOKUP($C274,'[10]for slip'!$F:$BC,39,0)</f>
        <v>38000</v>
      </c>
      <c r="Q274" s="2">
        <f>VLOOKUP($C274,'[10]for slip'!$F:$BC,40,0)</f>
        <v>31700</v>
      </c>
      <c r="R274" s="2">
        <f>VLOOKUP($C274,'[10]for slip'!$F:$BC,41,0)</f>
        <v>0</v>
      </c>
      <c r="S274" s="2">
        <f>VLOOKUP($C274,'[10]for slip'!$F:$BC,42,0)</f>
        <v>10000</v>
      </c>
      <c r="T274" s="2">
        <f>VLOOKUP($C274,'[10]for slip'!$F:$BC,43,0)</f>
        <v>53430.83</v>
      </c>
      <c r="U274" s="2">
        <f>VLOOKUP($C274,'[10]for slip'!$F:$BC,44,0)</f>
        <v>106861.66</v>
      </c>
      <c r="V274" s="2">
        <f>VLOOKUP($C274,'[10]for slip'!$F:$BC,45,0)</f>
        <v>53430.83</v>
      </c>
      <c r="W274" s="2">
        <f>VLOOKUP($C274,'[10]for slip'!$F:$BC,48,0)</f>
        <v>0</v>
      </c>
    </row>
    <row r="275" spans="1:23" x14ac:dyDescent="0.25">
      <c r="A275" s="1">
        <v>274</v>
      </c>
      <c r="B275" s="2" t="s">
        <v>569</v>
      </c>
      <c r="C275" s="2" t="s">
        <v>570</v>
      </c>
      <c r="D275" s="2" t="str">
        <f>VLOOKUP($C275,'[10]for slip'!$F:$BC,3,0)</f>
        <v>Pelaksana</v>
      </c>
      <c r="E275" s="2" t="str">
        <f>VLOOKUP($C275,'[10]for slip'!$F:$BC,4,0)</f>
        <v>Assembly</v>
      </c>
      <c r="F275" s="2">
        <f>VLOOKUP($C275,'[10]for slip'!$F:$BC,14,0)</f>
        <v>5343083</v>
      </c>
      <c r="G275" s="2">
        <f>VLOOKUP($C275,'[10]for slip'!$F:$BC,15,0)</f>
        <v>0</v>
      </c>
      <c r="H275" s="2">
        <f>VLOOKUP($C275,'[10]for slip'!$F:$BC,16,0)</f>
        <v>0</v>
      </c>
      <c r="I275" s="2">
        <f>VLOOKUP($C275,'[10]for slip'!$F:$BC,17,0)</f>
        <v>0</v>
      </c>
      <c r="J275" s="2">
        <f>VLOOKUP($C275,'[10]for slip'!$F:$BC,27,0)</f>
        <v>0</v>
      </c>
      <c r="K275" s="2">
        <f>VLOOKUP($C275,'[10]for slip'!$F:$BC,31,0)</f>
        <v>0</v>
      </c>
      <c r="L275" s="2">
        <f>VLOOKUP($C275,'[10]for slip'!$F:$BC,35,0)</f>
        <v>15604.584590750002</v>
      </c>
      <c r="M275" s="2">
        <f>VLOOKUP($C275,'[10]for slip'!$F:$BC,36,0)</f>
        <v>0</v>
      </c>
      <c r="N275" s="2">
        <f>VLOOKUP($C275,'[10]for slip'!$F:$BC,37,0)</f>
        <v>0</v>
      </c>
      <c r="O275" s="2">
        <f>VLOOKUP($C275,'[10]for slip'!$F:$BC,38,0)</f>
        <v>0</v>
      </c>
      <c r="P275" s="2">
        <f>VLOOKUP($C275,'[10]for slip'!$F:$BC,39,0)</f>
        <v>0</v>
      </c>
      <c r="Q275" s="2">
        <f>VLOOKUP($C275,'[10]for slip'!$F:$BC,40,0)</f>
        <v>31700</v>
      </c>
      <c r="R275" s="2">
        <f>VLOOKUP($C275,'[10]for slip'!$F:$BC,41,0)</f>
        <v>0</v>
      </c>
      <c r="S275" s="2">
        <f>VLOOKUP($C275,'[10]for slip'!$F:$BC,42,0)</f>
        <v>10000</v>
      </c>
      <c r="T275" s="2">
        <f>VLOOKUP($C275,'[10]for slip'!$F:$BC,43,0)</f>
        <v>53430.83</v>
      </c>
      <c r="U275" s="2">
        <f>VLOOKUP($C275,'[10]for slip'!$F:$BC,44,0)</f>
        <v>106861.66</v>
      </c>
      <c r="V275" s="2">
        <f>VLOOKUP($C275,'[10]for slip'!$F:$BC,45,0)</f>
        <v>53430.83</v>
      </c>
      <c r="W275" s="2">
        <f>VLOOKUP($C275,'[10]for slip'!$F:$BC,48,0)</f>
        <v>15604.584590750002</v>
      </c>
    </row>
    <row r="276" spans="1:23" x14ac:dyDescent="0.25">
      <c r="A276" s="1">
        <v>275</v>
      </c>
      <c r="B276" s="2" t="s">
        <v>571</v>
      </c>
      <c r="C276" s="2" t="s">
        <v>572</v>
      </c>
      <c r="D276" s="2" t="str">
        <f>VLOOKUP($C276,'[10]for slip'!$F:$BC,3,0)</f>
        <v>Pelaksana</v>
      </c>
      <c r="E276" s="2" t="str">
        <f>VLOOKUP($C276,'[10]for slip'!$F:$BC,4,0)</f>
        <v>Assembly</v>
      </c>
      <c r="F276" s="2">
        <f>VLOOKUP($C276,'[10]for slip'!$F:$BC,14,0)</f>
        <v>5343083</v>
      </c>
      <c r="G276" s="2">
        <f>VLOOKUP($C276,'[10]for slip'!$F:$BC,15,0)</f>
        <v>0</v>
      </c>
      <c r="H276" s="2">
        <f>VLOOKUP($C276,'[10]for slip'!$F:$BC,16,0)</f>
        <v>0</v>
      </c>
      <c r="I276" s="2">
        <f>VLOOKUP($C276,'[10]for slip'!$F:$BC,17,0)</f>
        <v>0</v>
      </c>
      <c r="J276" s="2">
        <f>VLOOKUP($C276,'[10]for slip'!$F:$BC,27,0)</f>
        <v>0</v>
      </c>
      <c r="K276" s="2">
        <f>VLOOKUP($C276,'[10]for slip'!$F:$BC,31,0)</f>
        <v>0</v>
      </c>
      <c r="L276" s="2">
        <f>VLOOKUP($C276,'[10]for slip'!$F:$BC,35,0)</f>
        <v>34354.584590750004</v>
      </c>
      <c r="M276" s="2">
        <f>VLOOKUP($C276,'[10]for slip'!$F:$BC,36,0)</f>
        <v>0</v>
      </c>
      <c r="N276" s="2">
        <f>VLOOKUP($C276,'[10]for slip'!$F:$BC,37,0)</f>
        <v>0</v>
      </c>
      <c r="O276" s="2">
        <f>VLOOKUP($C276,'[10]for slip'!$F:$BC,38,0)</f>
        <v>0</v>
      </c>
      <c r="P276" s="2">
        <f>VLOOKUP($C276,'[10]for slip'!$F:$BC,39,0)</f>
        <v>38000</v>
      </c>
      <c r="Q276" s="2">
        <f>VLOOKUP($C276,'[10]for slip'!$F:$BC,40,0)</f>
        <v>31700</v>
      </c>
      <c r="R276" s="2">
        <f>VLOOKUP($C276,'[10]for slip'!$F:$BC,41,0)</f>
        <v>0</v>
      </c>
      <c r="S276" s="2">
        <f>VLOOKUP($C276,'[10]for slip'!$F:$BC,42,0)</f>
        <v>0</v>
      </c>
      <c r="T276" s="2">
        <f>VLOOKUP($C276,'[10]for slip'!$F:$BC,43,0)</f>
        <v>53430.83</v>
      </c>
      <c r="U276" s="2">
        <f>VLOOKUP($C276,'[10]for slip'!$F:$BC,44,0)</f>
        <v>106861.66</v>
      </c>
      <c r="V276" s="2">
        <f>VLOOKUP($C276,'[10]for slip'!$F:$BC,45,0)</f>
        <v>53430.83</v>
      </c>
      <c r="W276" s="2">
        <f>VLOOKUP($C276,'[10]for slip'!$F:$BC,48,0)</f>
        <v>34354.584590750004</v>
      </c>
    </row>
    <row r="277" spans="1:23" x14ac:dyDescent="0.25">
      <c r="A277" s="1">
        <v>276</v>
      </c>
      <c r="B277" s="2" t="s">
        <v>573</v>
      </c>
      <c r="C277" s="2" t="s">
        <v>574</v>
      </c>
      <c r="D277" s="2" t="str">
        <f>VLOOKUP($C277,'[10]for slip'!$F:$BC,3,0)</f>
        <v>Pelaksana</v>
      </c>
      <c r="E277" s="2" t="str">
        <f>VLOOKUP($C277,'[10]for slip'!$F:$BC,4,0)</f>
        <v>Assembly</v>
      </c>
      <c r="F277" s="2">
        <f>VLOOKUP($C277,'[10]for slip'!$F:$BC,14,0)</f>
        <v>5343083</v>
      </c>
      <c r="G277" s="2">
        <f>VLOOKUP($C277,'[10]for slip'!$F:$BC,15,0)</f>
        <v>0</v>
      </c>
      <c r="H277" s="2">
        <f>VLOOKUP($C277,'[10]for slip'!$F:$BC,16,0)</f>
        <v>0</v>
      </c>
      <c r="I277" s="2">
        <f>VLOOKUP($C277,'[10]for slip'!$F:$BC,17,0)</f>
        <v>0</v>
      </c>
      <c r="J277" s="2">
        <f>VLOOKUP($C277,'[10]for slip'!$F:$BC,27,0)</f>
        <v>0</v>
      </c>
      <c r="K277" s="2">
        <f>VLOOKUP($C277,'[10]for slip'!$F:$BC,31,0)</f>
        <v>0</v>
      </c>
      <c r="L277" s="2">
        <f>VLOOKUP($C277,'[10]for slip'!$F:$BC,35,0)</f>
        <v>34354.584590750004</v>
      </c>
      <c r="M277" s="2">
        <f>VLOOKUP($C277,'[10]for slip'!$F:$BC,36,0)</f>
        <v>0</v>
      </c>
      <c r="N277" s="2">
        <f>VLOOKUP($C277,'[10]for slip'!$F:$BC,37,0)</f>
        <v>0</v>
      </c>
      <c r="O277" s="2">
        <f>VLOOKUP($C277,'[10]for slip'!$F:$BC,38,0)</f>
        <v>0</v>
      </c>
      <c r="P277" s="2">
        <f>VLOOKUP($C277,'[10]for slip'!$F:$BC,39,0)</f>
        <v>38000</v>
      </c>
      <c r="Q277" s="2">
        <f>VLOOKUP($C277,'[10]for slip'!$F:$BC,40,0)</f>
        <v>31700</v>
      </c>
      <c r="R277" s="2">
        <f>VLOOKUP($C277,'[10]for slip'!$F:$BC,41,0)</f>
        <v>0</v>
      </c>
      <c r="S277" s="2">
        <f>VLOOKUP($C277,'[10]for slip'!$F:$BC,42,0)</f>
        <v>10000</v>
      </c>
      <c r="T277" s="2">
        <f>VLOOKUP($C277,'[10]for slip'!$F:$BC,43,0)</f>
        <v>53430.83</v>
      </c>
      <c r="U277" s="2">
        <f>VLOOKUP($C277,'[10]for slip'!$F:$BC,44,0)</f>
        <v>106861.66</v>
      </c>
      <c r="V277" s="2">
        <f>VLOOKUP($C277,'[10]for slip'!$F:$BC,45,0)</f>
        <v>53430.83</v>
      </c>
      <c r="W277" s="2">
        <f>VLOOKUP($C277,'[10]for slip'!$F:$BC,48,0)</f>
        <v>34354.584590750004</v>
      </c>
    </row>
    <row r="278" spans="1:23" x14ac:dyDescent="0.25">
      <c r="A278" s="1">
        <v>277</v>
      </c>
      <c r="B278" s="2" t="s">
        <v>575</v>
      </c>
      <c r="C278" s="2" t="s">
        <v>576</v>
      </c>
      <c r="D278" s="2" t="str">
        <f>VLOOKUP($C278,'[10]for slip'!$F:$BC,3,0)</f>
        <v>Pelaksana</v>
      </c>
      <c r="E278" s="2" t="str">
        <f>VLOOKUP($C278,'[10]for slip'!$F:$BC,4,0)</f>
        <v>Assembly</v>
      </c>
      <c r="F278" s="2">
        <f>VLOOKUP($C278,'[10]for slip'!$F:$BC,14,0)</f>
        <v>5343083</v>
      </c>
      <c r="G278" s="2">
        <f>VLOOKUP($C278,'[10]for slip'!$F:$BC,15,0)</f>
        <v>0</v>
      </c>
      <c r="H278" s="2">
        <f>VLOOKUP($C278,'[10]for slip'!$F:$BC,16,0)</f>
        <v>0</v>
      </c>
      <c r="I278" s="2">
        <f>VLOOKUP($C278,'[10]for slip'!$F:$BC,17,0)</f>
        <v>0</v>
      </c>
      <c r="J278" s="2">
        <f>VLOOKUP($C278,'[10]for slip'!$F:$BC,27,0)</f>
        <v>0</v>
      </c>
      <c r="K278" s="2">
        <f>VLOOKUP($C278,'[10]for slip'!$F:$BC,31,0)</f>
        <v>0</v>
      </c>
      <c r="L278" s="2">
        <f>VLOOKUP($C278,'[10]for slip'!$F:$BC,35,0)</f>
        <v>0</v>
      </c>
      <c r="M278" s="2">
        <f>VLOOKUP($C278,'[10]for slip'!$F:$BC,36,0)</f>
        <v>0</v>
      </c>
      <c r="N278" s="2">
        <f>VLOOKUP($C278,'[10]for slip'!$F:$BC,37,0)</f>
        <v>16</v>
      </c>
      <c r="O278" s="2">
        <f>VLOOKUP($C278,'[10]for slip'!$F:$BC,38,0)</f>
        <v>4070920</v>
      </c>
      <c r="P278" s="2">
        <f>VLOOKUP($C278,'[10]for slip'!$F:$BC,39,0)</f>
        <v>38000</v>
      </c>
      <c r="Q278" s="2">
        <f>VLOOKUP($C278,'[10]for slip'!$F:$BC,40,0)</f>
        <v>0</v>
      </c>
      <c r="R278" s="2">
        <f>VLOOKUP($C278,'[10]for slip'!$F:$BC,41,0)</f>
        <v>0</v>
      </c>
      <c r="S278" s="2">
        <f>VLOOKUP($C278,'[10]for slip'!$F:$BC,42,0)</f>
        <v>0</v>
      </c>
      <c r="T278" s="2">
        <f>VLOOKUP($C278,'[10]for slip'!$F:$BC,43,0)</f>
        <v>53430.83</v>
      </c>
      <c r="U278" s="2">
        <f>VLOOKUP($C278,'[10]for slip'!$F:$BC,44,0)</f>
        <v>106861.66</v>
      </c>
      <c r="V278" s="2">
        <f>VLOOKUP($C278,'[10]for slip'!$F:$BC,45,0)</f>
        <v>53430.83</v>
      </c>
      <c r="W278" s="2">
        <f>VLOOKUP($C278,'[10]for slip'!$F:$BC,48,0)</f>
        <v>0</v>
      </c>
    </row>
    <row r="279" spans="1:23" x14ac:dyDescent="0.25">
      <c r="A279" s="1">
        <v>278</v>
      </c>
      <c r="B279" s="2" t="s">
        <v>577</v>
      </c>
      <c r="C279" s="2" t="s">
        <v>578</v>
      </c>
      <c r="D279" s="2" t="str">
        <f>VLOOKUP($C279,'[10]for slip'!$F:$BC,3,0)</f>
        <v>Pelaksana</v>
      </c>
      <c r="E279" s="2" t="str">
        <f>VLOOKUP($C279,'[10]for slip'!$F:$BC,4,0)</f>
        <v>Assembly</v>
      </c>
      <c r="F279" s="2">
        <f>VLOOKUP($C279,'[10]for slip'!$F:$BC,14,0)</f>
        <v>5343083</v>
      </c>
      <c r="G279" s="2">
        <f>VLOOKUP($C279,'[10]for slip'!$F:$BC,15,0)</f>
        <v>0</v>
      </c>
      <c r="H279" s="2">
        <f>VLOOKUP($C279,'[10]for slip'!$F:$BC,16,0)</f>
        <v>0</v>
      </c>
      <c r="I279" s="2">
        <f>VLOOKUP($C279,'[10]for slip'!$F:$BC,17,0)</f>
        <v>0</v>
      </c>
      <c r="J279" s="2">
        <f>VLOOKUP($C279,'[10]for slip'!$F:$BC,27,0)</f>
        <v>0</v>
      </c>
      <c r="K279" s="2">
        <f>VLOOKUP($C279,'[10]for slip'!$F:$BC,31,0)</f>
        <v>0</v>
      </c>
      <c r="L279" s="2">
        <f>VLOOKUP($C279,'[10]for slip'!$F:$BC,35,0)</f>
        <v>15604.584590750002</v>
      </c>
      <c r="M279" s="2">
        <f>VLOOKUP($C279,'[10]for slip'!$F:$BC,36,0)</f>
        <v>0</v>
      </c>
      <c r="N279" s="2">
        <f>VLOOKUP($C279,'[10]for slip'!$F:$BC,37,0)</f>
        <v>0</v>
      </c>
      <c r="O279" s="2">
        <f>VLOOKUP($C279,'[10]for slip'!$F:$BC,38,0)</f>
        <v>0</v>
      </c>
      <c r="P279" s="2">
        <f>VLOOKUP($C279,'[10]for slip'!$F:$BC,39,0)</f>
        <v>38000</v>
      </c>
      <c r="Q279" s="2">
        <f>VLOOKUP($C279,'[10]for slip'!$F:$BC,40,0)</f>
        <v>31700</v>
      </c>
      <c r="R279" s="2">
        <f>VLOOKUP($C279,'[10]for slip'!$F:$BC,41,0)</f>
        <v>0</v>
      </c>
      <c r="S279" s="2">
        <f>VLOOKUP($C279,'[10]for slip'!$F:$BC,42,0)</f>
        <v>0</v>
      </c>
      <c r="T279" s="2">
        <f>VLOOKUP($C279,'[10]for slip'!$F:$BC,43,0)</f>
        <v>53430.83</v>
      </c>
      <c r="U279" s="2">
        <f>VLOOKUP($C279,'[10]for slip'!$F:$BC,44,0)</f>
        <v>106861.66</v>
      </c>
      <c r="V279" s="2">
        <f>VLOOKUP($C279,'[10]for slip'!$F:$BC,45,0)</f>
        <v>53430.83</v>
      </c>
      <c r="W279" s="2">
        <f>VLOOKUP($C279,'[10]for slip'!$F:$BC,48,0)</f>
        <v>15604.584590750002</v>
      </c>
    </row>
    <row r="280" spans="1:23" x14ac:dyDescent="0.25">
      <c r="A280" s="1">
        <v>279</v>
      </c>
      <c r="B280" s="2" t="s">
        <v>579</v>
      </c>
      <c r="C280" s="2" t="s">
        <v>580</v>
      </c>
      <c r="D280" s="2" t="str">
        <f>VLOOKUP($C280,'[10]for slip'!$F:$BC,3,0)</f>
        <v>Pelaksana</v>
      </c>
      <c r="E280" s="2" t="str">
        <f>VLOOKUP($C280,'[10]for slip'!$F:$BC,4,0)</f>
        <v>Assembly</v>
      </c>
      <c r="F280" s="2">
        <f>VLOOKUP($C280,'[10]for slip'!$F:$BC,14,0)</f>
        <v>5343083</v>
      </c>
      <c r="G280" s="2">
        <f>VLOOKUP($C280,'[10]for slip'!$F:$BC,15,0)</f>
        <v>0</v>
      </c>
      <c r="H280" s="2">
        <f>VLOOKUP($C280,'[10]for slip'!$F:$BC,16,0)</f>
        <v>0</v>
      </c>
      <c r="I280" s="2">
        <f>VLOOKUP($C280,'[10]for slip'!$F:$BC,17,0)</f>
        <v>0</v>
      </c>
      <c r="J280" s="2">
        <f>VLOOKUP($C280,'[10]for slip'!$F:$BC,27,0)</f>
        <v>0</v>
      </c>
      <c r="K280" s="2">
        <f>VLOOKUP($C280,'[10]for slip'!$F:$BC,31,0)</f>
        <v>0</v>
      </c>
      <c r="L280" s="2">
        <f>VLOOKUP($C280,'[10]for slip'!$F:$BC,35,0)</f>
        <v>34354.584590750004</v>
      </c>
      <c r="M280" s="2">
        <f>VLOOKUP($C280,'[10]for slip'!$F:$BC,36,0)</f>
        <v>0</v>
      </c>
      <c r="N280" s="2">
        <f>VLOOKUP($C280,'[10]for slip'!$F:$BC,37,0)</f>
        <v>0</v>
      </c>
      <c r="O280" s="2">
        <f>VLOOKUP($C280,'[10]for slip'!$F:$BC,38,0)</f>
        <v>0</v>
      </c>
      <c r="P280" s="2">
        <f>VLOOKUP($C280,'[10]for slip'!$F:$BC,39,0)</f>
        <v>38000</v>
      </c>
      <c r="Q280" s="2">
        <f>VLOOKUP($C280,'[10]for slip'!$F:$BC,40,0)</f>
        <v>31700</v>
      </c>
      <c r="R280" s="2">
        <f>VLOOKUP($C280,'[10]for slip'!$F:$BC,41,0)</f>
        <v>0</v>
      </c>
      <c r="S280" s="2">
        <f>VLOOKUP($C280,'[10]for slip'!$F:$BC,42,0)</f>
        <v>10000</v>
      </c>
      <c r="T280" s="2">
        <f>VLOOKUP($C280,'[10]for slip'!$F:$BC,43,0)</f>
        <v>53430.83</v>
      </c>
      <c r="U280" s="2">
        <f>VLOOKUP($C280,'[10]for slip'!$F:$BC,44,0)</f>
        <v>106861.66</v>
      </c>
      <c r="V280" s="2">
        <f>VLOOKUP($C280,'[10]for slip'!$F:$BC,45,0)</f>
        <v>53430.83</v>
      </c>
      <c r="W280" s="2">
        <f>VLOOKUP($C280,'[10]for slip'!$F:$BC,48,0)</f>
        <v>34354.584590750004</v>
      </c>
    </row>
    <row r="281" spans="1:23" x14ac:dyDescent="0.25">
      <c r="A281" s="1">
        <v>280</v>
      </c>
      <c r="B281" s="2" t="s">
        <v>581</v>
      </c>
      <c r="C281" s="2" t="s">
        <v>582</v>
      </c>
      <c r="D281" s="2" t="str">
        <f>VLOOKUP($C281,'[10]for slip'!$F:$BC,3,0)</f>
        <v>Pelaksana</v>
      </c>
      <c r="E281" s="2" t="str">
        <f>VLOOKUP($C281,'[10]for slip'!$F:$BC,4,0)</f>
        <v>Assembly</v>
      </c>
      <c r="F281" s="2">
        <f>VLOOKUP($C281,'[10]for slip'!$F:$BC,14,0)</f>
        <v>5343083</v>
      </c>
      <c r="G281" s="2">
        <f>VLOOKUP($C281,'[10]for slip'!$F:$BC,15,0)</f>
        <v>0</v>
      </c>
      <c r="H281" s="2">
        <f>VLOOKUP($C281,'[10]for slip'!$F:$BC,16,0)</f>
        <v>0</v>
      </c>
      <c r="I281" s="2">
        <f>VLOOKUP($C281,'[10]for slip'!$F:$BC,17,0)</f>
        <v>0</v>
      </c>
      <c r="J281" s="2">
        <f>VLOOKUP($C281,'[10]for slip'!$F:$BC,27,0)</f>
        <v>0</v>
      </c>
      <c r="K281" s="2">
        <f>VLOOKUP($C281,'[10]for slip'!$F:$BC,31,0)</f>
        <v>0</v>
      </c>
      <c r="L281" s="2">
        <f>VLOOKUP($C281,'[10]for slip'!$F:$BC,35,0)</f>
        <v>15604.584590750002</v>
      </c>
      <c r="M281" s="2">
        <f>VLOOKUP($C281,'[10]for slip'!$F:$BC,36,0)</f>
        <v>0</v>
      </c>
      <c r="N281" s="2">
        <f>VLOOKUP($C281,'[10]for slip'!$F:$BC,37,0)</f>
        <v>0</v>
      </c>
      <c r="O281" s="2">
        <f>VLOOKUP($C281,'[10]for slip'!$F:$BC,38,0)</f>
        <v>0</v>
      </c>
      <c r="P281" s="2">
        <f>VLOOKUP($C281,'[10]for slip'!$F:$BC,39,0)</f>
        <v>38000</v>
      </c>
      <c r="Q281" s="2">
        <f>VLOOKUP($C281,'[10]for slip'!$F:$BC,40,0)</f>
        <v>31700</v>
      </c>
      <c r="R281" s="2">
        <f>VLOOKUP($C281,'[10]for slip'!$F:$BC,41,0)</f>
        <v>0</v>
      </c>
      <c r="S281" s="2">
        <f>VLOOKUP($C281,'[10]for slip'!$F:$BC,42,0)</f>
        <v>0</v>
      </c>
      <c r="T281" s="2">
        <f>VLOOKUP($C281,'[10]for slip'!$F:$BC,43,0)</f>
        <v>53430.83</v>
      </c>
      <c r="U281" s="2">
        <f>VLOOKUP($C281,'[10]for slip'!$F:$BC,44,0)</f>
        <v>106861.66</v>
      </c>
      <c r="V281" s="2">
        <f>VLOOKUP($C281,'[10]for slip'!$F:$BC,45,0)</f>
        <v>53430.83</v>
      </c>
      <c r="W281" s="2">
        <f>VLOOKUP($C281,'[10]for slip'!$F:$BC,48,0)</f>
        <v>15604.584590750002</v>
      </c>
    </row>
    <row r="282" spans="1:23" x14ac:dyDescent="0.25">
      <c r="A282" s="1">
        <v>281</v>
      </c>
      <c r="B282" s="2" t="s">
        <v>583</v>
      </c>
      <c r="C282" s="2" t="s">
        <v>584</v>
      </c>
      <c r="D282" s="2" t="str">
        <f>VLOOKUP($C282,'[10]for slip'!$F:$BC,3,0)</f>
        <v>Pelaksana</v>
      </c>
      <c r="E282" s="2" t="str">
        <f>VLOOKUP($C282,'[10]for slip'!$F:$BC,4,0)</f>
        <v>Assembly</v>
      </c>
      <c r="F282" s="2">
        <f>VLOOKUP($C282,'[10]for slip'!$F:$BC,14,0)</f>
        <v>5343083</v>
      </c>
      <c r="G282" s="2">
        <f>VLOOKUP($C282,'[10]for slip'!$F:$BC,15,0)</f>
        <v>0</v>
      </c>
      <c r="H282" s="2">
        <f>VLOOKUP($C282,'[10]for slip'!$F:$BC,16,0)</f>
        <v>0</v>
      </c>
      <c r="I282" s="2">
        <f>VLOOKUP($C282,'[10]for slip'!$F:$BC,17,0)</f>
        <v>0</v>
      </c>
      <c r="J282" s="2">
        <f>VLOOKUP($C282,'[10]for slip'!$F:$BC,27,0)</f>
        <v>0</v>
      </c>
      <c r="K282" s="2">
        <f>VLOOKUP($C282,'[10]for slip'!$F:$BC,31,0)</f>
        <v>0</v>
      </c>
      <c r="L282" s="2">
        <f>VLOOKUP($C282,'[10]for slip'!$F:$BC,35,0)</f>
        <v>0</v>
      </c>
      <c r="M282" s="2">
        <f>VLOOKUP($C282,'[10]for slip'!$F:$BC,36,0)</f>
        <v>0</v>
      </c>
      <c r="N282" s="2">
        <f>VLOOKUP($C282,'[10]for slip'!$F:$BC,37,0)</f>
        <v>0</v>
      </c>
      <c r="O282" s="2">
        <f>VLOOKUP($C282,'[10]for slip'!$F:$BC,38,0)</f>
        <v>0</v>
      </c>
      <c r="P282" s="2">
        <f>VLOOKUP($C282,'[10]for slip'!$F:$BC,39,0)</f>
        <v>38000</v>
      </c>
      <c r="Q282" s="2">
        <f>VLOOKUP($C282,'[10]for slip'!$F:$BC,40,0)</f>
        <v>31700</v>
      </c>
      <c r="R282" s="2">
        <f>VLOOKUP($C282,'[10]for slip'!$F:$BC,41,0)</f>
        <v>0</v>
      </c>
      <c r="S282" s="2">
        <f>VLOOKUP($C282,'[10]for slip'!$F:$BC,42,0)</f>
        <v>10000</v>
      </c>
      <c r="T282" s="2">
        <f>VLOOKUP($C282,'[10]for slip'!$F:$BC,43,0)</f>
        <v>53430.83</v>
      </c>
      <c r="U282" s="2">
        <f>VLOOKUP($C282,'[10]for slip'!$F:$BC,44,0)</f>
        <v>106861.66</v>
      </c>
      <c r="V282" s="2">
        <f>VLOOKUP($C282,'[10]for slip'!$F:$BC,45,0)</f>
        <v>53430.83</v>
      </c>
      <c r="W282" s="2">
        <f>VLOOKUP($C282,'[10]for slip'!$F:$BC,48,0)</f>
        <v>0</v>
      </c>
    </row>
    <row r="283" spans="1:23" x14ac:dyDescent="0.25">
      <c r="A283" s="1">
        <v>282</v>
      </c>
      <c r="B283" s="2" t="s">
        <v>585</v>
      </c>
      <c r="C283" s="2" t="s">
        <v>586</v>
      </c>
      <c r="D283" s="2" t="str">
        <f>VLOOKUP($C283,'[10]for slip'!$F:$BC,3,0)</f>
        <v>Pelaksana</v>
      </c>
      <c r="E283" s="2" t="str">
        <f>VLOOKUP($C283,'[10]for slip'!$F:$BC,4,0)</f>
        <v>Assembly</v>
      </c>
      <c r="F283" s="2">
        <f>VLOOKUP($C283,'[10]for slip'!$F:$BC,14,0)</f>
        <v>5343083</v>
      </c>
      <c r="G283" s="2">
        <f>VLOOKUP($C283,'[10]for slip'!$F:$BC,15,0)</f>
        <v>0</v>
      </c>
      <c r="H283" s="2">
        <f>VLOOKUP($C283,'[10]for slip'!$F:$BC,16,0)</f>
        <v>0</v>
      </c>
      <c r="I283" s="2">
        <f>VLOOKUP($C283,'[10]for slip'!$F:$BC,17,0)</f>
        <v>0</v>
      </c>
      <c r="J283" s="2">
        <f>VLOOKUP($C283,'[10]for slip'!$F:$BC,27,0)</f>
        <v>0</v>
      </c>
      <c r="K283" s="2">
        <f>VLOOKUP($C283,'[10]for slip'!$F:$BC,31,0)</f>
        <v>0</v>
      </c>
      <c r="L283" s="2">
        <f>VLOOKUP($C283,'[10]for slip'!$F:$BC,35,0)</f>
        <v>0</v>
      </c>
      <c r="M283" s="2">
        <f>VLOOKUP($C283,'[10]for slip'!$F:$BC,36,0)</f>
        <v>0</v>
      </c>
      <c r="N283" s="2">
        <f>VLOOKUP($C283,'[10]for slip'!$F:$BC,37,0)</f>
        <v>0</v>
      </c>
      <c r="O283" s="2">
        <f>VLOOKUP($C283,'[10]for slip'!$F:$BC,38,0)</f>
        <v>0</v>
      </c>
      <c r="P283" s="2">
        <f>VLOOKUP($C283,'[10]for slip'!$F:$BC,39,0)</f>
        <v>0</v>
      </c>
      <c r="Q283" s="2">
        <f>VLOOKUP($C283,'[10]for slip'!$F:$BC,40,0)</f>
        <v>31700</v>
      </c>
      <c r="R283" s="2">
        <f>VLOOKUP($C283,'[10]for slip'!$F:$BC,41,0)</f>
        <v>0</v>
      </c>
      <c r="S283" s="2">
        <f>VLOOKUP($C283,'[10]for slip'!$F:$BC,42,0)</f>
        <v>10000</v>
      </c>
      <c r="T283" s="2">
        <f>VLOOKUP($C283,'[10]for slip'!$F:$BC,43,0)</f>
        <v>53430.83</v>
      </c>
      <c r="U283" s="2">
        <f>VLOOKUP($C283,'[10]for slip'!$F:$BC,44,0)</f>
        <v>106861.66</v>
      </c>
      <c r="V283" s="2">
        <f>VLOOKUP($C283,'[10]for slip'!$F:$BC,45,0)</f>
        <v>53430.83</v>
      </c>
      <c r="W283" s="2">
        <f>VLOOKUP($C283,'[10]for slip'!$F:$BC,48,0)</f>
        <v>0</v>
      </c>
    </row>
    <row r="284" spans="1:23" x14ac:dyDescent="0.25">
      <c r="A284" s="1">
        <v>283</v>
      </c>
      <c r="B284" s="2" t="s">
        <v>587</v>
      </c>
      <c r="C284" s="2" t="s">
        <v>588</v>
      </c>
      <c r="D284" s="2" t="str">
        <f>VLOOKUP($C284,'[10]for slip'!$F:$BC,3,0)</f>
        <v>Pelaksana</v>
      </c>
      <c r="E284" s="2" t="str">
        <f>VLOOKUP($C284,'[10]for slip'!$F:$BC,4,0)</f>
        <v>Assembly</v>
      </c>
      <c r="F284" s="2">
        <f>VLOOKUP($C284,'[10]for slip'!$F:$BC,14,0)</f>
        <v>5343083</v>
      </c>
      <c r="G284" s="2">
        <f>VLOOKUP($C284,'[10]for slip'!$F:$BC,15,0)</f>
        <v>0</v>
      </c>
      <c r="H284" s="2">
        <f>VLOOKUP($C284,'[10]for slip'!$F:$BC,16,0)</f>
        <v>0</v>
      </c>
      <c r="I284" s="2">
        <f>VLOOKUP($C284,'[10]for slip'!$F:$BC,17,0)</f>
        <v>0</v>
      </c>
      <c r="J284" s="2">
        <f>VLOOKUP($C284,'[10]for slip'!$F:$BC,27,0)</f>
        <v>0</v>
      </c>
      <c r="K284" s="2">
        <f>VLOOKUP($C284,'[10]for slip'!$F:$BC,31,0)</f>
        <v>0</v>
      </c>
      <c r="L284" s="2">
        <f>VLOOKUP($C284,'[10]for slip'!$F:$BC,35,0)</f>
        <v>34354.584590750004</v>
      </c>
      <c r="M284" s="2">
        <f>VLOOKUP($C284,'[10]for slip'!$F:$BC,36,0)</f>
        <v>0</v>
      </c>
      <c r="N284" s="2">
        <f>VLOOKUP($C284,'[10]for slip'!$F:$BC,37,0)</f>
        <v>0</v>
      </c>
      <c r="O284" s="2">
        <f>VLOOKUP($C284,'[10]for slip'!$F:$BC,38,0)</f>
        <v>0</v>
      </c>
      <c r="P284" s="2">
        <f>VLOOKUP($C284,'[10]for slip'!$F:$BC,39,0)</f>
        <v>38000</v>
      </c>
      <c r="Q284" s="2">
        <f>VLOOKUP($C284,'[10]for slip'!$F:$BC,40,0)</f>
        <v>31700</v>
      </c>
      <c r="R284" s="2">
        <f>VLOOKUP($C284,'[10]for slip'!$F:$BC,41,0)</f>
        <v>0</v>
      </c>
      <c r="S284" s="2">
        <f>VLOOKUP($C284,'[10]for slip'!$F:$BC,42,0)</f>
        <v>10000</v>
      </c>
      <c r="T284" s="2">
        <f>VLOOKUP($C284,'[10]for slip'!$F:$BC,43,0)</f>
        <v>53430.83</v>
      </c>
      <c r="U284" s="2">
        <f>VLOOKUP($C284,'[10]for slip'!$F:$BC,44,0)</f>
        <v>106861.66</v>
      </c>
      <c r="V284" s="2">
        <f>VLOOKUP($C284,'[10]for slip'!$F:$BC,45,0)</f>
        <v>53430.83</v>
      </c>
      <c r="W284" s="2">
        <f>VLOOKUP($C284,'[10]for slip'!$F:$BC,48,0)</f>
        <v>34354.584590750004</v>
      </c>
    </row>
    <row r="285" spans="1:23" x14ac:dyDescent="0.25">
      <c r="A285" s="1">
        <v>284</v>
      </c>
      <c r="B285" s="2" t="s">
        <v>589</v>
      </c>
      <c r="C285" s="2" t="s">
        <v>590</v>
      </c>
      <c r="D285" s="2" t="str">
        <f>VLOOKUP($C285,'[10]for slip'!$F:$BC,3,0)</f>
        <v>Pelaksana</v>
      </c>
      <c r="E285" s="2" t="str">
        <f>VLOOKUP($C285,'[10]for slip'!$F:$BC,4,0)</f>
        <v>Assembly</v>
      </c>
      <c r="F285" s="2">
        <f>VLOOKUP($C285,'[10]for slip'!$F:$BC,14,0)</f>
        <v>5343083</v>
      </c>
      <c r="G285" s="2">
        <f>VLOOKUP($C285,'[10]for slip'!$F:$BC,15,0)</f>
        <v>0</v>
      </c>
      <c r="H285" s="2">
        <f>VLOOKUP($C285,'[10]for slip'!$F:$BC,16,0)</f>
        <v>0</v>
      </c>
      <c r="I285" s="2">
        <f>VLOOKUP($C285,'[10]for slip'!$F:$BC,17,0)</f>
        <v>0</v>
      </c>
      <c r="J285" s="2">
        <f>VLOOKUP($C285,'[10]for slip'!$F:$BC,27,0)</f>
        <v>0</v>
      </c>
      <c r="K285" s="2">
        <f>VLOOKUP($C285,'[10]for slip'!$F:$BC,31,0)</f>
        <v>0</v>
      </c>
      <c r="L285" s="2">
        <f>VLOOKUP($C285,'[10]for slip'!$F:$BC,35,0)</f>
        <v>15604.584590750002</v>
      </c>
      <c r="M285" s="2">
        <f>VLOOKUP($C285,'[10]for slip'!$F:$BC,36,0)</f>
        <v>0</v>
      </c>
      <c r="N285" s="2">
        <f>VLOOKUP($C285,'[10]for slip'!$F:$BC,37,0)</f>
        <v>0</v>
      </c>
      <c r="O285" s="2">
        <f>VLOOKUP($C285,'[10]for slip'!$F:$BC,38,0)</f>
        <v>0</v>
      </c>
      <c r="P285" s="2">
        <f>VLOOKUP($C285,'[10]for slip'!$F:$BC,39,0)</f>
        <v>38000</v>
      </c>
      <c r="Q285" s="2">
        <f>VLOOKUP($C285,'[10]for slip'!$F:$BC,40,0)</f>
        <v>31700</v>
      </c>
      <c r="R285" s="2">
        <f>VLOOKUP($C285,'[10]for slip'!$F:$BC,41,0)</f>
        <v>0</v>
      </c>
      <c r="S285" s="2">
        <f>VLOOKUP($C285,'[10]for slip'!$F:$BC,42,0)</f>
        <v>0</v>
      </c>
      <c r="T285" s="2">
        <f>VLOOKUP($C285,'[10]for slip'!$F:$BC,43,0)</f>
        <v>53430.83</v>
      </c>
      <c r="U285" s="2">
        <f>VLOOKUP($C285,'[10]for slip'!$F:$BC,44,0)</f>
        <v>106861.66</v>
      </c>
      <c r="V285" s="2">
        <f>VLOOKUP($C285,'[10]for slip'!$F:$BC,45,0)</f>
        <v>53430.83</v>
      </c>
      <c r="W285" s="2">
        <f>VLOOKUP($C285,'[10]for slip'!$F:$BC,48,0)</f>
        <v>15604.584590750002</v>
      </c>
    </row>
    <row r="286" spans="1:23" x14ac:dyDescent="0.25">
      <c r="A286" s="1">
        <v>285</v>
      </c>
      <c r="B286" s="2" t="s">
        <v>591</v>
      </c>
      <c r="C286" s="2" t="s">
        <v>592</v>
      </c>
      <c r="D286" s="2" t="str">
        <f>VLOOKUP($C286,'[10]for slip'!$F:$BC,3,0)</f>
        <v>Pelaksana</v>
      </c>
      <c r="E286" s="2" t="str">
        <f>VLOOKUP($C286,'[10]for slip'!$F:$BC,4,0)</f>
        <v>Assembly</v>
      </c>
      <c r="F286" s="2">
        <f>VLOOKUP($C286,'[10]for slip'!$F:$BC,14,0)</f>
        <v>5343083</v>
      </c>
      <c r="G286" s="2">
        <f>VLOOKUP($C286,'[10]for slip'!$F:$BC,15,0)</f>
        <v>0</v>
      </c>
      <c r="H286" s="2">
        <f>VLOOKUP($C286,'[10]for slip'!$F:$BC,16,0)</f>
        <v>0</v>
      </c>
      <c r="I286" s="2">
        <f>VLOOKUP($C286,'[10]for slip'!$F:$BC,17,0)</f>
        <v>0</v>
      </c>
      <c r="J286" s="2">
        <f>VLOOKUP($C286,'[10]for slip'!$F:$BC,27,0)</f>
        <v>0</v>
      </c>
      <c r="K286" s="2">
        <f>VLOOKUP($C286,'[10]for slip'!$F:$BC,31,0)</f>
        <v>0</v>
      </c>
      <c r="L286" s="2">
        <f>VLOOKUP($C286,'[10]for slip'!$F:$BC,35,0)</f>
        <v>34354.584590750004</v>
      </c>
      <c r="M286" s="2">
        <f>VLOOKUP($C286,'[10]for slip'!$F:$BC,36,0)</f>
        <v>0</v>
      </c>
      <c r="N286" s="2">
        <f>VLOOKUP($C286,'[10]for slip'!$F:$BC,37,0)</f>
        <v>0</v>
      </c>
      <c r="O286" s="2">
        <f>VLOOKUP($C286,'[10]for slip'!$F:$BC,38,0)</f>
        <v>0</v>
      </c>
      <c r="P286" s="2">
        <f>VLOOKUP($C286,'[10]for slip'!$F:$BC,39,0)</f>
        <v>38000</v>
      </c>
      <c r="Q286" s="2">
        <f>VLOOKUP($C286,'[10]for slip'!$F:$BC,40,0)</f>
        <v>31700</v>
      </c>
      <c r="R286" s="2">
        <f>VLOOKUP($C286,'[10]for slip'!$F:$BC,41,0)</f>
        <v>0</v>
      </c>
      <c r="S286" s="2">
        <f>VLOOKUP($C286,'[10]for slip'!$F:$BC,42,0)</f>
        <v>10000</v>
      </c>
      <c r="T286" s="2">
        <f>VLOOKUP($C286,'[10]for slip'!$F:$BC,43,0)</f>
        <v>53430.83</v>
      </c>
      <c r="U286" s="2">
        <f>VLOOKUP($C286,'[10]for slip'!$F:$BC,44,0)</f>
        <v>106861.66</v>
      </c>
      <c r="V286" s="2">
        <f>VLOOKUP($C286,'[10]for slip'!$F:$BC,45,0)</f>
        <v>53430.83</v>
      </c>
      <c r="W286" s="2">
        <f>VLOOKUP($C286,'[10]for slip'!$F:$BC,48,0)</f>
        <v>34354.584590750004</v>
      </c>
    </row>
    <row r="287" spans="1:23" x14ac:dyDescent="0.25">
      <c r="A287" s="1">
        <v>286</v>
      </c>
      <c r="B287" s="2" t="s">
        <v>593</v>
      </c>
      <c r="C287" s="2" t="s">
        <v>594</v>
      </c>
      <c r="D287" s="2" t="str">
        <f>VLOOKUP($C287,'[10]for slip'!$F:$BC,3,0)</f>
        <v>Pelaksana</v>
      </c>
      <c r="E287" s="2" t="str">
        <f>VLOOKUP($C287,'[10]for slip'!$F:$BC,4,0)</f>
        <v>Assembly</v>
      </c>
      <c r="F287" s="2">
        <f>VLOOKUP($C287,'[10]for slip'!$F:$BC,14,0)</f>
        <v>5343083</v>
      </c>
      <c r="G287" s="2">
        <f>VLOOKUP($C287,'[10]for slip'!$F:$BC,15,0)</f>
        <v>0</v>
      </c>
      <c r="H287" s="2">
        <f>VLOOKUP($C287,'[10]for slip'!$F:$BC,16,0)</f>
        <v>0</v>
      </c>
      <c r="I287" s="2">
        <f>VLOOKUP($C287,'[10]for slip'!$F:$BC,17,0)</f>
        <v>0</v>
      </c>
      <c r="J287" s="2">
        <f>VLOOKUP($C287,'[10]for slip'!$F:$BC,27,0)</f>
        <v>0</v>
      </c>
      <c r="K287" s="2">
        <f>VLOOKUP($C287,'[10]for slip'!$F:$BC,31,0)</f>
        <v>0</v>
      </c>
      <c r="L287" s="2">
        <f>VLOOKUP($C287,'[10]for slip'!$F:$BC,35,0)</f>
        <v>0</v>
      </c>
      <c r="M287" s="2">
        <f>VLOOKUP($C287,'[10]for slip'!$F:$BC,36,0)</f>
        <v>0</v>
      </c>
      <c r="N287" s="2">
        <f>VLOOKUP($C287,'[10]for slip'!$F:$BC,37,0)</f>
        <v>0</v>
      </c>
      <c r="O287" s="2">
        <f>VLOOKUP($C287,'[10]for slip'!$F:$BC,38,0)</f>
        <v>0</v>
      </c>
      <c r="P287" s="2">
        <f>VLOOKUP($C287,'[10]for slip'!$F:$BC,39,0)</f>
        <v>38000</v>
      </c>
      <c r="Q287" s="2">
        <f>VLOOKUP($C287,'[10]for slip'!$F:$BC,40,0)</f>
        <v>31700</v>
      </c>
      <c r="R287" s="2">
        <f>VLOOKUP($C287,'[10]for slip'!$F:$BC,41,0)</f>
        <v>0</v>
      </c>
      <c r="S287" s="2">
        <f>VLOOKUP($C287,'[10]for slip'!$F:$BC,42,0)</f>
        <v>10000</v>
      </c>
      <c r="T287" s="2">
        <f>VLOOKUP($C287,'[10]for slip'!$F:$BC,43,0)</f>
        <v>53430.83</v>
      </c>
      <c r="U287" s="2">
        <f>VLOOKUP($C287,'[10]for slip'!$F:$BC,44,0)</f>
        <v>106861.66</v>
      </c>
      <c r="V287" s="2">
        <f>VLOOKUP($C287,'[10]for slip'!$F:$BC,45,0)</f>
        <v>53430.83</v>
      </c>
      <c r="W287" s="2">
        <f>VLOOKUP($C287,'[10]for slip'!$F:$BC,48,0)</f>
        <v>0</v>
      </c>
    </row>
    <row r="288" spans="1:23" x14ac:dyDescent="0.25">
      <c r="A288" s="1">
        <v>287</v>
      </c>
      <c r="B288" s="2" t="s">
        <v>595</v>
      </c>
      <c r="C288" s="2" t="s">
        <v>596</v>
      </c>
      <c r="D288" s="2" t="str">
        <f>VLOOKUP($C288,'[10]for slip'!$F:$BC,3,0)</f>
        <v>Pelaksana</v>
      </c>
      <c r="E288" s="2" t="str">
        <f>VLOOKUP($C288,'[10]for slip'!$F:$BC,4,0)</f>
        <v>Assembly</v>
      </c>
      <c r="F288" s="2">
        <f>VLOOKUP($C288,'[10]for slip'!$F:$BC,14,0)</f>
        <v>5343083</v>
      </c>
      <c r="G288" s="2">
        <f>VLOOKUP($C288,'[10]for slip'!$F:$BC,15,0)</f>
        <v>0</v>
      </c>
      <c r="H288" s="2">
        <f>VLOOKUP($C288,'[10]for slip'!$F:$BC,16,0)</f>
        <v>0</v>
      </c>
      <c r="I288" s="2">
        <f>VLOOKUP($C288,'[10]for slip'!$F:$BC,17,0)</f>
        <v>0</v>
      </c>
      <c r="J288" s="2">
        <f>VLOOKUP($C288,'[10]for slip'!$F:$BC,27,0)</f>
        <v>0</v>
      </c>
      <c r="K288" s="2">
        <f>VLOOKUP($C288,'[10]for slip'!$F:$BC,31,0)</f>
        <v>0</v>
      </c>
      <c r="L288" s="2">
        <f>VLOOKUP($C288,'[10]for slip'!$F:$BC,35,0)</f>
        <v>0</v>
      </c>
      <c r="M288" s="2">
        <f>VLOOKUP($C288,'[10]for slip'!$F:$BC,36,0)</f>
        <v>0</v>
      </c>
      <c r="N288" s="2">
        <f>VLOOKUP($C288,'[10]for slip'!$F:$BC,37,0)</f>
        <v>0</v>
      </c>
      <c r="O288" s="2">
        <f>VLOOKUP($C288,'[10]for slip'!$F:$BC,38,0)</f>
        <v>0</v>
      </c>
      <c r="P288" s="2">
        <f>VLOOKUP($C288,'[10]for slip'!$F:$BC,39,0)</f>
        <v>38000</v>
      </c>
      <c r="Q288" s="2">
        <f>VLOOKUP($C288,'[10]for slip'!$F:$BC,40,0)</f>
        <v>31700</v>
      </c>
      <c r="R288" s="2">
        <f>VLOOKUP($C288,'[10]for slip'!$F:$BC,41,0)</f>
        <v>0</v>
      </c>
      <c r="S288" s="2">
        <f>VLOOKUP($C288,'[10]for slip'!$F:$BC,42,0)</f>
        <v>10000</v>
      </c>
      <c r="T288" s="2">
        <f>VLOOKUP($C288,'[10]for slip'!$F:$BC,43,0)</f>
        <v>53430.83</v>
      </c>
      <c r="U288" s="2">
        <f>VLOOKUP($C288,'[10]for slip'!$F:$BC,44,0)</f>
        <v>106861.66</v>
      </c>
      <c r="V288" s="2">
        <f>VLOOKUP($C288,'[10]for slip'!$F:$BC,45,0)</f>
        <v>53430.83</v>
      </c>
      <c r="W288" s="2">
        <f>VLOOKUP($C288,'[10]for slip'!$F:$BC,48,0)</f>
        <v>0</v>
      </c>
    </row>
    <row r="289" spans="1:23" x14ac:dyDescent="0.25">
      <c r="A289" s="1">
        <v>288</v>
      </c>
      <c r="B289" s="2" t="s">
        <v>597</v>
      </c>
      <c r="C289" s="2" t="s">
        <v>598</v>
      </c>
      <c r="D289" s="2" t="str">
        <f>VLOOKUP($C289,'[10]for slip'!$F:$BC,3,0)</f>
        <v>Pelaksana</v>
      </c>
      <c r="E289" s="2" t="str">
        <f>VLOOKUP($C289,'[10]for slip'!$F:$BC,4,0)</f>
        <v>Assembly</v>
      </c>
      <c r="F289" s="2">
        <f>VLOOKUP($C289,'[10]for slip'!$F:$BC,14,0)</f>
        <v>5343083</v>
      </c>
      <c r="G289" s="2">
        <f>VLOOKUP($C289,'[10]for slip'!$F:$BC,15,0)</f>
        <v>0</v>
      </c>
      <c r="H289" s="2">
        <f>VLOOKUP($C289,'[10]for slip'!$F:$BC,16,0)</f>
        <v>0</v>
      </c>
      <c r="I289" s="2">
        <f>VLOOKUP($C289,'[10]for slip'!$F:$BC,17,0)</f>
        <v>0</v>
      </c>
      <c r="J289" s="2">
        <f>VLOOKUP($C289,'[10]for slip'!$F:$BC,27,0)</f>
        <v>0</v>
      </c>
      <c r="K289" s="2">
        <f>VLOOKUP($C289,'[10]for slip'!$F:$BC,31,0)</f>
        <v>0</v>
      </c>
      <c r="L289" s="2">
        <f>VLOOKUP($C289,'[10]for slip'!$F:$BC,35,0)</f>
        <v>0</v>
      </c>
      <c r="M289" s="2">
        <f>VLOOKUP($C289,'[10]for slip'!$F:$BC,36,0)</f>
        <v>0</v>
      </c>
      <c r="N289" s="2">
        <f>VLOOKUP($C289,'[10]for slip'!$F:$BC,37,0)</f>
        <v>0</v>
      </c>
      <c r="O289" s="2">
        <f>VLOOKUP($C289,'[10]for slip'!$F:$BC,38,0)</f>
        <v>0</v>
      </c>
      <c r="P289" s="2">
        <f>VLOOKUP($C289,'[10]for slip'!$F:$BC,39,0)</f>
        <v>0</v>
      </c>
      <c r="Q289" s="2">
        <f>VLOOKUP($C289,'[10]for slip'!$F:$BC,40,0)</f>
        <v>31700</v>
      </c>
      <c r="R289" s="2">
        <f>VLOOKUP($C289,'[10]for slip'!$F:$BC,41,0)</f>
        <v>0</v>
      </c>
      <c r="S289" s="2">
        <f>VLOOKUP($C289,'[10]for slip'!$F:$BC,42,0)</f>
        <v>10000</v>
      </c>
      <c r="T289" s="2">
        <f>VLOOKUP($C289,'[10]for slip'!$F:$BC,43,0)</f>
        <v>53430.83</v>
      </c>
      <c r="U289" s="2">
        <f>VLOOKUP($C289,'[10]for slip'!$F:$BC,44,0)</f>
        <v>106861.66</v>
      </c>
      <c r="V289" s="2">
        <f>VLOOKUP($C289,'[10]for slip'!$F:$BC,45,0)</f>
        <v>53430.83</v>
      </c>
      <c r="W289" s="2">
        <f>VLOOKUP($C289,'[10]for slip'!$F:$BC,48,0)</f>
        <v>0</v>
      </c>
    </row>
    <row r="290" spans="1:23" x14ac:dyDescent="0.25">
      <c r="A290" s="1">
        <v>289</v>
      </c>
      <c r="B290" s="2" t="s">
        <v>599</v>
      </c>
      <c r="C290" s="2" t="s">
        <v>600</v>
      </c>
      <c r="D290" s="2" t="str">
        <f>VLOOKUP($C290,'[10]for slip'!$F:$BC,3,0)</f>
        <v>Pelaksana</v>
      </c>
      <c r="E290" s="2" t="str">
        <f>VLOOKUP($C290,'[10]for slip'!$F:$BC,4,0)</f>
        <v>Assembly</v>
      </c>
      <c r="F290" s="2">
        <f>VLOOKUP($C290,'[10]for slip'!$F:$BC,14,0)</f>
        <v>5343083</v>
      </c>
      <c r="G290" s="2">
        <f>VLOOKUP($C290,'[10]for slip'!$F:$BC,15,0)</f>
        <v>0</v>
      </c>
      <c r="H290" s="2">
        <f>VLOOKUP($C290,'[10]for slip'!$F:$BC,16,0)</f>
        <v>0</v>
      </c>
      <c r="I290" s="2">
        <f>VLOOKUP($C290,'[10]for slip'!$F:$BC,17,0)</f>
        <v>0</v>
      </c>
      <c r="J290" s="2">
        <f>VLOOKUP($C290,'[10]for slip'!$F:$BC,27,0)</f>
        <v>0</v>
      </c>
      <c r="K290" s="2">
        <f>VLOOKUP($C290,'[10]for slip'!$F:$BC,31,0)</f>
        <v>0</v>
      </c>
      <c r="L290" s="2">
        <f>VLOOKUP($C290,'[10]for slip'!$F:$BC,35,0)</f>
        <v>0</v>
      </c>
      <c r="M290" s="2">
        <f>VLOOKUP($C290,'[10]for slip'!$F:$BC,36,0)</f>
        <v>0</v>
      </c>
      <c r="N290" s="2">
        <f>VLOOKUP($C290,'[10]for slip'!$F:$BC,37,0)</f>
        <v>0</v>
      </c>
      <c r="O290" s="2">
        <f>VLOOKUP($C290,'[10]for slip'!$F:$BC,38,0)</f>
        <v>0</v>
      </c>
      <c r="P290" s="2">
        <f>VLOOKUP($C290,'[10]for slip'!$F:$BC,39,0)</f>
        <v>38000</v>
      </c>
      <c r="Q290" s="2">
        <f>VLOOKUP($C290,'[10]for slip'!$F:$BC,40,0)</f>
        <v>31700</v>
      </c>
      <c r="R290" s="2">
        <f>VLOOKUP($C290,'[10]for slip'!$F:$BC,41,0)</f>
        <v>0</v>
      </c>
      <c r="S290" s="2">
        <f>VLOOKUP($C290,'[10]for slip'!$F:$BC,42,0)</f>
        <v>0</v>
      </c>
      <c r="T290" s="2">
        <f>VLOOKUP($C290,'[10]for slip'!$F:$BC,43,0)</f>
        <v>53430.83</v>
      </c>
      <c r="U290" s="2">
        <f>VLOOKUP($C290,'[10]for slip'!$F:$BC,44,0)</f>
        <v>106861.66</v>
      </c>
      <c r="V290" s="2">
        <f>VLOOKUP($C290,'[10]for slip'!$F:$BC,45,0)</f>
        <v>53430.83</v>
      </c>
      <c r="W290" s="2">
        <f>VLOOKUP($C290,'[10]for slip'!$F:$BC,48,0)</f>
        <v>0</v>
      </c>
    </row>
    <row r="291" spans="1:23" x14ac:dyDescent="0.25">
      <c r="A291" s="1">
        <v>290</v>
      </c>
      <c r="B291" s="2" t="s">
        <v>601</v>
      </c>
      <c r="C291" s="2" t="s">
        <v>602</v>
      </c>
      <c r="D291" s="2" t="str">
        <f>VLOOKUP($C291,'[10]for slip'!$F:$BC,3,0)</f>
        <v>Pelaksana</v>
      </c>
      <c r="E291" s="2" t="str">
        <f>VLOOKUP($C291,'[10]for slip'!$F:$BC,4,0)</f>
        <v>Assembly</v>
      </c>
      <c r="F291" s="2">
        <f>VLOOKUP($C291,'[10]for slip'!$F:$BC,14,0)</f>
        <v>5343083</v>
      </c>
      <c r="G291" s="2">
        <f>VLOOKUP($C291,'[10]for slip'!$F:$BC,15,0)</f>
        <v>0</v>
      </c>
      <c r="H291" s="2">
        <f>VLOOKUP($C291,'[10]for slip'!$F:$BC,16,0)</f>
        <v>0</v>
      </c>
      <c r="I291" s="2">
        <f>VLOOKUP($C291,'[10]for slip'!$F:$BC,17,0)</f>
        <v>0</v>
      </c>
      <c r="J291" s="2">
        <f>VLOOKUP($C291,'[10]for slip'!$F:$BC,27,0)</f>
        <v>0</v>
      </c>
      <c r="K291" s="2">
        <f>VLOOKUP($C291,'[10]for slip'!$F:$BC,31,0)</f>
        <v>0</v>
      </c>
      <c r="L291" s="2">
        <f>VLOOKUP($C291,'[10]for slip'!$F:$BC,35,0)</f>
        <v>15604.584590750002</v>
      </c>
      <c r="M291" s="2">
        <f>VLOOKUP($C291,'[10]for slip'!$F:$BC,36,0)</f>
        <v>0</v>
      </c>
      <c r="N291" s="2">
        <f>VLOOKUP($C291,'[10]for slip'!$F:$BC,37,0)</f>
        <v>0</v>
      </c>
      <c r="O291" s="2">
        <f>VLOOKUP($C291,'[10]for slip'!$F:$BC,38,0)</f>
        <v>0</v>
      </c>
      <c r="P291" s="2">
        <f>VLOOKUP($C291,'[10]for slip'!$F:$BC,39,0)</f>
        <v>38000</v>
      </c>
      <c r="Q291" s="2">
        <f>VLOOKUP($C291,'[10]for slip'!$F:$BC,40,0)</f>
        <v>31700</v>
      </c>
      <c r="R291" s="2">
        <f>VLOOKUP($C291,'[10]for slip'!$F:$BC,41,0)</f>
        <v>0</v>
      </c>
      <c r="S291" s="2">
        <f>VLOOKUP($C291,'[10]for slip'!$F:$BC,42,0)</f>
        <v>0</v>
      </c>
      <c r="T291" s="2">
        <f>VLOOKUP($C291,'[10]for slip'!$F:$BC,43,0)</f>
        <v>53430.83</v>
      </c>
      <c r="U291" s="2">
        <f>VLOOKUP($C291,'[10]for slip'!$F:$BC,44,0)</f>
        <v>106861.66</v>
      </c>
      <c r="V291" s="2">
        <f>VLOOKUP($C291,'[10]for slip'!$F:$BC,45,0)</f>
        <v>53430.83</v>
      </c>
      <c r="W291" s="2">
        <f>VLOOKUP($C291,'[10]for slip'!$F:$BC,48,0)</f>
        <v>15604.584590750002</v>
      </c>
    </row>
    <row r="292" spans="1:23" x14ac:dyDescent="0.25">
      <c r="A292" s="1">
        <v>291</v>
      </c>
      <c r="B292" s="2" t="s">
        <v>603</v>
      </c>
      <c r="C292" s="2" t="s">
        <v>604</v>
      </c>
      <c r="D292" s="2" t="str">
        <f>VLOOKUP($C292,'[10]for slip'!$F:$BC,3,0)</f>
        <v>Pelaksana</v>
      </c>
      <c r="E292" s="2" t="str">
        <f>VLOOKUP($C292,'[10]for slip'!$F:$BC,4,0)</f>
        <v>Assembly</v>
      </c>
      <c r="F292" s="2">
        <f>VLOOKUP($C292,'[10]for slip'!$F:$BC,14,0)</f>
        <v>5343083</v>
      </c>
      <c r="G292" s="2">
        <f>VLOOKUP($C292,'[10]for slip'!$F:$BC,15,0)</f>
        <v>0</v>
      </c>
      <c r="H292" s="2">
        <f>VLOOKUP($C292,'[10]for slip'!$F:$BC,16,0)</f>
        <v>0</v>
      </c>
      <c r="I292" s="2">
        <f>VLOOKUP($C292,'[10]for slip'!$F:$BC,17,0)</f>
        <v>0</v>
      </c>
      <c r="J292" s="2">
        <f>VLOOKUP($C292,'[10]for slip'!$F:$BC,27,0)</f>
        <v>0</v>
      </c>
      <c r="K292" s="2">
        <f>VLOOKUP($C292,'[10]for slip'!$F:$BC,31,0)</f>
        <v>0</v>
      </c>
      <c r="L292" s="2">
        <f>VLOOKUP($C292,'[10]for slip'!$F:$BC,35,0)</f>
        <v>15604.584590750002</v>
      </c>
      <c r="M292" s="2">
        <f>VLOOKUP($C292,'[10]for slip'!$F:$BC,36,0)</f>
        <v>0</v>
      </c>
      <c r="N292" s="2">
        <f>VLOOKUP($C292,'[10]for slip'!$F:$BC,37,0)</f>
        <v>0</v>
      </c>
      <c r="O292" s="2">
        <f>VLOOKUP($C292,'[10]for slip'!$F:$BC,38,0)</f>
        <v>0</v>
      </c>
      <c r="P292" s="2">
        <f>VLOOKUP($C292,'[10]for slip'!$F:$BC,39,0)</f>
        <v>38000</v>
      </c>
      <c r="Q292" s="2">
        <f>VLOOKUP($C292,'[10]for slip'!$F:$BC,40,0)</f>
        <v>31700</v>
      </c>
      <c r="R292" s="2">
        <f>VLOOKUP($C292,'[10]for slip'!$F:$BC,41,0)</f>
        <v>0</v>
      </c>
      <c r="S292" s="2">
        <f>VLOOKUP($C292,'[10]for slip'!$F:$BC,42,0)</f>
        <v>0</v>
      </c>
      <c r="T292" s="2">
        <f>VLOOKUP($C292,'[10]for slip'!$F:$BC,43,0)</f>
        <v>53430.83</v>
      </c>
      <c r="U292" s="2">
        <f>VLOOKUP($C292,'[10]for slip'!$F:$BC,44,0)</f>
        <v>106861.66</v>
      </c>
      <c r="V292" s="2">
        <f>VLOOKUP($C292,'[10]for slip'!$F:$BC,45,0)</f>
        <v>53430.83</v>
      </c>
      <c r="W292" s="2">
        <f>VLOOKUP($C292,'[10]for slip'!$F:$BC,48,0)</f>
        <v>15604.584590750002</v>
      </c>
    </row>
    <row r="293" spans="1:23" x14ac:dyDescent="0.25">
      <c r="A293" s="1">
        <v>292</v>
      </c>
      <c r="B293" s="2" t="s">
        <v>605</v>
      </c>
      <c r="C293" s="2" t="s">
        <v>606</v>
      </c>
      <c r="D293" s="2" t="str">
        <f>VLOOKUP($C293,'[10]for slip'!$F:$BC,3,0)</f>
        <v>Pelaksana</v>
      </c>
      <c r="E293" s="2" t="str">
        <f>VLOOKUP($C293,'[10]for slip'!$F:$BC,4,0)</f>
        <v>Assembly</v>
      </c>
      <c r="F293" s="2">
        <f>VLOOKUP($C293,'[10]for slip'!$F:$BC,14,0)</f>
        <v>5343083</v>
      </c>
      <c r="G293" s="2">
        <f>VLOOKUP($C293,'[10]for slip'!$F:$BC,15,0)</f>
        <v>0</v>
      </c>
      <c r="H293" s="2">
        <f>VLOOKUP($C293,'[10]for slip'!$F:$BC,16,0)</f>
        <v>0</v>
      </c>
      <c r="I293" s="2">
        <f>VLOOKUP($C293,'[10]for slip'!$F:$BC,17,0)</f>
        <v>0</v>
      </c>
      <c r="J293" s="2">
        <f>VLOOKUP($C293,'[10]for slip'!$F:$BC,27,0)</f>
        <v>0</v>
      </c>
      <c r="K293" s="2">
        <f>VLOOKUP($C293,'[10]for slip'!$F:$BC,31,0)</f>
        <v>0</v>
      </c>
      <c r="L293" s="2">
        <f>VLOOKUP($C293,'[10]for slip'!$F:$BC,35,0)</f>
        <v>34354.584590750004</v>
      </c>
      <c r="M293" s="2">
        <f>VLOOKUP($C293,'[10]for slip'!$F:$BC,36,0)</f>
        <v>0</v>
      </c>
      <c r="N293" s="2">
        <f>VLOOKUP($C293,'[10]for slip'!$F:$BC,37,0)</f>
        <v>0</v>
      </c>
      <c r="O293" s="2">
        <f>VLOOKUP($C293,'[10]for slip'!$F:$BC,38,0)</f>
        <v>0</v>
      </c>
      <c r="P293" s="2">
        <f>VLOOKUP($C293,'[10]for slip'!$F:$BC,39,0)</f>
        <v>38000</v>
      </c>
      <c r="Q293" s="2">
        <f>VLOOKUP($C293,'[10]for slip'!$F:$BC,40,0)</f>
        <v>31700</v>
      </c>
      <c r="R293" s="2">
        <f>VLOOKUP($C293,'[10]for slip'!$F:$BC,41,0)</f>
        <v>0</v>
      </c>
      <c r="S293" s="2">
        <f>VLOOKUP($C293,'[10]for slip'!$F:$BC,42,0)</f>
        <v>10000</v>
      </c>
      <c r="T293" s="2">
        <f>VLOOKUP($C293,'[10]for slip'!$F:$BC,43,0)</f>
        <v>53430.83</v>
      </c>
      <c r="U293" s="2">
        <f>VLOOKUP($C293,'[10]for slip'!$F:$BC,44,0)</f>
        <v>106861.66</v>
      </c>
      <c r="V293" s="2">
        <f>VLOOKUP($C293,'[10]for slip'!$F:$BC,45,0)</f>
        <v>53430.83</v>
      </c>
      <c r="W293" s="2">
        <f>VLOOKUP($C293,'[10]for slip'!$F:$BC,48,0)</f>
        <v>34354.584590750004</v>
      </c>
    </row>
    <row r="294" spans="1:23" x14ac:dyDescent="0.25">
      <c r="A294" s="1">
        <v>293</v>
      </c>
      <c r="B294" s="2" t="s">
        <v>607</v>
      </c>
      <c r="C294" s="2" t="s">
        <v>608</v>
      </c>
      <c r="D294" s="2" t="str">
        <f>VLOOKUP($C294,'[10]for slip'!$F:$BC,3,0)</f>
        <v>Pelaksana</v>
      </c>
      <c r="E294" s="2" t="str">
        <f>VLOOKUP($C294,'[10]for slip'!$F:$BC,4,0)</f>
        <v>Assembly</v>
      </c>
      <c r="F294" s="2">
        <f>VLOOKUP($C294,'[10]for slip'!$F:$BC,14,0)</f>
        <v>5343083</v>
      </c>
      <c r="G294" s="2">
        <f>VLOOKUP($C294,'[10]for slip'!$F:$BC,15,0)</f>
        <v>0</v>
      </c>
      <c r="H294" s="2">
        <f>VLOOKUP($C294,'[10]for slip'!$F:$BC,16,0)</f>
        <v>0</v>
      </c>
      <c r="I294" s="2">
        <f>VLOOKUP($C294,'[10]for slip'!$F:$BC,17,0)</f>
        <v>0</v>
      </c>
      <c r="J294" s="2">
        <f>VLOOKUP($C294,'[10]for slip'!$F:$BC,27,0)</f>
        <v>0</v>
      </c>
      <c r="K294" s="2">
        <f>VLOOKUP($C294,'[10]for slip'!$F:$BC,31,0)</f>
        <v>0</v>
      </c>
      <c r="L294" s="2">
        <f>VLOOKUP($C294,'[10]for slip'!$F:$BC,35,0)</f>
        <v>34354.584590750004</v>
      </c>
      <c r="M294" s="2">
        <f>VLOOKUP($C294,'[10]for slip'!$F:$BC,36,0)</f>
        <v>0</v>
      </c>
      <c r="N294" s="2">
        <f>VLOOKUP($C294,'[10]for slip'!$F:$BC,37,0)</f>
        <v>0</v>
      </c>
      <c r="O294" s="2">
        <f>VLOOKUP($C294,'[10]for slip'!$F:$BC,38,0)</f>
        <v>0</v>
      </c>
      <c r="P294" s="2">
        <f>VLOOKUP($C294,'[10]for slip'!$F:$BC,39,0)</f>
        <v>38000</v>
      </c>
      <c r="Q294" s="2">
        <f>VLOOKUP($C294,'[10]for slip'!$F:$BC,40,0)</f>
        <v>31700</v>
      </c>
      <c r="R294" s="2">
        <f>VLOOKUP($C294,'[10]for slip'!$F:$BC,41,0)</f>
        <v>0</v>
      </c>
      <c r="S294" s="2">
        <f>VLOOKUP($C294,'[10]for slip'!$F:$BC,42,0)</f>
        <v>0</v>
      </c>
      <c r="T294" s="2">
        <f>VLOOKUP($C294,'[10]for slip'!$F:$BC,43,0)</f>
        <v>53430.83</v>
      </c>
      <c r="U294" s="2">
        <f>VLOOKUP($C294,'[10]for slip'!$F:$BC,44,0)</f>
        <v>106861.66</v>
      </c>
      <c r="V294" s="2">
        <f>VLOOKUP($C294,'[10]for slip'!$F:$BC,45,0)</f>
        <v>53430.83</v>
      </c>
      <c r="W294" s="2">
        <f>VLOOKUP($C294,'[10]for slip'!$F:$BC,48,0)</f>
        <v>34354.584590750004</v>
      </c>
    </row>
    <row r="295" spans="1:23" x14ac:dyDescent="0.25">
      <c r="A295" s="1">
        <v>294</v>
      </c>
      <c r="B295" s="2" t="s">
        <v>609</v>
      </c>
      <c r="C295" s="2" t="s">
        <v>610</v>
      </c>
      <c r="D295" s="2" t="str">
        <f>VLOOKUP($C295,'[10]for slip'!$F:$BC,3,0)</f>
        <v>Pelaksana</v>
      </c>
      <c r="E295" s="2" t="str">
        <f>VLOOKUP($C295,'[10]for slip'!$F:$BC,4,0)</f>
        <v>Assembly</v>
      </c>
      <c r="F295" s="2">
        <f>VLOOKUP($C295,'[10]for slip'!$F:$BC,14,0)</f>
        <v>5343083</v>
      </c>
      <c r="G295" s="2">
        <f>VLOOKUP($C295,'[10]for slip'!$F:$BC,15,0)</f>
        <v>0</v>
      </c>
      <c r="H295" s="2">
        <f>VLOOKUP($C295,'[10]for slip'!$F:$BC,16,0)</f>
        <v>0</v>
      </c>
      <c r="I295" s="2">
        <f>VLOOKUP($C295,'[10]for slip'!$F:$BC,17,0)</f>
        <v>0</v>
      </c>
      <c r="J295" s="2">
        <f>VLOOKUP($C295,'[10]for slip'!$F:$BC,27,0)</f>
        <v>0</v>
      </c>
      <c r="K295" s="2">
        <f>VLOOKUP($C295,'[10]for slip'!$F:$BC,31,0)</f>
        <v>0</v>
      </c>
      <c r="L295" s="2">
        <f>VLOOKUP($C295,'[10]for slip'!$F:$BC,35,0)</f>
        <v>15604.584590750002</v>
      </c>
      <c r="M295" s="2">
        <f>VLOOKUP($C295,'[10]for slip'!$F:$BC,36,0)</f>
        <v>0</v>
      </c>
      <c r="N295" s="2">
        <f>VLOOKUP($C295,'[10]for slip'!$F:$BC,37,0)</f>
        <v>0</v>
      </c>
      <c r="O295" s="2">
        <f>VLOOKUP($C295,'[10]for slip'!$F:$BC,38,0)</f>
        <v>0</v>
      </c>
      <c r="P295" s="2">
        <f>VLOOKUP($C295,'[10]for slip'!$F:$BC,39,0)</f>
        <v>0</v>
      </c>
      <c r="Q295" s="2">
        <f>VLOOKUP($C295,'[10]for slip'!$F:$BC,40,0)</f>
        <v>31700</v>
      </c>
      <c r="R295" s="2">
        <f>VLOOKUP($C295,'[10]for slip'!$F:$BC,41,0)</f>
        <v>0</v>
      </c>
      <c r="S295" s="2">
        <f>VLOOKUP($C295,'[10]for slip'!$F:$BC,42,0)</f>
        <v>10000</v>
      </c>
      <c r="T295" s="2">
        <f>VLOOKUP($C295,'[10]for slip'!$F:$BC,43,0)</f>
        <v>53430.83</v>
      </c>
      <c r="U295" s="2">
        <f>VLOOKUP($C295,'[10]for slip'!$F:$BC,44,0)</f>
        <v>106861.66</v>
      </c>
      <c r="V295" s="2">
        <f>VLOOKUP($C295,'[10]for slip'!$F:$BC,45,0)</f>
        <v>53430.83</v>
      </c>
      <c r="W295" s="2">
        <f>VLOOKUP($C295,'[10]for slip'!$F:$BC,48,0)</f>
        <v>15604.584590750002</v>
      </c>
    </row>
    <row r="296" spans="1:23" x14ac:dyDescent="0.25">
      <c r="A296" s="1">
        <v>295</v>
      </c>
      <c r="B296" s="2" t="s">
        <v>611</v>
      </c>
      <c r="C296" s="2" t="s">
        <v>612</v>
      </c>
      <c r="D296" s="2" t="str">
        <f>VLOOKUP($C296,'[10]for slip'!$F:$BC,3,0)</f>
        <v>Pelaksana</v>
      </c>
      <c r="E296" s="2" t="str">
        <f>VLOOKUP($C296,'[10]for slip'!$F:$BC,4,0)</f>
        <v>Assembly</v>
      </c>
      <c r="F296" s="2">
        <f>VLOOKUP($C296,'[10]for slip'!$F:$BC,14,0)</f>
        <v>5343083</v>
      </c>
      <c r="G296" s="2">
        <f>VLOOKUP($C296,'[10]for slip'!$F:$BC,15,0)</f>
        <v>0</v>
      </c>
      <c r="H296" s="2">
        <f>VLOOKUP($C296,'[10]for slip'!$F:$BC,16,0)</f>
        <v>0</v>
      </c>
      <c r="I296" s="2">
        <f>VLOOKUP($C296,'[10]for slip'!$F:$BC,17,0)</f>
        <v>0</v>
      </c>
      <c r="J296" s="2">
        <f>VLOOKUP($C296,'[10]for slip'!$F:$BC,27,0)</f>
        <v>0</v>
      </c>
      <c r="K296" s="2">
        <f>VLOOKUP($C296,'[10]for slip'!$F:$BC,31,0)</f>
        <v>0</v>
      </c>
      <c r="L296" s="2">
        <f>VLOOKUP($C296,'[10]for slip'!$F:$BC,35,0)</f>
        <v>0</v>
      </c>
      <c r="M296" s="2">
        <f>VLOOKUP($C296,'[10]for slip'!$F:$BC,36,0)</f>
        <v>0</v>
      </c>
      <c r="N296" s="2">
        <f>VLOOKUP($C296,'[10]for slip'!$F:$BC,37,0)</f>
        <v>0</v>
      </c>
      <c r="O296" s="2">
        <f>VLOOKUP($C296,'[10]for slip'!$F:$BC,38,0)</f>
        <v>0</v>
      </c>
      <c r="P296" s="2">
        <f>VLOOKUP($C296,'[10]for slip'!$F:$BC,39,0)</f>
        <v>38000</v>
      </c>
      <c r="Q296" s="2">
        <f>VLOOKUP($C296,'[10]for slip'!$F:$BC,40,0)</f>
        <v>31700</v>
      </c>
      <c r="R296" s="2">
        <f>VLOOKUP($C296,'[10]for slip'!$F:$BC,41,0)</f>
        <v>0</v>
      </c>
      <c r="S296" s="2">
        <f>VLOOKUP($C296,'[10]for slip'!$F:$BC,42,0)</f>
        <v>10000</v>
      </c>
      <c r="T296" s="2">
        <f>VLOOKUP($C296,'[10]for slip'!$F:$BC,43,0)</f>
        <v>53430.83</v>
      </c>
      <c r="U296" s="2">
        <f>VLOOKUP($C296,'[10]for slip'!$F:$BC,44,0)</f>
        <v>106861.66</v>
      </c>
      <c r="V296" s="2">
        <f>VLOOKUP($C296,'[10]for slip'!$F:$BC,45,0)</f>
        <v>53430.83</v>
      </c>
      <c r="W296" s="2">
        <f>VLOOKUP($C296,'[10]for slip'!$F:$BC,48,0)</f>
        <v>0</v>
      </c>
    </row>
    <row r="297" spans="1:23" x14ac:dyDescent="0.25">
      <c r="A297" s="1">
        <v>296</v>
      </c>
      <c r="B297" s="2" t="s">
        <v>613</v>
      </c>
      <c r="C297" s="2" t="s">
        <v>614</v>
      </c>
      <c r="D297" s="2" t="str">
        <f>VLOOKUP($C297,'[10]for slip'!$F:$BC,3,0)</f>
        <v>Pelaksana</v>
      </c>
      <c r="E297" s="2" t="str">
        <f>VLOOKUP($C297,'[10]for slip'!$F:$BC,4,0)</f>
        <v>Assembly</v>
      </c>
      <c r="F297" s="2">
        <f>VLOOKUP($C297,'[10]for slip'!$F:$BC,14,0)</f>
        <v>5343083</v>
      </c>
      <c r="G297" s="2">
        <f>VLOOKUP($C297,'[10]for slip'!$F:$BC,15,0)</f>
        <v>0</v>
      </c>
      <c r="H297" s="2">
        <f>VLOOKUP($C297,'[10]for slip'!$F:$BC,16,0)</f>
        <v>0</v>
      </c>
      <c r="I297" s="2">
        <f>VLOOKUP($C297,'[10]for slip'!$F:$BC,17,0)</f>
        <v>0</v>
      </c>
      <c r="J297" s="2">
        <f>VLOOKUP($C297,'[10]for slip'!$F:$BC,27,0)</f>
        <v>0</v>
      </c>
      <c r="K297" s="2">
        <f>VLOOKUP($C297,'[10]for slip'!$F:$BC,31,0)</f>
        <v>0</v>
      </c>
      <c r="L297" s="2">
        <f>VLOOKUP($C297,'[10]for slip'!$F:$BC,35,0)</f>
        <v>0</v>
      </c>
      <c r="M297" s="2">
        <f>VLOOKUP($C297,'[10]for slip'!$F:$BC,36,0)</f>
        <v>0</v>
      </c>
      <c r="N297" s="2">
        <f>VLOOKUP($C297,'[10]for slip'!$F:$BC,37,0)</f>
        <v>0</v>
      </c>
      <c r="O297" s="2">
        <f>VLOOKUP($C297,'[10]for slip'!$F:$BC,38,0)</f>
        <v>0</v>
      </c>
      <c r="P297" s="2">
        <f>VLOOKUP($C297,'[10]for slip'!$F:$BC,39,0)</f>
        <v>38000</v>
      </c>
      <c r="Q297" s="2">
        <f>VLOOKUP($C297,'[10]for slip'!$F:$BC,40,0)</f>
        <v>31700</v>
      </c>
      <c r="R297" s="2">
        <f>VLOOKUP($C297,'[10]for slip'!$F:$BC,41,0)</f>
        <v>0</v>
      </c>
      <c r="S297" s="2">
        <f>VLOOKUP($C297,'[10]for slip'!$F:$BC,42,0)</f>
        <v>10000</v>
      </c>
      <c r="T297" s="2">
        <f>VLOOKUP($C297,'[10]for slip'!$F:$BC,43,0)</f>
        <v>53430.83</v>
      </c>
      <c r="U297" s="2">
        <f>VLOOKUP($C297,'[10]for slip'!$F:$BC,44,0)</f>
        <v>106861.66</v>
      </c>
      <c r="V297" s="2">
        <f>VLOOKUP($C297,'[10]for slip'!$F:$BC,45,0)</f>
        <v>53430.83</v>
      </c>
      <c r="W297" s="2">
        <f>VLOOKUP($C297,'[10]for slip'!$F:$BC,48,0)</f>
        <v>0</v>
      </c>
    </row>
    <row r="298" spans="1:23" x14ac:dyDescent="0.25">
      <c r="A298" s="1">
        <v>297</v>
      </c>
      <c r="B298" s="2" t="s">
        <v>615</v>
      </c>
      <c r="C298" s="2" t="s">
        <v>616</v>
      </c>
      <c r="D298" s="2" t="str">
        <f>VLOOKUP($C298,'[10]for slip'!$F:$BC,3,0)</f>
        <v>Pelaksana</v>
      </c>
      <c r="E298" s="2" t="str">
        <f>VLOOKUP($C298,'[10]for slip'!$F:$BC,4,0)</f>
        <v>Assembly</v>
      </c>
      <c r="F298" s="2">
        <f>VLOOKUP($C298,'[10]for slip'!$F:$BC,14,0)</f>
        <v>5343083</v>
      </c>
      <c r="G298" s="2">
        <f>VLOOKUP($C298,'[10]for slip'!$F:$BC,15,0)</f>
        <v>0</v>
      </c>
      <c r="H298" s="2">
        <f>VLOOKUP($C298,'[10]for slip'!$F:$BC,16,0)</f>
        <v>0</v>
      </c>
      <c r="I298" s="2">
        <f>VLOOKUP($C298,'[10]for slip'!$F:$BC,17,0)</f>
        <v>0</v>
      </c>
      <c r="J298" s="2">
        <f>VLOOKUP($C298,'[10]for slip'!$F:$BC,27,0)</f>
        <v>0</v>
      </c>
      <c r="K298" s="2">
        <f>VLOOKUP($C298,'[10]for slip'!$F:$BC,31,0)</f>
        <v>0</v>
      </c>
      <c r="L298" s="2">
        <f>VLOOKUP($C298,'[10]for slip'!$F:$BC,35,0)</f>
        <v>34354.584590750004</v>
      </c>
      <c r="M298" s="2">
        <f>VLOOKUP($C298,'[10]for slip'!$F:$BC,36,0)</f>
        <v>0</v>
      </c>
      <c r="N298" s="2">
        <f>VLOOKUP($C298,'[10]for slip'!$F:$BC,37,0)</f>
        <v>0</v>
      </c>
      <c r="O298" s="2">
        <f>VLOOKUP($C298,'[10]for slip'!$F:$BC,38,0)</f>
        <v>0</v>
      </c>
      <c r="P298" s="2">
        <f>VLOOKUP($C298,'[10]for slip'!$F:$BC,39,0)</f>
        <v>38000</v>
      </c>
      <c r="Q298" s="2">
        <f>VLOOKUP($C298,'[10]for slip'!$F:$BC,40,0)</f>
        <v>31700</v>
      </c>
      <c r="R298" s="2">
        <f>VLOOKUP($C298,'[10]for slip'!$F:$BC,41,0)</f>
        <v>0</v>
      </c>
      <c r="S298" s="2">
        <f>VLOOKUP($C298,'[10]for slip'!$F:$BC,42,0)</f>
        <v>10000</v>
      </c>
      <c r="T298" s="2">
        <f>VLOOKUP($C298,'[10]for slip'!$F:$BC,43,0)</f>
        <v>53430.83</v>
      </c>
      <c r="U298" s="2">
        <f>VLOOKUP($C298,'[10]for slip'!$F:$BC,44,0)</f>
        <v>106861.66</v>
      </c>
      <c r="V298" s="2">
        <f>VLOOKUP($C298,'[10]for slip'!$F:$BC,45,0)</f>
        <v>53430.83</v>
      </c>
      <c r="W298" s="2">
        <f>VLOOKUP($C298,'[10]for slip'!$F:$BC,48,0)</f>
        <v>34354.584590750004</v>
      </c>
    </row>
    <row r="299" spans="1:23" x14ac:dyDescent="0.25">
      <c r="A299" s="1">
        <v>298</v>
      </c>
      <c r="B299" s="2" t="s">
        <v>617</v>
      </c>
      <c r="C299" s="2" t="s">
        <v>618</v>
      </c>
      <c r="D299" s="2" t="str">
        <f>VLOOKUP($C299,'[10]for slip'!$F:$BC,3,0)</f>
        <v>Pelaksana</v>
      </c>
      <c r="E299" s="2" t="str">
        <f>VLOOKUP($C299,'[10]for slip'!$F:$BC,4,0)</f>
        <v>Assembly</v>
      </c>
      <c r="F299" s="2">
        <f>VLOOKUP($C299,'[10]for slip'!$F:$BC,14,0)</f>
        <v>5343083</v>
      </c>
      <c r="G299" s="2">
        <f>VLOOKUP($C299,'[10]for slip'!$F:$BC,15,0)</f>
        <v>0</v>
      </c>
      <c r="H299" s="2">
        <f>VLOOKUP($C299,'[10]for slip'!$F:$BC,16,0)</f>
        <v>0</v>
      </c>
      <c r="I299" s="2">
        <f>VLOOKUP($C299,'[10]for slip'!$F:$BC,17,0)</f>
        <v>0</v>
      </c>
      <c r="J299" s="2">
        <f>VLOOKUP($C299,'[10]for slip'!$F:$BC,27,0)</f>
        <v>0</v>
      </c>
      <c r="K299" s="2">
        <f>VLOOKUP($C299,'[10]for slip'!$F:$BC,31,0)</f>
        <v>0</v>
      </c>
      <c r="L299" s="2">
        <f>VLOOKUP($C299,'[10]for slip'!$F:$BC,35,0)</f>
        <v>34354.584590750004</v>
      </c>
      <c r="M299" s="2">
        <f>VLOOKUP($C299,'[10]for slip'!$F:$BC,36,0)</f>
        <v>0</v>
      </c>
      <c r="N299" s="2">
        <f>VLOOKUP($C299,'[10]for slip'!$F:$BC,37,0)</f>
        <v>0</v>
      </c>
      <c r="O299" s="2">
        <f>VLOOKUP($C299,'[10]for slip'!$F:$BC,38,0)</f>
        <v>0</v>
      </c>
      <c r="P299" s="2">
        <f>VLOOKUP($C299,'[10]for slip'!$F:$BC,39,0)</f>
        <v>38000</v>
      </c>
      <c r="Q299" s="2">
        <f>VLOOKUP($C299,'[10]for slip'!$F:$BC,40,0)</f>
        <v>31700</v>
      </c>
      <c r="R299" s="2">
        <f>VLOOKUP($C299,'[10]for slip'!$F:$BC,41,0)</f>
        <v>0</v>
      </c>
      <c r="S299" s="2">
        <f>VLOOKUP($C299,'[10]for slip'!$F:$BC,42,0)</f>
        <v>10000</v>
      </c>
      <c r="T299" s="2">
        <f>VLOOKUP($C299,'[10]for slip'!$F:$BC,43,0)</f>
        <v>53430.83</v>
      </c>
      <c r="U299" s="2">
        <f>VLOOKUP($C299,'[10]for slip'!$F:$BC,44,0)</f>
        <v>106861.66</v>
      </c>
      <c r="V299" s="2">
        <f>VLOOKUP($C299,'[10]for slip'!$F:$BC,45,0)</f>
        <v>53430.83</v>
      </c>
      <c r="W299" s="2">
        <f>VLOOKUP($C299,'[10]for slip'!$F:$BC,48,0)</f>
        <v>34354.584590750004</v>
      </c>
    </row>
    <row r="300" spans="1:23" x14ac:dyDescent="0.25">
      <c r="A300" s="1">
        <v>299</v>
      </c>
      <c r="B300" s="2" t="s">
        <v>619</v>
      </c>
      <c r="C300" s="2" t="s">
        <v>620</v>
      </c>
      <c r="D300" s="2" t="str">
        <f>VLOOKUP($C300,'[10]for slip'!$F:$BC,3,0)</f>
        <v>Pelaksana</v>
      </c>
      <c r="E300" s="2" t="str">
        <f>VLOOKUP($C300,'[10]for slip'!$F:$BC,4,0)</f>
        <v>Assembly</v>
      </c>
      <c r="F300" s="2">
        <f>VLOOKUP($C300,'[10]for slip'!$F:$BC,14,0)</f>
        <v>5343083</v>
      </c>
      <c r="G300" s="2">
        <f>VLOOKUP($C300,'[10]for slip'!$F:$BC,15,0)</f>
        <v>0</v>
      </c>
      <c r="H300" s="2">
        <f>VLOOKUP($C300,'[10]for slip'!$F:$BC,16,0)</f>
        <v>0</v>
      </c>
      <c r="I300" s="2">
        <f>VLOOKUP($C300,'[10]for slip'!$F:$BC,17,0)</f>
        <v>0</v>
      </c>
      <c r="J300" s="2">
        <f>VLOOKUP($C300,'[10]for slip'!$F:$BC,27,0)</f>
        <v>0</v>
      </c>
      <c r="K300" s="2">
        <f>VLOOKUP($C300,'[10]for slip'!$F:$BC,31,0)</f>
        <v>0</v>
      </c>
      <c r="L300" s="2">
        <f>VLOOKUP($C300,'[10]for slip'!$F:$BC,35,0)</f>
        <v>15604.584590750002</v>
      </c>
      <c r="M300" s="2">
        <f>VLOOKUP($C300,'[10]for slip'!$F:$BC,36,0)</f>
        <v>0</v>
      </c>
      <c r="N300" s="2">
        <f>VLOOKUP($C300,'[10]for slip'!$F:$BC,37,0)</f>
        <v>0</v>
      </c>
      <c r="O300" s="2">
        <f>VLOOKUP($C300,'[10]for slip'!$F:$BC,38,0)</f>
        <v>0</v>
      </c>
      <c r="P300" s="2">
        <f>VLOOKUP($C300,'[10]for slip'!$F:$BC,39,0)</f>
        <v>38000</v>
      </c>
      <c r="Q300" s="2">
        <f>VLOOKUP($C300,'[10]for slip'!$F:$BC,40,0)</f>
        <v>31700</v>
      </c>
      <c r="R300" s="2">
        <f>VLOOKUP($C300,'[10]for slip'!$F:$BC,41,0)</f>
        <v>0</v>
      </c>
      <c r="S300" s="2">
        <f>VLOOKUP($C300,'[10]for slip'!$F:$BC,42,0)</f>
        <v>10000</v>
      </c>
      <c r="T300" s="2">
        <f>VLOOKUP($C300,'[10]for slip'!$F:$BC,43,0)</f>
        <v>53430.83</v>
      </c>
      <c r="U300" s="2">
        <f>VLOOKUP($C300,'[10]for slip'!$F:$BC,44,0)</f>
        <v>106861.66</v>
      </c>
      <c r="V300" s="2">
        <f>VLOOKUP($C300,'[10]for slip'!$F:$BC,45,0)</f>
        <v>53430.83</v>
      </c>
      <c r="W300" s="2">
        <f>VLOOKUP($C300,'[10]for slip'!$F:$BC,48,0)</f>
        <v>15604.584590750002</v>
      </c>
    </row>
    <row r="301" spans="1:23" x14ac:dyDescent="0.25">
      <c r="A301" s="1">
        <v>300</v>
      </c>
      <c r="B301" s="2" t="s">
        <v>621</v>
      </c>
      <c r="C301" s="2" t="s">
        <v>622</v>
      </c>
      <c r="D301" s="2" t="str">
        <f>VLOOKUP($C301,'[10]for slip'!$F:$BC,3,0)</f>
        <v>Pelaksana</v>
      </c>
      <c r="E301" s="2" t="str">
        <f>VLOOKUP($C301,'[10]for slip'!$F:$BC,4,0)</f>
        <v>Assembly</v>
      </c>
      <c r="F301" s="2">
        <f>VLOOKUP($C301,'[10]for slip'!$F:$BC,14,0)</f>
        <v>5343083</v>
      </c>
      <c r="G301" s="2">
        <f>VLOOKUP($C301,'[10]for slip'!$F:$BC,15,0)</f>
        <v>0</v>
      </c>
      <c r="H301" s="2">
        <f>VLOOKUP($C301,'[10]for slip'!$F:$BC,16,0)</f>
        <v>0</v>
      </c>
      <c r="I301" s="2">
        <f>VLOOKUP($C301,'[10]for slip'!$F:$BC,17,0)</f>
        <v>0</v>
      </c>
      <c r="J301" s="2">
        <f>VLOOKUP($C301,'[10]for slip'!$F:$BC,27,0)</f>
        <v>0</v>
      </c>
      <c r="K301" s="2">
        <f>VLOOKUP($C301,'[10]for slip'!$F:$BC,31,0)</f>
        <v>0</v>
      </c>
      <c r="L301" s="2">
        <f>VLOOKUP($C301,'[10]for slip'!$F:$BC,35,0)</f>
        <v>0</v>
      </c>
      <c r="M301" s="2">
        <f>VLOOKUP($C301,'[10]for slip'!$F:$BC,36,0)</f>
        <v>0</v>
      </c>
      <c r="N301" s="2">
        <f>VLOOKUP($C301,'[10]for slip'!$F:$BC,37,0)</f>
        <v>0</v>
      </c>
      <c r="O301" s="2">
        <f>VLOOKUP($C301,'[10]for slip'!$F:$BC,38,0)</f>
        <v>0</v>
      </c>
      <c r="P301" s="2">
        <f>VLOOKUP($C301,'[10]for slip'!$F:$BC,39,0)</f>
        <v>38000</v>
      </c>
      <c r="Q301" s="2">
        <f>VLOOKUP($C301,'[10]for slip'!$F:$BC,40,0)</f>
        <v>31700</v>
      </c>
      <c r="R301" s="2">
        <f>VLOOKUP($C301,'[10]for slip'!$F:$BC,41,0)</f>
        <v>0</v>
      </c>
      <c r="S301" s="2">
        <f>VLOOKUP($C301,'[10]for slip'!$F:$BC,42,0)</f>
        <v>0</v>
      </c>
      <c r="T301" s="2">
        <f>VLOOKUP($C301,'[10]for slip'!$F:$BC,43,0)</f>
        <v>53430.83</v>
      </c>
      <c r="U301" s="2">
        <f>VLOOKUP($C301,'[10]for slip'!$F:$BC,44,0)</f>
        <v>106861.66</v>
      </c>
      <c r="V301" s="2">
        <f>VLOOKUP($C301,'[10]for slip'!$F:$BC,45,0)</f>
        <v>53430.83</v>
      </c>
      <c r="W301" s="2">
        <f>VLOOKUP($C301,'[10]for slip'!$F:$BC,48,0)</f>
        <v>0</v>
      </c>
    </row>
    <row r="302" spans="1:23" x14ac:dyDescent="0.25">
      <c r="A302" s="1">
        <v>301</v>
      </c>
      <c r="B302" s="2" t="s">
        <v>623</v>
      </c>
      <c r="C302" s="2" t="s">
        <v>624</v>
      </c>
      <c r="D302" s="2" t="str">
        <f>VLOOKUP($C302,'[10]for slip'!$F:$BC,3,0)</f>
        <v>Pelaksana</v>
      </c>
      <c r="E302" s="2" t="str">
        <f>VLOOKUP($C302,'[10]for slip'!$F:$BC,4,0)</f>
        <v>Assembly</v>
      </c>
      <c r="F302" s="2">
        <f>VLOOKUP($C302,'[10]for slip'!$F:$BC,14,0)</f>
        <v>5343083</v>
      </c>
      <c r="G302" s="2">
        <f>VLOOKUP($C302,'[10]for slip'!$F:$BC,15,0)</f>
        <v>0</v>
      </c>
      <c r="H302" s="2">
        <f>VLOOKUP($C302,'[10]for slip'!$F:$BC,16,0)</f>
        <v>0</v>
      </c>
      <c r="I302" s="2">
        <f>VLOOKUP($C302,'[10]for slip'!$F:$BC,17,0)</f>
        <v>0</v>
      </c>
      <c r="J302" s="2">
        <f>VLOOKUP($C302,'[10]for slip'!$F:$BC,27,0)</f>
        <v>0</v>
      </c>
      <c r="K302" s="2">
        <f>VLOOKUP($C302,'[10]for slip'!$F:$BC,31,0)</f>
        <v>0</v>
      </c>
      <c r="L302" s="2">
        <f>VLOOKUP($C302,'[10]for slip'!$F:$BC,35,0)</f>
        <v>0</v>
      </c>
      <c r="M302" s="2">
        <f>VLOOKUP($C302,'[10]for slip'!$F:$BC,36,0)</f>
        <v>0</v>
      </c>
      <c r="N302" s="2">
        <f>VLOOKUP($C302,'[10]for slip'!$F:$BC,37,0)</f>
        <v>0</v>
      </c>
      <c r="O302" s="2">
        <f>VLOOKUP($C302,'[10]for slip'!$F:$BC,38,0)</f>
        <v>0</v>
      </c>
      <c r="P302" s="2">
        <f>VLOOKUP($C302,'[10]for slip'!$F:$BC,39,0)</f>
        <v>38000</v>
      </c>
      <c r="Q302" s="2">
        <f>VLOOKUP($C302,'[10]for slip'!$F:$BC,40,0)</f>
        <v>31700</v>
      </c>
      <c r="R302" s="2">
        <f>VLOOKUP($C302,'[10]for slip'!$F:$BC,41,0)</f>
        <v>0</v>
      </c>
      <c r="S302" s="2">
        <f>VLOOKUP($C302,'[10]for slip'!$F:$BC,42,0)</f>
        <v>10000</v>
      </c>
      <c r="T302" s="2">
        <f>VLOOKUP($C302,'[10]for slip'!$F:$BC,43,0)</f>
        <v>53430.83</v>
      </c>
      <c r="U302" s="2">
        <f>VLOOKUP($C302,'[10]for slip'!$F:$BC,44,0)</f>
        <v>106861.66</v>
      </c>
      <c r="V302" s="2">
        <f>VLOOKUP($C302,'[10]for slip'!$F:$BC,45,0)</f>
        <v>53430.83</v>
      </c>
      <c r="W302" s="2">
        <f>VLOOKUP($C302,'[10]for slip'!$F:$BC,48,0)</f>
        <v>0</v>
      </c>
    </row>
    <row r="303" spans="1:23" x14ac:dyDescent="0.25">
      <c r="A303" s="1">
        <v>302</v>
      </c>
      <c r="B303" s="2" t="s">
        <v>625</v>
      </c>
      <c r="C303" s="2" t="s">
        <v>626</v>
      </c>
      <c r="D303" s="2" t="str">
        <f>VLOOKUP($C303,'[10]for slip'!$F:$BC,3,0)</f>
        <v>Pelaksana</v>
      </c>
      <c r="E303" s="2" t="str">
        <f>VLOOKUP($C303,'[10]for slip'!$F:$BC,4,0)</f>
        <v>Assembly</v>
      </c>
      <c r="F303" s="2">
        <f>VLOOKUP($C303,'[10]for slip'!$F:$BC,14,0)</f>
        <v>5343083</v>
      </c>
      <c r="G303" s="2">
        <f>VLOOKUP($C303,'[10]for slip'!$F:$BC,15,0)</f>
        <v>0</v>
      </c>
      <c r="H303" s="2">
        <f>VLOOKUP($C303,'[10]for slip'!$F:$BC,16,0)</f>
        <v>0</v>
      </c>
      <c r="I303" s="2">
        <f>VLOOKUP($C303,'[10]for slip'!$F:$BC,17,0)</f>
        <v>0</v>
      </c>
      <c r="J303" s="2">
        <f>VLOOKUP($C303,'[10]for slip'!$F:$BC,27,0)</f>
        <v>0</v>
      </c>
      <c r="K303" s="2">
        <f>VLOOKUP($C303,'[10]for slip'!$F:$BC,31,0)</f>
        <v>0</v>
      </c>
      <c r="L303" s="2">
        <f>VLOOKUP($C303,'[10]for slip'!$F:$BC,35,0)</f>
        <v>0</v>
      </c>
      <c r="M303" s="2">
        <f>VLOOKUP($C303,'[10]for slip'!$F:$BC,36,0)</f>
        <v>0</v>
      </c>
      <c r="N303" s="2">
        <f>VLOOKUP($C303,'[10]for slip'!$F:$BC,37,0)</f>
        <v>0</v>
      </c>
      <c r="O303" s="2">
        <f>VLOOKUP($C303,'[10]for slip'!$F:$BC,38,0)</f>
        <v>0</v>
      </c>
      <c r="P303" s="2">
        <f>VLOOKUP($C303,'[10]for slip'!$F:$BC,39,0)</f>
        <v>0</v>
      </c>
      <c r="Q303" s="2">
        <f>VLOOKUP($C303,'[10]for slip'!$F:$BC,40,0)</f>
        <v>31700</v>
      </c>
      <c r="R303" s="2">
        <f>VLOOKUP($C303,'[10]for slip'!$F:$BC,41,0)</f>
        <v>0</v>
      </c>
      <c r="S303" s="2">
        <f>VLOOKUP($C303,'[10]for slip'!$F:$BC,42,0)</f>
        <v>10000</v>
      </c>
      <c r="T303" s="2">
        <f>VLOOKUP($C303,'[10]for slip'!$F:$BC,43,0)</f>
        <v>53430.83</v>
      </c>
      <c r="U303" s="2">
        <f>VLOOKUP($C303,'[10]for slip'!$F:$BC,44,0)</f>
        <v>106861.66</v>
      </c>
      <c r="V303" s="2">
        <f>VLOOKUP($C303,'[10]for slip'!$F:$BC,45,0)</f>
        <v>53430.83</v>
      </c>
      <c r="W303" s="2">
        <f>VLOOKUP($C303,'[10]for slip'!$F:$BC,48,0)</f>
        <v>0</v>
      </c>
    </row>
    <row r="304" spans="1:23" x14ac:dyDescent="0.25">
      <c r="A304" s="1">
        <v>303</v>
      </c>
      <c r="B304" s="2" t="s">
        <v>627</v>
      </c>
      <c r="C304" s="2" t="s">
        <v>628</v>
      </c>
      <c r="D304" s="2" t="str">
        <f>VLOOKUP($C304,'[10]for slip'!$F:$BC,3,0)</f>
        <v>Pelaksana</v>
      </c>
      <c r="E304" s="2" t="str">
        <f>VLOOKUP($C304,'[10]for slip'!$F:$BC,4,0)</f>
        <v>Assembly</v>
      </c>
      <c r="F304" s="2">
        <f>VLOOKUP($C304,'[10]for slip'!$F:$BC,14,0)</f>
        <v>5343083</v>
      </c>
      <c r="G304" s="2">
        <f>VLOOKUP($C304,'[10]for slip'!$F:$BC,15,0)</f>
        <v>0</v>
      </c>
      <c r="H304" s="2">
        <f>VLOOKUP($C304,'[10]for slip'!$F:$BC,16,0)</f>
        <v>0</v>
      </c>
      <c r="I304" s="2">
        <f>VLOOKUP($C304,'[10]for slip'!$F:$BC,17,0)</f>
        <v>0</v>
      </c>
      <c r="J304" s="2">
        <f>VLOOKUP($C304,'[10]for slip'!$F:$BC,27,0)</f>
        <v>0</v>
      </c>
      <c r="K304" s="2">
        <f>VLOOKUP($C304,'[10]for slip'!$F:$BC,31,0)</f>
        <v>0</v>
      </c>
      <c r="L304" s="2">
        <f>VLOOKUP($C304,'[10]for slip'!$F:$BC,35,0)</f>
        <v>34354.584590750004</v>
      </c>
      <c r="M304" s="2">
        <f>VLOOKUP($C304,'[10]for slip'!$F:$BC,36,0)</f>
        <v>0</v>
      </c>
      <c r="N304" s="2">
        <f>VLOOKUP($C304,'[10]for slip'!$F:$BC,37,0)</f>
        <v>0</v>
      </c>
      <c r="O304" s="2">
        <f>VLOOKUP($C304,'[10]for slip'!$F:$BC,38,0)</f>
        <v>0</v>
      </c>
      <c r="P304" s="2">
        <f>VLOOKUP($C304,'[10]for slip'!$F:$BC,39,0)</f>
        <v>38000</v>
      </c>
      <c r="Q304" s="2">
        <f>VLOOKUP($C304,'[10]for slip'!$F:$BC,40,0)</f>
        <v>31700</v>
      </c>
      <c r="R304" s="2">
        <f>VLOOKUP($C304,'[10]for slip'!$F:$BC,41,0)</f>
        <v>0</v>
      </c>
      <c r="S304" s="2">
        <f>VLOOKUP($C304,'[10]for slip'!$F:$BC,42,0)</f>
        <v>10000</v>
      </c>
      <c r="T304" s="2">
        <f>VLOOKUP($C304,'[10]for slip'!$F:$BC,43,0)</f>
        <v>53430.83</v>
      </c>
      <c r="U304" s="2">
        <f>VLOOKUP($C304,'[10]for slip'!$F:$BC,44,0)</f>
        <v>106861.66</v>
      </c>
      <c r="V304" s="2">
        <f>VLOOKUP($C304,'[10]for slip'!$F:$BC,45,0)</f>
        <v>53430.83</v>
      </c>
      <c r="W304" s="2">
        <f>VLOOKUP($C304,'[10]for slip'!$F:$BC,48,0)</f>
        <v>34354.584590750004</v>
      </c>
    </row>
    <row r="305" spans="1:23" x14ac:dyDescent="0.25">
      <c r="A305" s="1">
        <v>304</v>
      </c>
      <c r="B305" s="2" t="s">
        <v>629</v>
      </c>
      <c r="C305" s="2" t="s">
        <v>630</v>
      </c>
      <c r="D305" s="2" t="str">
        <f>VLOOKUP($C305,'[10]for slip'!$F:$BC,3,0)</f>
        <v>Pelaksana</v>
      </c>
      <c r="E305" s="2" t="str">
        <f>VLOOKUP($C305,'[10]for slip'!$F:$BC,4,0)</f>
        <v>Assembly</v>
      </c>
      <c r="F305" s="2">
        <f>VLOOKUP($C305,'[10]for slip'!$F:$BC,14,0)</f>
        <v>5343083</v>
      </c>
      <c r="G305" s="2">
        <f>VLOOKUP($C305,'[10]for slip'!$F:$BC,15,0)</f>
        <v>0</v>
      </c>
      <c r="H305" s="2">
        <f>VLOOKUP($C305,'[10]for slip'!$F:$BC,16,0)</f>
        <v>0</v>
      </c>
      <c r="I305" s="2">
        <f>VLOOKUP($C305,'[10]for slip'!$F:$BC,17,0)</f>
        <v>0</v>
      </c>
      <c r="J305" s="2">
        <f>VLOOKUP($C305,'[10]for slip'!$F:$BC,27,0)</f>
        <v>0</v>
      </c>
      <c r="K305" s="2">
        <f>VLOOKUP($C305,'[10]for slip'!$F:$BC,31,0)</f>
        <v>0</v>
      </c>
      <c r="L305" s="2">
        <f>VLOOKUP($C305,'[10]for slip'!$F:$BC,35,0)</f>
        <v>15604.584590750002</v>
      </c>
      <c r="M305" s="2">
        <f>VLOOKUP($C305,'[10]for slip'!$F:$BC,36,0)</f>
        <v>0</v>
      </c>
      <c r="N305" s="2">
        <f>VLOOKUP($C305,'[10]for slip'!$F:$BC,37,0)</f>
        <v>0</v>
      </c>
      <c r="O305" s="2">
        <f>VLOOKUP($C305,'[10]for slip'!$F:$BC,38,0)</f>
        <v>0</v>
      </c>
      <c r="P305" s="2">
        <f>VLOOKUP($C305,'[10]for slip'!$F:$BC,39,0)</f>
        <v>38000</v>
      </c>
      <c r="Q305" s="2">
        <f>VLOOKUP($C305,'[10]for slip'!$F:$BC,40,0)</f>
        <v>31700</v>
      </c>
      <c r="R305" s="2">
        <f>VLOOKUP($C305,'[10]for slip'!$F:$BC,41,0)</f>
        <v>0</v>
      </c>
      <c r="S305" s="2">
        <f>VLOOKUP($C305,'[10]for slip'!$F:$BC,42,0)</f>
        <v>0</v>
      </c>
      <c r="T305" s="2">
        <f>VLOOKUP($C305,'[10]for slip'!$F:$BC,43,0)</f>
        <v>53430.83</v>
      </c>
      <c r="U305" s="2">
        <f>VLOOKUP($C305,'[10]for slip'!$F:$BC,44,0)</f>
        <v>106861.66</v>
      </c>
      <c r="V305" s="2">
        <f>VLOOKUP($C305,'[10]for slip'!$F:$BC,45,0)</f>
        <v>53430.83</v>
      </c>
      <c r="W305" s="2">
        <f>VLOOKUP($C305,'[10]for slip'!$F:$BC,48,0)</f>
        <v>15604.584590750002</v>
      </c>
    </row>
    <row r="306" spans="1:23" x14ac:dyDescent="0.25">
      <c r="A306" s="1">
        <v>305</v>
      </c>
      <c r="B306" s="2" t="s">
        <v>631</v>
      </c>
      <c r="C306" s="2" t="s">
        <v>632</v>
      </c>
      <c r="D306" s="2" t="str">
        <f>VLOOKUP($C306,'[10]for slip'!$F:$BC,3,0)</f>
        <v>Pelaksana</v>
      </c>
      <c r="E306" s="2" t="str">
        <f>VLOOKUP($C306,'[10]for slip'!$F:$BC,4,0)</f>
        <v>Assembly</v>
      </c>
      <c r="F306" s="2">
        <f>VLOOKUP($C306,'[10]for slip'!$F:$BC,14,0)</f>
        <v>5343083</v>
      </c>
      <c r="G306" s="2">
        <f>VLOOKUP($C306,'[10]for slip'!$F:$BC,15,0)</f>
        <v>0</v>
      </c>
      <c r="H306" s="2">
        <f>VLOOKUP($C306,'[10]for slip'!$F:$BC,16,0)</f>
        <v>0</v>
      </c>
      <c r="I306" s="2">
        <f>VLOOKUP($C306,'[10]for slip'!$F:$BC,17,0)</f>
        <v>0</v>
      </c>
      <c r="J306" s="2">
        <f>VLOOKUP($C306,'[10]for slip'!$F:$BC,27,0)</f>
        <v>0</v>
      </c>
      <c r="K306" s="2">
        <f>VLOOKUP($C306,'[10]for slip'!$F:$BC,31,0)</f>
        <v>0</v>
      </c>
      <c r="L306" s="2">
        <f>VLOOKUP($C306,'[10]for slip'!$F:$BC,35,0)</f>
        <v>0</v>
      </c>
      <c r="M306" s="2">
        <f>VLOOKUP($C306,'[10]for slip'!$F:$BC,36,0)</f>
        <v>0</v>
      </c>
      <c r="N306" s="2">
        <f>VLOOKUP($C306,'[10]for slip'!$F:$BC,37,0)</f>
        <v>0</v>
      </c>
      <c r="O306" s="2">
        <f>VLOOKUP($C306,'[10]for slip'!$F:$BC,38,0)</f>
        <v>0</v>
      </c>
      <c r="P306" s="2">
        <f>VLOOKUP($C306,'[10]for slip'!$F:$BC,39,0)</f>
        <v>38000</v>
      </c>
      <c r="Q306" s="2">
        <f>VLOOKUP($C306,'[10]for slip'!$F:$BC,40,0)</f>
        <v>31700</v>
      </c>
      <c r="R306" s="2">
        <f>VLOOKUP($C306,'[10]for slip'!$F:$BC,41,0)</f>
        <v>0</v>
      </c>
      <c r="S306" s="2">
        <f>VLOOKUP($C306,'[10]for slip'!$F:$BC,42,0)</f>
        <v>0</v>
      </c>
      <c r="T306" s="2">
        <f>VLOOKUP($C306,'[10]for slip'!$F:$BC,43,0)</f>
        <v>53430.83</v>
      </c>
      <c r="U306" s="2">
        <f>VLOOKUP($C306,'[10]for slip'!$F:$BC,44,0)</f>
        <v>106861.66</v>
      </c>
      <c r="V306" s="2">
        <f>VLOOKUP($C306,'[10]for slip'!$F:$BC,45,0)</f>
        <v>53430.83</v>
      </c>
      <c r="W306" s="2">
        <f>VLOOKUP($C306,'[10]for slip'!$F:$BC,48,0)</f>
        <v>0</v>
      </c>
    </row>
    <row r="307" spans="1:23" x14ac:dyDescent="0.25">
      <c r="A307" s="1">
        <v>306</v>
      </c>
      <c r="B307" s="2" t="s">
        <v>633</v>
      </c>
      <c r="C307" s="2" t="s">
        <v>634</v>
      </c>
      <c r="D307" s="2" t="str">
        <f>VLOOKUP($C307,'[10]for slip'!$F:$BC,3,0)</f>
        <v>Pelaksana</v>
      </c>
      <c r="E307" s="2" t="str">
        <f>VLOOKUP($C307,'[10]for slip'!$F:$BC,4,0)</f>
        <v>Assembly</v>
      </c>
      <c r="F307" s="2">
        <f>VLOOKUP($C307,'[10]for slip'!$F:$BC,14,0)</f>
        <v>5343083</v>
      </c>
      <c r="G307" s="2">
        <f>VLOOKUP($C307,'[10]for slip'!$F:$BC,15,0)</f>
        <v>0</v>
      </c>
      <c r="H307" s="2">
        <f>VLOOKUP($C307,'[10]for slip'!$F:$BC,16,0)</f>
        <v>0</v>
      </c>
      <c r="I307" s="2">
        <f>VLOOKUP($C307,'[10]for slip'!$F:$BC,17,0)</f>
        <v>0</v>
      </c>
      <c r="J307" s="2">
        <f>VLOOKUP($C307,'[10]for slip'!$F:$BC,27,0)</f>
        <v>0</v>
      </c>
      <c r="K307" s="2">
        <f>VLOOKUP($C307,'[10]for slip'!$F:$BC,31,0)</f>
        <v>0</v>
      </c>
      <c r="L307" s="2">
        <f>VLOOKUP($C307,'[10]for slip'!$F:$BC,35,0)</f>
        <v>34354.584590750004</v>
      </c>
      <c r="M307" s="2">
        <f>VLOOKUP($C307,'[10]for slip'!$F:$BC,36,0)</f>
        <v>0</v>
      </c>
      <c r="N307" s="2">
        <f>VLOOKUP($C307,'[10]for slip'!$F:$BC,37,0)</f>
        <v>0</v>
      </c>
      <c r="O307" s="2">
        <f>VLOOKUP($C307,'[10]for slip'!$F:$BC,38,0)</f>
        <v>0</v>
      </c>
      <c r="P307" s="2">
        <f>VLOOKUP($C307,'[10]for slip'!$F:$BC,39,0)</f>
        <v>38000</v>
      </c>
      <c r="Q307" s="2">
        <f>VLOOKUP($C307,'[10]for slip'!$F:$BC,40,0)</f>
        <v>31700</v>
      </c>
      <c r="R307" s="2">
        <f>VLOOKUP($C307,'[10]for slip'!$F:$BC,41,0)</f>
        <v>0</v>
      </c>
      <c r="S307" s="2">
        <f>VLOOKUP($C307,'[10]for slip'!$F:$BC,42,0)</f>
        <v>0</v>
      </c>
      <c r="T307" s="2">
        <f>VLOOKUP($C307,'[10]for slip'!$F:$BC,43,0)</f>
        <v>53430.83</v>
      </c>
      <c r="U307" s="2">
        <f>VLOOKUP($C307,'[10]for slip'!$F:$BC,44,0)</f>
        <v>106861.66</v>
      </c>
      <c r="V307" s="2">
        <f>VLOOKUP($C307,'[10]for slip'!$F:$BC,45,0)</f>
        <v>53430.83</v>
      </c>
      <c r="W307" s="2">
        <f>VLOOKUP($C307,'[10]for slip'!$F:$BC,48,0)</f>
        <v>34354.584590750004</v>
      </c>
    </row>
    <row r="308" spans="1:23" x14ac:dyDescent="0.25">
      <c r="A308" s="1">
        <v>307</v>
      </c>
      <c r="B308" s="2" t="s">
        <v>635</v>
      </c>
      <c r="C308" s="2" t="s">
        <v>636</v>
      </c>
      <c r="D308" s="2" t="str">
        <f>VLOOKUP($C308,'[10]for slip'!$F:$BC,3,0)</f>
        <v>Pelaksana</v>
      </c>
      <c r="E308" s="2" t="str">
        <f>VLOOKUP($C308,'[10]for slip'!$F:$BC,4,0)</f>
        <v>Assembly</v>
      </c>
      <c r="F308" s="2">
        <f>VLOOKUP($C308,'[10]for slip'!$F:$BC,14,0)</f>
        <v>5343083</v>
      </c>
      <c r="G308" s="2">
        <f>VLOOKUP($C308,'[10]for slip'!$F:$BC,15,0)</f>
        <v>0</v>
      </c>
      <c r="H308" s="2">
        <f>VLOOKUP($C308,'[10]for slip'!$F:$BC,16,0)</f>
        <v>0</v>
      </c>
      <c r="I308" s="2">
        <f>VLOOKUP($C308,'[10]for slip'!$F:$BC,17,0)</f>
        <v>0</v>
      </c>
      <c r="J308" s="2">
        <f>VLOOKUP($C308,'[10]for slip'!$F:$BC,27,0)</f>
        <v>0</v>
      </c>
      <c r="K308" s="2">
        <f>VLOOKUP($C308,'[10]for slip'!$F:$BC,31,0)</f>
        <v>0</v>
      </c>
      <c r="L308" s="2">
        <f>VLOOKUP($C308,'[10]for slip'!$F:$BC,35,0)</f>
        <v>0</v>
      </c>
      <c r="M308" s="2">
        <f>VLOOKUP($C308,'[10]for slip'!$F:$BC,36,0)</f>
        <v>0</v>
      </c>
      <c r="N308" s="2">
        <f>VLOOKUP($C308,'[10]for slip'!$F:$BC,37,0)</f>
        <v>0</v>
      </c>
      <c r="O308" s="2">
        <f>VLOOKUP($C308,'[10]for slip'!$F:$BC,38,0)</f>
        <v>0</v>
      </c>
      <c r="P308" s="2">
        <f>VLOOKUP($C308,'[10]for slip'!$F:$BC,39,0)</f>
        <v>38000</v>
      </c>
      <c r="Q308" s="2">
        <f>VLOOKUP($C308,'[10]for slip'!$F:$BC,40,0)</f>
        <v>31700</v>
      </c>
      <c r="R308" s="2">
        <f>VLOOKUP($C308,'[10]for slip'!$F:$BC,41,0)</f>
        <v>0</v>
      </c>
      <c r="S308" s="2">
        <f>VLOOKUP($C308,'[10]for slip'!$F:$BC,42,0)</f>
        <v>0</v>
      </c>
      <c r="T308" s="2">
        <f>VLOOKUP($C308,'[10]for slip'!$F:$BC,43,0)</f>
        <v>53430.83</v>
      </c>
      <c r="U308" s="2">
        <f>VLOOKUP($C308,'[10]for slip'!$F:$BC,44,0)</f>
        <v>106861.66</v>
      </c>
      <c r="V308" s="2">
        <f>VLOOKUP($C308,'[10]for slip'!$F:$BC,45,0)</f>
        <v>53430.83</v>
      </c>
      <c r="W308" s="2">
        <f>VLOOKUP($C308,'[10]for slip'!$F:$BC,48,0)</f>
        <v>0</v>
      </c>
    </row>
    <row r="309" spans="1:23" x14ac:dyDescent="0.25">
      <c r="A309" s="1">
        <v>308</v>
      </c>
      <c r="B309" s="2" t="s">
        <v>637</v>
      </c>
      <c r="C309" s="2" t="s">
        <v>638</v>
      </c>
      <c r="D309" s="2" t="str">
        <f>VLOOKUP($C309,'[10]for slip'!$F:$BC,3,0)</f>
        <v>Pelaksana</v>
      </c>
      <c r="E309" s="2" t="str">
        <f>VLOOKUP($C309,'[10]for slip'!$F:$BC,4,0)</f>
        <v>Assembly</v>
      </c>
      <c r="F309" s="2">
        <f>VLOOKUP($C309,'[10]for slip'!$F:$BC,14,0)</f>
        <v>5343083</v>
      </c>
      <c r="G309" s="2">
        <f>VLOOKUP($C309,'[10]for slip'!$F:$BC,15,0)</f>
        <v>0</v>
      </c>
      <c r="H309" s="2">
        <f>VLOOKUP($C309,'[10]for slip'!$F:$BC,16,0)</f>
        <v>0</v>
      </c>
      <c r="I309" s="2">
        <f>VLOOKUP($C309,'[10]for slip'!$F:$BC,17,0)</f>
        <v>0</v>
      </c>
      <c r="J309" s="2">
        <f>VLOOKUP($C309,'[10]for slip'!$F:$BC,27,0)</f>
        <v>0</v>
      </c>
      <c r="K309" s="2">
        <f>VLOOKUP($C309,'[10]for slip'!$F:$BC,31,0)</f>
        <v>0</v>
      </c>
      <c r="L309" s="2">
        <f>VLOOKUP($C309,'[10]for slip'!$F:$BC,35,0)</f>
        <v>0</v>
      </c>
      <c r="M309" s="2">
        <f>VLOOKUP($C309,'[10]for slip'!$F:$BC,36,0)</f>
        <v>0</v>
      </c>
      <c r="N309" s="2">
        <f>VLOOKUP($C309,'[10]for slip'!$F:$BC,37,0)</f>
        <v>0</v>
      </c>
      <c r="O309" s="2">
        <f>VLOOKUP($C309,'[10]for slip'!$F:$BC,38,0)</f>
        <v>0</v>
      </c>
      <c r="P309" s="2">
        <f>VLOOKUP($C309,'[10]for slip'!$F:$BC,39,0)</f>
        <v>38000</v>
      </c>
      <c r="Q309" s="2">
        <f>VLOOKUP($C309,'[10]for slip'!$F:$BC,40,0)</f>
        <v>31700</v>
      </c>
      <c r="R309" s="2">
        <f>VLOOKUP($C309,'[10]for slip'!$F:$BC,41,0)</f>
        <v>0</v>
      </c>
      <c r="S309" s="2">
        <f>VLOOKUP($C309,'[10]for slip'!$F:$BC,42,0)</f>
        <v>0</v>
      </c>
      <c r="T309" s="2">
        <f>VLOOKUP($C309,'[10]for slip'!$F:$BC,43,0)</f>
        <v>53430.83</v>
      </c>
      <c r="U309" s="2">
        <f>VLOOKUP($C309,'[10]for slip'!$F:$BC,44,0)</f>
        <v>106861.66</v>
      </c>
      <c r="V309" s="2">
        <f>VLOOKUP($C309,'[10]for slip'!$F:$BC,45,0)</f>
        <v>53430.83</v>
      </c>
      <c r="W309" s="2">
        <f>VLOOKUP($C309,'[10]for slip'!$F:$BC,48,0)</f>
        <v>0</v>
      </c>
    </row>
    <row r="310" spans="1:23" x14ac:dyDescent="0.25">
      <c r="A310" s="1">
        <v>309</v>
      </c>
      <c r="B310" s="2" t="s">
        <v>639</v>
      </c>
      <c r="C310" s="2" t="s">
        <v>640</v>
      </c>
      <c r="D310" s="2" t="str">
        <f>VLOOKUP($C310,'[10]for slip'!$F:$BC,3,0)</f>
        <v>Pelaksana</v>
      </c>
      <c r="E310" s="2" t="str">
        <f>VLOOKUP($C310,'[10]for slip'!$F:$BC,4,0)</f>
        <v>Assembly</v>
      </c>
      <c r="F310" s="2">
        <f>VLOOKUP($C310,'[10]for slip'!$F:$BC,14,0)</f>
        <v>5343083</v>
      </c>
      <c r="G310" s="2">
        <f>VLOOKUP($C310,'[10]for slip'!$F:$BC,15,0)</f>
        <v>0</v>
      </c>
      <c r="H310" s="2">
        <f>VLOOKUP($C310,'[10]for slip'!$F:$BC,16,0)</f>
        <v>0</v>
      </c>
      <c r="I310" s="2">
        <f>VLOOKUP($C310,'[10]for slip'!$F:$BC,17,0)</f>
        <v>0</v>
      </c>
      <c r="J310" s="2">
        <f>VLOOKUP($C310,'[10]for slip'!$F:$BC,27,0)</f>
        <v>0</v>
      </c>
      <c r="K310" s="2">
        <f>VLOOKUP($C310,'[10]for slip'!$F:$BC,31,0)</f>
        <v>0</v>
      </c>
      <c r="L310" s="2">
        <f>VLOOKUP($C310,'[10]for slip'!$F:$BC,35,0)</f>
        <v>15604.584590750002</v>
      </c>
      <c r="M310" s="2">
        <f>VLOOKUP($C310,'[10]for slip'!$F:$BC,36,0)</f>
        <v>0</v>
      </c>
      <c r="N310" s="2">
        <f>VLOOKUP($C310,'[10]for slip'!$F:$BC,37,0)</f>
        <v>0</v>
      </c>
      <c r="O310" s="2">
        <f>VLOOKUP($C310,'[10]for slip'!$F:$BC,38,0)</f>
        <v>0</v>
      </c>
      <c r="P310" s="2">
        <f>VLOOKUP($C310,'[10]for slip'!$F:$BC,39,0)</f>
        <v>38000</v>
      </c>
      <c r="Q310" s="2">
        <f>VLOOKUP($C310,'[10]for slip'!$F:$BC,40,0)</f>
        <v>31700</v>
      </c>
      <c r="R310" s="2">
        <f>VLOOKUP($C310,'[10]for slip'!$F:$BC,41,0)</f>
        <v>0</v>
      </c>
      <c r="S310" s="2">
        <f>VLOOKUP($C310,'[10]for slip'!$F:$BC,42,0)</f>
        <v>0</v>
      </c>
      <c r="T310" s="2">
        <f>VLOOKUP($C310,'[10]for slip'!$F:$BC,43,0)</f>
        <v>53430.83</v>
      </c>
      <c r="U310" s="2">
        <f>VLOOKUP($C310,'[10]for slip'!$F:$BC,44,0)</f>
        <v>106861.66</v>
      </c>
      <c r="V310" s="2">
        <f>VLOOKUP($C310,'[10]for slip'!$F:$BC,45,0)</f>
        <v>53430.83</v>
      </c>
      <c r="W310" s="2">
        <f>VLOOKUP($C310,'[10]for slip'!$F:$BC,48,0)</f>
        <v>15604.584590750002</v>
      </c>
    </row>
    <row r="311" spans="1:23" x14ac:dyDescent="0.25">
      <c r="A311" s="1">
        <v>310</v>
      </c>
      <c r="B311" s="2" t="s">
        <v>641</v>
      </c>
      <c r="C311" s="2" t="s">
        <v>642</v>
      </c>
      <c r="D311" s="2" t="str">
        <f>VLOOKUP($C311,'[10]for slip'!$F:$BC,3,0)</f>
        <v>Pelaksana</v>
      </c>
      <c r="E311" s="2" t="str">
        <f>VLOOKUP($C311,'[10]for slip'!$F:$BC,4,0)</f>
        <v>Assembly</v>
      </c>
      <c r="F311" s="2">
        <f>VLOOKUP($C311,'[10]for slip'!$F:$BC,14,0)</f>
        <v>5343083</v>
      </c>
      <c r="G311" s="2">
        <f>VLOOKUP($C311,'[10]for slip'!$F:$BC,15,0)</f>
        <v>0</v>
      </c>
      <c r="H311" s="2">
        <f>VLOOKUP($C311,'[10]for slip'!$F:$BC,16,0)</f>
        <v>0</v>
      </c>
      <c r="I311" s="2">
        <f>VLOOKUP($C311,'[10]for slip'!$F:$BC,17,0)</f>
        <v>0</v>
      </c>
      <c r="J311" s="2">
        <f>VLOOKUP($C311,'[10]for slip'!$F:$BC,27,0)</f>
        <v>0</v>
      </c>
      <c r="K311" s="2">
        <f>VLOOKUP($C311,'[10]for slip'!$F:$BC,31,0)</f>
        <v>0</v>
      </c>
      <c r="L311" s="2">
        <f>VLOOKUP($C311,'[10]for slip'!$F:$BC,35,0)</f>
        <v>15604.584590750002</v>
      </c>
      <c r="M311" s="2">
        <f>VLOOKUP($C311,'[10]for slip'!$F:$BC,36,0)</f>
        <v>0</v>
      </c>
      <c r="N311" s="2">
        <f>VLOOKUP($C311,'[10]for slip'!$F:$BC,37,0)</f>
        <v>0</v>
      </c>
      <c r="O311" s="2">
        <f>VLOOKUP($C311,'[10]for slip'!$F:$BC,38,0)</f>
        <v>0</v>
      </c>
      <c r="P311" s="2">
        <f>VLOOKUP($C311,'[10]for slip'!$F:$BC,39,0)</f>
        <v>38000</v>
      </c>
      <c r="Q311" s="2">
        <f>VLOOKUP($C311,'[10]for slip'!$F:$BC,40,0)</f>
        <v>31700</v>
      </c>
      <c r="R311" s="2">
        <f>VLOOKUP($C311,'[10]for slip'!$F:$BC,41,0)</f>
        <v>0</v>
      </c>
      <c r="S311" s="2">
        <f>VLOOKUP($C311,'[10]for slip'!$F:$BC,42,0)</f>
        <v>0</v>
      </c>
      <c r="T311" s="2">
        <f>VLOOKUP($C311,'[10]for slip'!$F:$BC,43,0)</f>
        <v>53430.83</v>
      </c>
      <c r="U311" s="2">
        <f>VLOOKUP($C311,'[10]for slip'!$F:$BC,44,0)</f>
        <v>106861.66</v>
      </c>
      <c r="V311" s="2">
        <f>VLOOKUP($C311,'[10]for slip'!$F:$BC,45,0)</f>
        <v>53430.83</v>
      </c>
      <c r="W311" s="2">
        <f>VLOOKUP($C311,'[10]for slip'!$F:$BC,48,0)</f>
        <v>15604.584590750002</v>
      </c>
    </row>
    <row r="312" spans="1:23" x14ac:dyDescent="0.25">
      <c r="A312" s="1">
        <v>311</v>
      </c>
      <c r="B312" s="2" t="s">
        <v>643</v>
      </c>
      <c r="C312" s="2" t="s">
        <v>644</v>
      </c>
      <c r="D312" s="2" t="str">
        <f>VLOOKUP($C312,'[10]for slip'!$F:$BC,3,0)</f>
        <v>Pelaksana</v>
      </c>
      <c r="E312" s="2" t="str">
        <f>VLOOKUP($C312,'[10]for slip'!$F:$BC,4,0)</f>
        <v>Assembly</v>
      </c>
      <c r="F312" s="2">
        <f>VLOOKUP($C312,'[10]for slip'!$F:$BC,14,0)</f>
        <v>5343083</v>
      </c>
      <c r="G312" s="2">
        <f>VLOOKUP($C312,'[10]for slip'!$F:$BC,15,0)</f>
        <v>0</v>
      </c>
      <c r="H312" s="2">
        <f>VLOOKUP($C312,'[10]for slip'!$F:$BC,16,0)</f>
        <v>0</v>
      </c>
      <c r="I312" s="2">
        <f>VLOOKUP($C312,'[10]for slip'!$F:$BC,17,0)</f>
        <v>0</v>
      </c>
      <c r="J312" s="2">
        <f>VLOOKUP($C312,'[10]for slip'!$F:$BC,27,0)</f>
        <v>0</v>
      </c>
      <c r="K312" s="2">
        <f>VLOOKUP($C312,'[10]for slip'!$F:$BC,31,0)</f>
        <v>0</v>
      </c>
      <c r="L312" s="2">
        <f>VLOOKUP($C312,'[10]for slip'!$F:$BC,35,0)</f>
        <v>34354.584590750004</v>
      </c>
      <c r="M312" s="2">
        <f>VLOOKUP($C312,'[10]for slip'!$F:$BC,36,0)</f>
        <v>0</v>
      </c>
      <c r="N312" s="2">
        <f>VLOOKUP($C312,'[10]for slip'!$F:$BC,37,0)</f>
        <v>0</v>
      </c>
      <c r="O312" s="2">
        <f>VLOOKUP($C312,'[10]for slip'!$F:$BC,38,0)</f>
        <v>0</v>
      </c>
      <c r="P312" s="2">
        <f>VLOOKUP($C312,'[10]for slip'!$F:$BC,39,0)</f>
        <v>38000</v>
      </c>
      <c r="Q312" s="2">
        <f>VLOOKUP($C312,'[10]for slip'!$F:$BC,40,0)</f>
        <v>31700</v>
      </c>
      <c r="R312" s="2">
        <f>VLOOKUP($C312,'[10]for slip'!$F:$BC,41,0)</f>
        <v>0</v>
      </c>
      <c r="S312" s="2">
        <f>VLOOKUP($C312,'[10]for slip'!$F:$BC,42,0)</f>
        <v>0</v>
      </c>
      <c r="T312" s="2">
        <f>VLOOKUP($C312,'[10]for slip'!$F:$BC,43,0)</f>
        <v>53430.83</v>
      </c>
      <c r="U312" s="2">
        <f>VLOOKUP($C312,'[10]for slip'!$F:$BC,44,0)</f>
        <v>106861.66</v>
      </c>
      <c r="V312" s="2">
        <f>VLOOKUP($C312,'[10]for slip'!$F:$BC,45,0)</f>
        <v>53430.83</v>
      </c>
      <c r="W312" s="2">
        <f>VLOOKUP($C312,'[10]for slip'!$F:$BC,48,0)</f>
        <v>34354.584590750004</v>
      </c>
    </row>
    <row r="313" spans="1:23" x14ac:dyDescent="0.25">
      <c r="A313" s="1">
        <v>312</v>
      </c>
      <c r="B313" s="2" t="s">
        <v>645</v>
      </c>
      <c r="C313" s="2" t="s">
        <v>646</v>
      </c>
      <c r="D313" s="2" t="str">
        <f>VLOOKUP($C313,'[10]for slip'!$F:$BC,3,0)</f>
        <v>Pelaksana</v>
      </c>
      <c r="E313" s="2" t="str">
        <f>VLOOKUP($C313,'[10]for slip'!$F:$BC,4,0)</f>
        <v>Assembly</v>
      </c>
      <c r="F313" s="2">
        <f>VLOOKUP($C313,'[10]for slip'!$F:$BC,14,0)</f>
        <v>5343083</v>
      </c>
      <c r="G313" s="2">
        <f>VLOOKUP($C313,'[10]for slip'!$F:$BC,15,0)</f>
        <v>0</v>
      </c>
      <c r="H313" s="2">
        <f>VLOOKUP($C313,'[10]for slip'!$F:$BC,16,0)</f>
        <v>0</v>
      </c>
      <c r="I313" s="2">
        <f>VLOOKUP($C313,'[10]for slip'!$F:$BC,17,0)</f>
        <v>0</v>
      </c>
      <c r="J313" s="2">
        <f>VLOOKUP($C313,'[10]for slip'!$F:$BC,27,0)</f>
        <v>0</v>
      </c>
      <c r="K313" s="2">
        <f>VLOOKUP($C313,'[10]for slip'!$F:$BC,31,0)</f>
        <v>0</v>
      </c>
      <c r="L313" s="2">
        <f>VLOOKUP($C313,'[10]for slip'!$F:$BC,35,0)</f>
        <v>34354.584590750004</v>
      </c>
      <c r="M313" s="2">
        <f>VLOOKUP($C313,'[10]for slip'!$F:$BC,36,0)</f>
        <v>0</v>
      </c>
      <c r="N313" s="2">
        <f>VLOOKUP($C313,'[10]for slip'!$F:$BC,37,0)</f>
        <v>0</v>
      </c>
      <c r="O313" s="2">
        <f>VLOOKUP($C313,'[10]for slip'!$F:$BC,38,0)</f>
        <v>0</v>
      </c>
      <c r="P313" s="2">
        <f>VLOOKUP($C313,'[10]for slip'!$F:$BC,39,0)</f>
        <v>38000</v>
      </c>
      <c r="Q313" s="2">
        <f>VLOOKUP($C313,'[10]for slip'!$F:$BC,40,0)</f>
        <v>31700</v>
      </c>
      <c r="R313" s="2">
        <f>VLOOKUP($C313,'[10]for slip'!$F:$BC,41,0)</f>
        <v>0</v>
      </c>
      <c r="S313" s="2">
        <f>VLOOKUP($C313,'[10]for slip'!$F:$BC,42,0)</f>
        <v>0</v>
      </c>
      <c r="T313" s="2">
        <f>VLOOKUP($C313,'[10]for slip'!$F:$BC,43,0)</f>
        <v>53430.83</v>
      </c>
      <c r="U313" s="2">
        <f>VLOOKUP($C313,'[10]for slip'!$F:$BC,44,0)</f>
        <v>106861.66</v>
      </c>
      <c r="V313" s="2">
        <f>VLOOKUP($C313,'[10]for slip'!$F:$BC,45,0)</f>
        <v>53430.83</v>
      </c>
      <c r="W313" s="2">
        <f>VLOOKUP($C313,'[10]for slip'!$F:$BC,48,0)</f>
        <v>34354.584590750004</v>
      </c>
    </row>
    <row r="314" spans="1:23" x14ac:dyDescent="0.25">
      <c r="A314" s="1">
        <v>313</v>
      </c>
      <c r="B314" s="2" t="s">
        <v>647</v>
      </c>
      <c r="C314" s="2" t="s">
        <v>648</v>
      </c>
      <c r="D314" s="2" t="str">
        <f>VLOOKUP($C314,'[10]for slip'!$F:$BC,3,0)</f>
        <v>Pelaksana</v>
      </c>
      <c r="E314" s="2" t="str">
        <f>VLOOKUP($C314,'[10]for slip'!$F:$BC,4,0)</f>
        <v>Assembly</v>
      </c>
      <c r="F314" s="2">
        <f>VLOOKUP($C314,'[10]for slip'!$F:$BC,14,0)</f>
        <v>5343083</v>
      </c>
      <c r="G314" s="2">
        <f>VLOOKUP($C314,'[10]for slip'!$F:$BC,15,0)</f>
        <v>0</v>
      </c>
      <c r="H314" s="2">
        <f>VLOOKUP($C314,'[10]for slip'!$F:$BC,16,0)</f>
        <v>0</v>
      </c>
      <c r="I314" s="2">
        <f>VLOOKUP($C314,'[10]for slip'!$F:$BC,17,0)</f>
        <v>0</v>
      </c>
      <c r="J314" s="2">
        <f>VLOOKUP($C314,'[10]for slip'!$F:$BC,27,0)</f>
        <v>0</v>
      </c>
      <c r="K314" s="2">
        <f>VLOOKUP($C314,'[10]for slip'!$F:$BC,31,0)</f>
        <v>0</v>
      </c>
      <c r="L314" s="2">
        <f>VLOOKUP($C314,'[10]for slip'!$F:$BC,35,0)</f>
        <v>15604.584590750002</v>
      </c>
      <c r="M314" s="2">
        <f>VLOOKUP($C314,'[10]for slip'!$F:$BC,36,0)</f>
        <v>0</v>
      </c>
      <c r="N314" s="2">
        <f>VLOOKUP($C314,'[10]for slip'!$F:$BC,37,0)</f>
        <v>0</v>
      </c>
      <c r="O314" s="2">
        <f>VLOOKUP($C314,'[10]for slip'!$F:$BC,38,0)</f>
        <v>0</v>
      </c>
      <c r="P314" s="2">
        <f>VLOOKUP($C314,'[10]for slip'!$F:$BC,39,0)</f>
        <v>38000</v>
      </c>
      <c r="Q314" s="2">
        <f>VLOOKUP($C314,'[10]for slip'!$F:$BC,40,0)</f>
        <v>31700</v>
      </c>
      <c r="R314" s="2">
        <f>VLOOKUP($C314,'[10]for slip'!$F:$BC,41,0)</f>
        <v>0</v>
      </c>
      <c r="S314" s="2">
        <f>VLOOKUP($C314,'[10]for slip'!$F:$BC,42,0)</f>
        <v>0</v>
      </c>
      <c r="T314" s="2">
        <f>VLOOKUP($C314,'[10]for slip'!$F:$BC,43,0)</f>
        <v>53430.83</v>
      </c>
      <c r="U314" s="2">
        <f>VLOOKUP($C314,'[10]for slip'!$F:$BC,44,0)</f>
        <v>106861.66</v>
      </c>
      <c r="V314" s="2">
        <f>VLOOKUP($C314,'[10]for slip'!$F:$BC,45,0)</f>
        <v>53430.83</v>
      </c>
      <c r="W314" s="2">
        <f>VLOOKUP($C314,'[10]for slip'!$F:$BC,48,0)</f>
        <v>15604.584590750002</v>
      </c>
    </row>
    <row r="315" spans="1:23" x14ac:dyDescent="0.25">
      <c r="A315" s="1">
        <v>314</v>
      </c>
      <c r="B315" s="2" t="s">
        <v>649</v>
      </c>
      <c r="C315" s="2" t="s">
        <v>650</v>
      </c>
      <c r="D315" s="2" t="str">
        <f>VLOOKUP($C315,'[10]for slip'!$F:$BC,3,0)</f>
        <v>Pelaksana</v>
      </c>
      <c r="E315" s="2" t="str">
        <f>VLOOKUP($C315,'[10]for slip'!$F:$BC,4,0)</f>
        <v>Assembly</v>
      </c>
      <c r="F315" s="2">
        <f>VLOOKUP($C315,'[10]for slip'!$F:$BC,14,0)</f>
        <v>5343083</v>
      </c>
      <c r="G315" s="2">
        <f>VLOOKUP($C315,'[10]for slip'!$F:$BC,15,0)</f>
        <v>0</v>
      </c>
      <c r="H315" s="2">
        <f>VLOOKUP($C315,'[10]for slip'!$F:$BC,16,0)</f>
        <v>0</v>
      </c>
      <c r="I315" s="2">
        <f>VLOOKUP($C315,'[10]for slip'!$F:$BC,17,0)</f>
        <v>0</v>
      </c>
      <c r="J315" s="2">
        <f>VLOOKUP($C315,'[10]for slip'!$F:$BC,27,0)</f>
        <v>0</v>
      </c>
      <c r="K315" s="2">
        <f>VLOOKUP($C315,'[10]for slip'!$F:$BC,31,0)</f>
        <v>0</v>
      </c>
      <c r="L315" s="2">
        <f>VLOOKUP($C315,'[10]for slip'!$F:$BC,35,0)</f>
        <v>0</v>
      </c>
      <c r="M315" s="2">
        <f>VLOOKUP($C315,'[10]for slip'!$F:$BC,36,0)</f>
        <v>0</v>
      </c>
      <c r="N315" s="2">
        <f>VLOOKUP($C315,'[10]for slip'!$F:$BC,37,0)</f>
        <v>0</v>
      </c>
      <c r="O315" s="2">
        <f>VLOOKUP($C315,'[10]for slip'!$F:$BC,38,0)</f>
        <v>0</v>
      </c>
      <c r="P315" s="2">
        <f>VLOOKUP($C315,'[10]for slip'!$F:$BC,39,0)</f>
        <v>38000</v>
      </c>
      <c r="Q315" s="2">
        <f>VLOOKUP($C315,'[10]for slip'!$F:$BC,40,0)</f>
        <v>31700</v>
      </c>
      <c r="R315" s="2">
        <f>VLOOKUP($C315,'[10]for slip'!$F:$BC,41,0)</f>
        <v>0</v>
      </c>
      <c r="S315" s="2">
        <f>VLOOKUP($C315,'[10]for slip'!$F:$BC,42,0)</f>
        <v>0</v>
      </c>
      <c r="T315" s="2">
        <f>VLOOKUP($C315,'[10]for slip'!$F:$BC,43,0)</f>
        <v>53430.83</v>
      </c>
      <c r="U315" s="2">
        <f>VLOOKUP($C315,'[10]for slip'!$F:$BC,44,0)</f>
        <v>106861.66</v>
      </c>
      <c r="V315" s="2">
        <f>VLOOKUP($C315,'[10]for slip'!$F:$BC,45,0)</f>
        <v>53430.83</v>
      </c>
      <c r="W315" s="2">
        <f>VLOOKUP($C315,'[10]for slip'!$F:$BC,48,0)</f>
        <v>0</v>
      </c>
    </row>
    <row r="316" spans="1:23" x14ac:dyDescent="0.25">
      <c r="A316" s="1">
        <v>315</v>
      </c>
      <c r="B316" s="2" t="s">
        <v>651</v>
      </c>
      <c r="C316" s="2" t="s">
        <v>652</v>
      </c>
      <c r="D316" s="2" t="str">
        <f>VLOOKUP($C316,'[10]for slip'!$F:$BC,3,0)</f>
        <v>Pelaksana</v>
      </c>
      <c r="E316" s="2" t="str">
        <f>VLOOKUP($C316,'[10]for slip'!$F:$BC,4,0)</f>
        <v>Assembly</v>
      </c>
      <c r="F316" s="2">
        <f>VLOOKUP($C316,'[10]for slip'!$F:$BC,14,0)</f>
        <v>5343083</v>
      </c>
      <c r="G316" s="2">
        <f>VLOOKUP($C316,'[10]for slip'!$F:$BC,15,0)</f>
        <v>0</v>
      </c>
      <c r="H316" s="2">
        <f>VLOOKUP($C316,'[10]for slip'!$F:$BC,16,0)</f>
        <v>0</v>
      </c>
      <c r="I316" s="2">
        <f>VLOOKUP($C316,'[10]for slip'!$F:$BC,17,0)</f>
        <v>0</v>
      </c>
      <c r="J316" s="2">
        <f>VLOOKUP($C316,'[10]for slip'!$F:$BC,27,0)</f>
        <v>0</v>
      </c>
      <c r="K316" s="2">
        <f>VLOOKUP($C316,'[10]for slip'!$F:$BC,31,0)</f>
        <v>0</v>
      </c>
      <c r="L316" s="2">
        <f>VLOOKUP($C316,'[10]for slip'!$F:$BC,35,0)</f>
        <v>0</v>
      </c>
      <c r="M316" s="2">
        <f>VLOOKUP($C316,'[10]for slip'!$F:$BC,36,0)</f>
        <v>0</v>
      </c>
      <c r="N316" s="2">
        <f>VLOOKUP($C316,'[10]for slip'!$F:$BC,37,0)</f>
        <v>0</v>
      </c>
      <c r="O316" s="2">
        <f>VLOOKUP($C316,'[10]for slip'!$F:$BC,38,0)</f>
        <v>0</v>
      </c>
      <c r="P316" s="2">
        <f>VLOOKUP($C316,'[10]for slip'!$F:$BC,39,0)</f>
        <v>38000</v>
      </c>
      <c r="Q316" s="2">
        <f>VLOOKUP($C316,'[10]for slip'!$F:$BC,40,0)</f>
        <v>31700</v>
      </c>
      <c r="R316" s="2">
        <f>VLOOKUP($C316,'[10]for slip'!$F:$BC,41,0)</f>
        <v>0</v>
      </c>
      <c r="S316" s="2">
        <f>VLOOKUP($C316,'[10]for slip'!$F:$BC,42,0)</f>
        <v>0</v>
      </c>
      <c r="T316" s="2">
        <f>VLOOKUP($C316,'[10]for slip'!$F:$BC,43,0)</f>
        <v>106861.66</v>
      </c>
      <c r="U316" s="2">
        <f>VLOOKUP($C316,'[10]for slip'!$F:$BC,44,0)</f>
        <v>106861.66</v>
      </c>
      <c r="V316" s="2">
        <f>VLOOKUP($C316,'[10]for slip'!$F:$BC,45,0)</f>
        <v>53430.83</v>
      </c>
      <c r="W316" s="2">
        <f>VLOOKUP($C316,'[10]for slip'!$F:$BC,48,0)</f>
        <v>0</v>
      </c>
    </row>
    <row r="317" spans="1:23" x14ac:dyDescent="0.25">
      <c r="A317" s="1">
        <v>316</v>
      </c>
      <c r="B317" s="2" t="s">
        <v>653</v>
      </c>
      <c r="C317" s="2" t="s">
        <v>654</v>
      </c>
      <c r="D317" s="2" t="str">
        <f>VLOOKUP($C317,'[10]for slip'!$F:$BC,3,0)</f>
        <v>Pelaksana</v>
      </c>
      <c r="E317" s="2" t="str">
        <f>VLOOKUP($C317,'[10]for slip'!$F:$BC,4,0)</f>
        <v>Assembly</v>
      </c>
      <c r="F317" s="2">
        <f>VLOOKUP($C317,'[10]for slip'!$F:$BC,14,0)</f>
        <v>5343083</v>
      </c>
      <c r="G317" s="2">
        <f>VLOOKUP($C317,'[10]for slip'!$F:$BC,15,0)</f>
        <v>0</v>
      </c>
      <c r="H317" s="2">
        <f>VLOOKUP($C317,'[10]for slip'!$F:$BC,16,0)</f>
        <v>0</v>
      </c>
      <c r="I317" s="2">
        <f>VLOOKUP($C317,'[10]for slip'!$F:$BC,17,0)</f>
        <v>0</v>
      </c>
      <c r="J317" s="2">
        <f>VLOOKUP($C317,'[10]for slip'!$F:$BC,27,0)</f>
        <v>0</v>
      </c>
      <c r="K317" s="2">
        <f>VLOOKUP($C317,'[10]for slip'!$F:$BC,31,0)</f>
        <v>0</v>
      </c>
      <c r="L317" s="2">
        <f>VLOOKUP($C317,'[10]for slip'!$F:$BC,35,0)</f>
        <v>0</v>
      </c>
      <c r="M317" s="2">
        <f>VLOOKUP($C317,'[10]for slip'!$F:$BC,36,0)</f>
        <v>0</v>
      </c>
      <c r="N317" s="2">
        <f>VLOOKUP($C317,'[10]for slip'!$F:$BC,37,0)</f>
        <v>0</v>
      </c>
      <c r="O317" s="2">
        <f>VLOOKUP($C317,'[10]for slip'!$F:$BC,38,0)</f>
        <v>0</v>
      </c>
      <c r="P317" s="2">
        <f>VLOOKUP($C317,'[10]for slip'!$F:$BC,39,0)</f>
        <v>38000</v>
      </c>
      <c r="Q317" s="2">
        <f>VLOOKUP($C317,'[10]for slip'!$F:$BC,40,0)</f>
        <v>31700</v>
      </c>
      <c r="R317" s="2">
        <f>VLOOKUP($C317,'[10]for slip'!$F:$BC,41,0)</f>
        <v>0</v>
      </c>
      <c r="S317" s="2">
        <f>VLOOKUP($C317,'[10]for slip'!$F:$BC,42,0)</f>
        <v>0</v>
      </c>
      <c r="T317" s="2">
        <f>VLOOKUP($C317,'[10]for slip'!$F:$BC,43,0)</f>
        <v>53430.83</v>
      </c>
      <c r="U317" s="2">
        <f>VLOOKUP($C317,'[10]for slip'!$F:$BC,44,0)</f>
        <v>106861.66</v>
      </c>
      <c r="V317" s="2">
        <f>VLOOKUP($C317,'[10]for slip'!$F:$BC,45,0)</f>
        <v>53430.83</v>
      </c>
      <c r="W317" s="2">
        <f>VLOOKUP($C317,'[10]for slip'!$F:$BC,48,0)</f>
        <v>0</v>
      </c>
    </row>
    <row r="318" spans="1:23" x14ac:dyDescent="0.25">
      <c r="A318" s="1">
        <v>317</v>
      </c>
      <c r="B318" s="2" t="s">
        <v>655</v>
      </c>
      <c r="C318" s="2" t="s">
        <v>656</v>
      </c>
      <c r="D318" s="2" t="str">
        <f>VLOOKUP($C318,'[10]for slip'!$F:$BC,3,0)</f>
        <v>Pelaksana</v>
      </c>
      <c r="E318" s="2" t="str">
        <f>VLOOKUP($C318,'[10]for slip'!$F:$BC,4,0)</f>
        <v>Assembly</v>
      </c>
      <c r="F318" s="2">
        <f>VLOOKUP($C318,'[10]for slip'!$F:$BC,14,0)</f>
        <v>5343083</v>
      </c>
      <c r="G318" s="2">
        <f>VLOOKUP($C318,'[10]for slip'!$F:$BC,15,0)</f>
        <v>0</v>
      </c>
      <c r="H318" s="2">
        <f>VLOOKUP($C318,'[10]for slip'!$F:$BC,16,0)</f>
        <v>0</v>
      </c>
      <c r="I318" s="2">
        <f>VLOOKUP($C318,'[10]for slip'!$F:$BC,17,0)</f>
        <v>0</v>
      </c>
      <c r="J318" s="2">
        <f>VLOOKUP($C318,'[10]for slip'!$F:$BC,27,0)</f>
        <v>0</v>
      </c>
      <c r="K318" s="2">
        <f>VLOOKUP($C318,'[10]for slip'!$F:$BC,31,0)</f>
        <v>0</v>
      </c>
      <c r="L318" s="2">
        <f>VLOOKUP($C318,'[10]for slip'!$F:$BC,35,0)</f>
        <v>0</v>
      </c>
      <c r="M318" s="2">
        <f>VLOOKUP($C318,'[10]for slip'!$F:$BC,36,0)</f>
        <v>0</v>
      </c>
      <c r="N318" s="2">
        <f>VLOOKUP($C318,'[10]for slip'!$F:$BC,37,0)</f>
        <v>14</v>
      </c>
      <c r="O318" s="2">
        <f>VLOOKUP($C318,'[10]for slip'!$F:$BC,38,0)</f>
        <v>3562055</v>
      </c>
      <c r="P318" s="2">
        <f>VLOOKUP($C318,'[10]for slip'!$F:$BC,39,0)</f>
        <v>38000</v>
      </c>
      <c r="Q318" s="2">
        <f>VLOOKUP($C318,'[10]for slip'!$F:$BC,40,0)</f>
        <v>0</v>
      </c>
      <c r="R318" s="2">
        <f>VLOOKUP($C318,'[10]for slip'!$F:$BC,41,0)</f>
        <v>0</v>
      </c>
      <c r="S318" s="2">
        <f>VLOOKUP($C318,'[10]for slip'!$F:$BC,42,0)</f>
        <v>0</v>
      </c>
      <c r="T318" s="2">
        <f>VLOOKUP($C318,'[10]for slip'!$F:$BC,43,0)</f>
        <v>53430.83</v>
      </c>
      <c r="U318" s="2">
        <f>VLOOKUP($C318,'[10]for slip'!$F:$BC,44,0)</f>
        <v>106861.66</v>
      </c>
      <c r="V318" s="2">
        <f>VLOOKUP($C318,'[10]for slip'!$F:$BC,45,0)</f>
        <v>53430.83</v>
      </c>
      <c r="W318" s="2">
        <f>VLOOKUP($C318,'[10]for slip'!$F:$BC,48,0)</f>
        <v>0</v>
      </c>
    </row>
    <row r="319" spans="1:23" x14ac:dyDescent="0.25">
      <c r="A319" s="1">
        <v>318</v>
      </c>
      <c r="B319" s="2" t="s">
        <v>657</v>
      </c>
      <c r="C319" s="2" t="s">
        <v>658</v>
      </c>
      <c r="D319" s="2" t="str">
        <f>VLOOKUP($C319,'[10]for slip'!$F:$BC,3,0)</f>
        <v>Pelaksana</v>
      </c>
      <c r="E319" s="2" t="str">
        <f>VLOOKUP($C319,'[10]for slip'!$F:$BC,4,0)</f>
        <v>Assembly</v>
      </c>
      <c r="F319" s="2">
        <f>VLOOKUP($C319,'[10]for slip'!$F:$BC,14,0)</f>
        <v>5343083</v>
      </c>
      <c r="G319" s="2">
        <f>VLOOKUP($C319,'[10]for slip'!$F:$BC,15,0)</f>
        <v>0</v>
      </c>
      <c r="H319" s="2">
        <f>VLOOKUP($C319,'[10]for slip'!$F:$BC,16,0)</f>
        <v>0</v>
      </c>
      <c r="I319" s="2">
        <f>VLOOKUP($C319,'[10]for slip'!$F:$BC,17,0)</f>
        <v>0</v>
      </c>
      <c r="J319" s="2">
        <f>VLOOKUP($C319,'[10]for slip'!$F:$BC,27,0)</f>
        <v>0</v>
      </c>
      <c r="K319" s="2">
        <f>VLOOKUP($C319,'[10]for slip'!$F:$BC,31,0)</f>
        <v>0</v>
      </c>
      <c r="L319" s="2">
        <f>VLOOKUP($C319,'[10]for slip'!$F:$BC,35,0)</f>
        <v>24202.726890749982</v>
      </c>
      <c r="M319" s="2">
        <f>VLOOKUP($C319,'[10]for slip'!$F:$BC,36,0)</f>
        <v>0</v>
      </c>
      <c r="N319" s="2">
        <f>VLOOKUP($C319,'[10]for slip'!$F:$BC,37,0)</f>
        <v>0</v>
      </c>
      <c r="O319" s="2">
        <f>VLOOKUP($C319,'[10]for slip'!$F:$BC,38,0)</f>
        <v>0</v>
      </c>
      <c r="P319" s="2">
        <f>VLOOKUP($C319,'[10]for slip'!$F:$BC,39,0)</f>
        <v>38000</v>
      </c>
      <c r="Q319" s="2">
        <f>VLOOKUP($C319,'[10]for slip'!$F:$BC,40,0)</f>
        <v>31700</v>
      </c>
      <c r="R319" s="2">
        <f>VLOOKUP($C319,'[10]for slip'!$F:$BC,41,0)</f>
        <v>0</v>
      </c>
      <c r="S319" s="2">
        <f>VLOOKUP($C319,'[10]for slip'!$F:$BC,42,0)</f>
        <v>0</v>
      </c>
      <c r="T319" s="2">
        <f>VLOOKUP($C319,'[10]for slip'!$F:$BC,43,0)</f>
        <v>0</v>
      </c>
      <c r="U319" s="2">
        <f>VLOOKUP($C319,'[10]for slip'!$F:$BC,44,0)</f>
        <v>106861.66</v>
      </c>
      <c r="V319" s="2">
        <f>VLOOKUP($C319,'[10]for slip'!$F:$BC,45,0)</f>
        <v>53430.83</v>
      </c>
      <c r="W319" s="2">
        <f>VLOOKUP($C319,'[10]for slip'!$F:$BC,48,0)</f>
        <v>24202.726890749982</v>
      </c>
    </row>
    <row r="320" spans="1:23" x14ac:dyDescent="0.25">
      <c r="A320" s="1">
        <v>319</v>
      </c>
      <c r="B320" s="2" t="s">
        <v>659</v>
      </c>
      <c r="C320" s="2" t="s">
        <v>660</v>
      </c>
      <c r="D320" s="2" t="str">
        <f>VLOOKUP($C320,'[10]for slip'!$F:$BC,3,0)</f>
        <v>Pelaksana</v>
      </c>
      <c r="E320" s="2" t="str">
        <f>VLOOKUP($C320,'[10]for slip'!$F:$BC,4,0)</f>
        <v>Assembly</v>
      </c>
      <c r="F320" s="2">
        <f>VLOOKUP($C320,'[10]for slip'!$F:$BC,14,0)</f>
        <v>5343083</v>
      </c>
      <c r="G320" s="2">
        <f>VLOOKUP($C320,'[10]for slip'!$F:$BC,15,0)</f>
        <v>0</v>
      </c>
      <c r="H320" s="2">
        <f>VLOOKUP($C320,'[10]for slip'!$F:$BC,16,0)</f>
        <v>0</v>
      </c>
      <c r="I320" s="2">
        <f>VLOOKUP($C320,'[10]for slip'!$F:$BC,17,0)</f>
        <v>0</v>
      </c>
      <c r="J320" s="2">
        <f>VLOOKUP($C320,'[10]for slip'!$F:$BC,27,0)</f>
        <v>0</v>
      </c>
      <c r="K320" s="2">
        <f>VLOOKUP($C320,'[10]for slip'!$F:$BC,31,0)</f>
        <v>0</v>
      </c>
      <c r="L320" s="2">
        <f>VLOOKUP($C320,'[10]for slip'!$F:$BC,35,0)</f>
        <v>0</v>
      </c>
      <c r="M320" s="2">
        <f>VLOOKUP($C320,'[10]for slip'!$F:$BC,36,0)</f>
        <v>0</v>
      </c>
      <c r="N320" s="2">
        <f>VLOOKUP($C320,'[10]for slip'!$F:$BC,37,0)</f>
        <v>0</v>
      </c>
      <c r="O320" s="2">
        <f>VLOOKUP($C320,'[10]for slip'!$F:$BC,38,0)</f>
        <v>0</v>
      </c>
      <c r="P320" s="2">
        <f>VLOOKUP($C320,'[10]for slip'!$F:$BC,39,0)</f>
        <v>38000</v>
      </c>
      <c r="Q320" s="2">
        <f>VLOOKUP($C320,'[10]for slip'!$F:$BC,40,0)</f>
        <v>31700</v>
      </c>
      <c r="R320" s="2">
        <f>VLOOKUP($C320,'[10]for slip'!$F:$BC,41,0)</f>
        <v>0</v>
      </c>
      <c r="S320" s="2">
        <f>VLOOKUP($C320,'[10]for slip'!$F:$BC,42,0)</f>
        <v>0</v>
      </c>
      <c r="T320" s="2">
        <f>VLOOKUP($C320,'[10]for slip'!$F:$BC,43,0)</f>
        <v>53430.83</v>
      </c>
      <c r="U320" s="2">
        <f>VLOOKUP($C320,'[10]for slip'!$F:$BC,44,0)</f>
        <v>106861.66</v>
      </c>
      <c r="V320" s="2">
        <f>VLOOKUP($C320,'[10]for slip'!$F:$BC,45,0)</f>
        <v>53430.83</v>
      </c>
      <c r="W320" s="2">
        <f>VLOOKUP($C320,'[10]for slip'!$F:$BC,48,0)</f>
        <v>0</v>
      </c>
    </row>
    <row r="321" spans="1:23" x14ac:dyDescent="0.25">
      <c r="A321" s="1">
        <v>320</v>
      </c>
      <c r="B321" s="2" t="s">
        <v>661</v>
      </c>
      <c r="C321" s="2" t="s">
        <v>662</v>
      </c>
      <c r="D321" s="2" t="str">
        <f>VLOOKUP($C321,'[10]for slip'!$F:$BC,3,0)</f>
        <v>Pelaksana</v>
      </c>
      <c r="E321" s="2" t="str">
        <f>VLOOKUP($C321,'[10]for slip'!$F:$BC,4,0)</f>
        <v>Assembly</v>
      </c>
      <c r="F321" s="2">
        <f>VLOOKUP($C321,'[10]for slip'!$F:$BC,14,0)</f>
        <v>5343083</v>
      </c>
      <c r="G321" s="2">
        <f>VLOOKUP($C321,'[10]for slip'!$F:$BC,15,0)</f>
        <v>0</v>
      </c>
      <c r="H321" s="2">
        <f>VLOOKUP($C321,'[10]for slip'!$F:$BC,16,0)</f>
        <v>0</v>
      </c>
      <c r="I321" s="2">
        <f>VLOOKUP($C321,'[10]for slip'!$F:$BC,17,0)</f>
        <v>0</v>
      </c>
      <c r="J321" s="2">
        <f>VLOOKUP($C321,'[10]for slip'!$F:$BC,27,0)</f>
        <v>0</v>
      </c>
      <c r="K321" s="2">
        <f>VLOOKUP($C321,'[10]for slip'!$F:$BC,31,0)</f>
        <v>0</v>
      </c>
      <c r="L321" s="2">
        <f>VLOOKUP($C321,'[10]for slip'!$F:$BC,35,0)</f>
        <v>33319.515890749979</v>
      </c>
      <c r="M321" s="2">
        <f>VLOOKUP($C321,'[10]for slip'!$F:$BC,36,0)</f>
        <v>0</v>
      </c>
      <c r="N321" s="2">
        <f>VLOOKUP($C321,'[10]for slip'!$F:$BC,37,0)</f>
        <v>0</v>
      </c>
      <c r="O321" s="2">
        <f>VLOOKUP($C321,'[10]for slip'!$F:$BC,38,0)</f>
        <v>0</v>
      </c>
      <c r="P321" s="2">
        <f>VLOOKUP($C321,'[10]for slip'!$F:$BC,39,0)</f>
        <v>38000</v>
      </c>
      <c r="Q321" s="2">
        <f>VLOOKUP($C321,'[10]for slip'!$F:$BC,40,0)</f>
        <v>31700</v>
      </c>
      <c r="R321" s="2">
        <f>VLOOKUP($C321,'[10]for slip'!$F:$BC,41,0)</f>
        <v>0</v>
      </c>
      <c r="S321" s="2">
        <f>VLOOKUP($C321,'[10]for slip'!$F:$BC,42,0)</f>
        <v>0</v>
      </c>
      <c r="T321" s="2">
        <f>VLOOKUP($C321,'[10]for slip'!$F:$BC,43,0)</f>
        <v>47983.1</v>
      </c>
      <c r="U321" s="2">
        <f>VLOOKUP($C321,'[10]for slip'!$F:$BC,44,0)</f>
        <v>106861.66</v>
      </c>
      <c r="V321" s="2">
        <f>VLOOKUP($C321,'[10]for slip'!$F:$BC,45,0)</f>
        <v>53430.83</v>
      </c>
      <c r="W321" s="2">
        <f>VLOOKUP($C321,'[10]for slip'!$F:$BC,48,0)</f>
        <v>33319.515890749979</v>
      </c>
    </row>
    <row r="322" spans="1:23" x14ac:dyDescent="0.25">
      <c r="A322" s="1">
        <v>321</v>
      </c>
      <c r="B322" s="2" t="s">
        <v>663</v>
      </c>
      <c r="C322" s="2" t="s">
        <v>664</v>
      </c>
      <c r="D322" s="2" t="str">
        <f>VLOOKUP($C322,'[10]for slip'!$F:$BC,3,0)</f>
        <v>Pelaksana</v>
      </c>
      <c r="E322" s="2" t="str">
        <f>VLOOKUP($C322,'[10]for slip'!$F:$BC,4,0)</f>
        <v>Assembly</v>
      </c>
      <c r="F322" s="2">
        <f>VLOOKUP($C322,'[10]for slip'!$F:$BC,14,0)</f>
        <v>5343083</v>
      </c>
      <c r="G322" s="2">
        <f>VLOOKUP($C322,'[10]for slip'!$F:$BC,15,0)</f>
        <v>0</v>
      </c>
      <c r="H322" s="2">
        <f>VLOOKUP($C322,'[10]for slip'!$F:$BC,16,0)</f>
        <v>0</v>
      </c>
      <c r="I322" s="2">
        <f>VLOOKUP($C322,'[10]for slip'!$F:$BC,17,0)</f>
        <v>0</v>
      </c>
      <c r="J322" s="2">
        <f>VLOOKUP($C322,'[10]for slip'!$F:$BC,27,0)</f>
        <v>0</v>
      </c>
      <c r="K322" s="2">
        <f>VLOOKUP($C322,'[10]for slip'!$F:$BC,31,0)</f>
        <v>0</v>
      </c>
      <c r="L322" s="2">
        <f>VLOOKUP($C322,'[10]for slip'!$F:$BC,35,0)</f>
        <v>34354.584590750004</v>
      </c>
      <c r="M322" s="2">
        <f>VLOOKUP($C322,'[10]for slip'!$F:$BC,36,0)</f>
        <v>0</v>
      </c>
      <c r="N322" s="2">
        <f>VLOOKUP($C322,'[10]for slip'!$F:$BC,37,0)</f>
        <v>0</v>
      </c>
      <c r="O322" s="2">
        <f>VLOOKUP($C322,'[10]for slip'!$F:$BC,38,0)</f>
        <v>0</v>
      </c>
      <c r="P322" s="2">
        <f>VLOOKUP($C322,'[10]for slip'!$F:$BC,39,0)</f>
        <v>38000</v>
      </c>
      <c r="Q322" s="2">
        <f>VLOOKUP($C322,'[10]for slip'!$F:$BC,40,0)</f>
        <v>31700</v>
      </c>
      <c r="R322" s="2">
        <f>VLOOKUP($C322,'[10]for slip'!$F:$BC,41,0)</f>
        <v>0</v>
      </c>
      <c r="S322" s="2">
        <f>VLOOKUP($C322,'[10]for slip'!$F:$BC,42,0)</f>
        <v>0</v>
      </c>
      <c r="T322" s="2">
        <f>VLOOKUP($C322,'[10]for slip'!$F:$BC,43,0)</f>
        <v>53430.83</v>
      </c>
      <c r="U322" s="2">
        <f>VLOOKUP($C322,'[10]for slip'!$F:$BC,44,0)</f>
        <v>106861.66</v>
      </c>
      <c r="V322" s="2">
        <f>VLOOKUP($C322,'[10]for slip'!$F:$BC,45,0)</f>
        <v>53430.83</v>
      </c>
      <c r="W322" s="2">
        <f>VLOOKUP($C322,'[10]for slip'!$F:$BC,48,0)</f>
        <v>34354.584590750004</v>
      </c>
    </row>
    <row r="323" spans="1:23" x14ac:dyDescent="0.25">
      <c r="A323" s="1">
        <v>322</v>
      </c>
      <c r="B323" s="2" t="s">
        <v>665</v>
      </c>
      <c r="C323" s="2" t="s">
        <v>666</v>
      </c>
      <c r="D323" s="2" t="str">
        <f>VLOOKUP($C323,'[10]for slip'!$F:$BC,3,0)</f>
        <v>Pelaksana</v>
      </c>
      <c r="E323" s="2" t="str">
        <f>VLOOKUP($C323,'[10]for slip'!$F:$BC,4,0)</f>
        <v>Assembly</v>
      </c>
      <c r="F323" s="2">
        <f>VLOOKUP($C323,'[10]for slip'!$F:$BC,14,0)</f>
        <v>5343083</v>
      </c>
      <c r="G323" s="2">
        <f>VLOOKUP($C323,'[10]for slip'!$F:$BC,15,0)</f>
        <v>0</v>
      </c>
      <c r="H323" s="2">
        <f>VLOOKUP($C323,'[10]for slip'!$F:$BC,16,0)</f>
        <v>0</v>
      </c>
      <c r="I323" s="2">
        <f>VLOOKUP($C323,'[10]for slip'!$F:$BC,17,0)</f>
        <v>0</v>
      </c>
      <c r="J323" s="2">
        <f>VLOOKUP($C323,'[10]for slip'!$F:$BC,27,0)</f>
        <v>0</v>
      </c>
      <c r="K323" s="2">
        <f>VLOOKUP($C323,'[10]for slip'!$F:$BC,31,0)</f>
        <v>0</v>
      </c>
      <c r="L323" s="2">
        <f>VLOOKUP($C323,'[10]for slip'!$F:$BC,35,0)</f>
        <v>0</v>
      </c>
      <c r="M323" s="2">
        <f>VLOOKUP($C323,'[10]for slip'!$F:$BC,36,0)</f>
        <v>0</v>
      </c>
      <c r="N323" s="2">
        <f>VLOOKUP($C323,'[10]for slip'!$F:$BC,37,0)</f>
        <v>0</v>
      </c>
      <c r="O323" s="2">
        <f>VLOOKUP($C323,'[10]for slip'!$F:$BC,38,0)</f>
        <v>0</v>
      </c>
      <c r="P323" s="2">
        <f>VLOOKUP($C323,'[10]for slip'!$F:$BC,39,0)</f>
        <v>38000</v>
      </c>
      <c r="Q323" s="2">
        <f>VLOOKUP($C323,'[10]for slip'!$F:$BC,40,0)</f>
        <v>31700</v>
      </c>
      <c r="R323" s="2">
        <f>VLOOKUP($C323,'[10]for slip'!$F:$BC,41,0)</f>
        <v>0</v>
      </c>
      <c r="S323" s="2">
        <f>VLOOKUP($C323,'[10]for slip'!$F:$BC,42,0)</f>
        <v>0</v>
      </c>
      <c r="T323" s="2">
        <f>VLOOKUP($C323,'[10]for slip'!$F:$BC,43,0)</f>
        <v>47983.1</v>
      </c>
      <c r="U323" s="2">
        <f>VLOOKUP($C323,'[10]for slip'!$F:$BC,44,0)</f>
        <v>106861.66</v>
      </c>
      <c r="V323" s="2">
        <f>VLOOKUP($C323,'[10]for slip'!$F:$BC,45,0)</f>
        <v>53430.83</v>
      </c>
      <c r="W323" s="2">
        <f>VLOOKUP($C323,'[10]for slip'!$F:$BC,48,0)</f>
        <v>0</v>
      </c>
    </row>
    <row r="324" spans="1:23" x14ac:dyDescent="0.25">
      <c r="A324" s="1">
        <v>323</v>
      </c>
      <c r="B324" s="2" t="s">
        <v>667</v>
      </c>
      <c r="C324" s="2" t="s">
        <v>668</v>
      </c>
      <c r="D324" s="2" t="str">
        <f>VLOOKUP($C324,'[10]for slip'!$F:$BC,3,0)</f>
        <v>Pelaksana</v>
      </c>
      <c r="E324" s="2" t="str">
        <f>VLOOKUP($C324,'[10]for slip'!$F:$BC,4,0)</f>
        <v>Assembly</v>
      </c>
      <c r="F324" s="2">
        <f>VLOOKUP($C324,'[10]for slip'!$F:$BC,14,0)</f>
        <v>5343083</v>
      </c>
      <c r="G324" s="2">
        <f>VLOOKUP($C324,'[10]for slip'!$F:$BC,15,0)</f>
        <v>0</v>
      </c>
      <c r="H324" s="2">
        <f>VLOOKUP($C324,'[10]for slip'!$F:$BC,16,0)</f>
        <v>0</v>
      </c>
      <c r="I324" s="2">
        <f>VLOOKUP($C324,'[10]for slip'!$F:$BC,17,0)</f>
        <v>0</v>
      </c>
      <c r="J324" s="2">
        <f>VLOOKUP($C324,'[10]for slip'!$F:$BC,27,0)</f>
        <v>0</v>
      </c>
      <c r="K324" s="2">
        <f>VLOOKUP($C324,'[10]for slip'!$F:$BC,31,0)</f>
        <v>0</v>
      </c>
      <c r="L324" s="2">
        <f>VLOOKUP($C324,'[10]for slip'!$F:$BC,35,0)</f>
        <v>34354.584590750004</v>
      </c>
      <c r="M324" s="2">
        <f>VLOOKUP($C324,'[10]for slip'!$F:$BC,36,0)</f>
        <v>0</v>
      </c>
      <c r="N324" s="2">
        <f>VLOOKUP($C324,'[10]for slip'!$F:$BC,37,0)</f>
        <v>0</v>
      </c>
      <c r="O324" s="2">
        <f>VLOOKUP($C324,'[10]for slip'!$F:$BC,38,0)</f>
        <v>0</v>
      </c>
      <c r="P324" s="2">
        <f>VLOOKUP($C324,'[10]for slip'!$F:$BC,39,0)</f>
        <v>38000</v>
      </c>
      <c r="Q324" s="2">
        <f>VLOOKUP($C324,'[10]for slip'!$F:$BC,40,0)</f>
        <v>31700</v>
      </c>
      <c r="R324" s="2">
        <f>VLOOKUP($C324,'[10]for slip'!$F:$BC,41,0)</f>
        <v>0</v>
      </c>
      <c r="S324" s="2">
        <f>VLOOKUP($C324,'[10]for slip'!$F:$BC,42,0)</f>
        <v>0</v>
      </c>
      <c r="T324" s="2">
        <f>VLOOKUP($C324,'[10]for slip'!$F:$BC,43,0)</f>
        <v>53430.83</v>
      </c>
      <c r="U324" s="2">
        <f>VLOOKUP($C324,'[10]for slip'!$F:$BC,44,0)</f>
        <v>106861.66</v>
      </c>
      <c r="V324" s="2">
        <f>VLOOKUP($C324,'[10]for slip'!$F:$BC,45,0)</f>
        <v>53430.83</v>
      </c>
      <c r="W324" s="2">
        <f>VLOOKUP($C324,'[10]for slip'!$F:$BC,48,0)</f>
        <v>34354.584590750004</v>
      </c>
    </row>
    <row r="325" spans="1:23" x14ac:dyDescent="0.25">
      <c r="A325" s="1">
        <v>324</v>
      </c>
      <c r="B325" s="2" t="s">
        <v>669</v>
      </c>
      <c r="C325" s="2" t="s">
        <v>670</v>
      </c>
      <c r="D325" s="2" t="str">
        <f>VLOOKUP($C325,'[10]for slip'!$F:$BC,3,0)</f>
        <v>Pelaksana</v>
      </c>
      <c r="E325" s="2" t="str">
        <f>VLOOKUP($C325,'[10]for slip'!$F:$BC,4,0)</f>
        <v>Assembly</v>
      </c>
      <c r="F325" s="2">
        <f>VLOOKUP($C325,'[10]for slip'!$F:$BC,14,0)</f>
        <v>5343083</v>
      </c>
      <c r="G325" s="2">
        <f>VLOOKUP($C325,'[10]for slip'!$F:$BC,15,0)</f>
        <v>0</v>
      </c>
      <c r="H325" s="2">
        <f>VLOOKUP($C325,'[10]for slip'!$F:$BC,16,0)</f>
        <v>0</v>
      </c>
      <c r="I325" s="2">
        <f>VLOOKUP($C325,'[10]for slip'!$F:$BC,17,0)</f>
        <v>0</v>
      </c>
      <c r="J325" s="2">
        <f>VLOOKUP($C325,'[10]for slip'!$F:$BC,27,0)</f>
        <v>0</v>
      </c>
      <c r="K325" s="2">
        <f>VLOOKUP($C325,'[10]for slip'!$F:$BC,31,0)</f>
        <v>0</v>
      </c>
      <c r="L325" s="2">
        <f>VLOOKUP($C325,'[10]for slip'!$F:$BC,35,0)</f>
        <v>22269.017090749989</v>
      </c>
      <c r="M325" s="2">
        <f>VLOOKUP($C325,'[10]for slip'!$F:$BC,36,0)</f>
        <v>0</v>
      </c>
      <c r="N325" s="2">
        <f>VLOOKUP($C325,'[10]for slip'!$F:$BC,37,0)</f>
        <v>1</v>
      </c>
      <c r="O325" s="2">
        <f>VLOOKUP($C325,'[10]for slip'!$F:$BC,38,0)</f>
        <v>254433</v>
      </c>
      <c r="P325" s="2">
        <f>VLOOKUP($C325,'[10]for slip'!$F:$BC,39,0)</f>
        <v>38000</v>
      </c>
      <c r="Q325" s="2">
        <f>VLOOKUP($C325,'[10]for slip'!$F:$BC,40,0)</f>
        <v>31700</v>
      </c>
      <c r="R325" s="2">
        <f>VLOOKUP($C325,'[10]for slip'!$F:$BC,41,0)</f>
        <v>0</v>
      </c>
      <c r="S325" s="2">
        <f>VLOOKUP($C325,'[10]for slip'!$F:$BC,42,0)</f>
        <v>0</v>
      </c>
      <c r="T325" s="2">
        <f>VLOOKUP($C325,'[10]for slip'!$F:$BC,43,0)</f>
        <v>53430.83</v>
      </c>
      <c r="U325" s="2">
        <f>VLOOKUP($C325,'[10]for slip'!$F:$BC,44,0)</f>
        <v>106861.66</v>
      </c>
      <c r="V325" s="2">
        <f>VLOOKUP($C325,'[10]for slip'!$F:$BC,45,0)</f>
        <v>53430.83</v>
      </c>
      <c r="W325" s="2">
        <f>VLOOKUP($C325,'[10]for slip'!$F:$BC,48,0)</f>
        <v>22269.017090749989</v>
      </c>
    </row>
    <row r="326" spans="1:23" x14ac:dyDescent="0.25">
      <c r="A326" s="1">
        <v>325</v>
      </c>
      <c r="B326" s="2" t="s">
        <v>671</v>
      </c>
      <c r="C326" s="2" t="s">
        <v>672</v>
      </c>
      <c r="D326" s="2" t="str">
        <f>VLOOKUP($C326,'[10]for slip'!$F:$BC,3,0)</f>
        <v>Pelaksana</v>
      </c>
      <c r="E326" s="2" t="str">
        <f>VLOOKUP($C326,'[10]for slip'!$F:$BC,4,0)</f>
        <v>Assembly</v>
      </c>
      <c r="F326" s="2">
        <f>VLOOKUP($C326,'[10]for slip'!$F:$BC,14,0)</f>
        <v>5343083</v>
      </c>
      <c r="G326" s="2">
        <f>VLOOKUP($C326,'[10]for slip'!$F:$BC,15,0)</f>
        <v>0</v>
      </c>
      <c r="H326" s="2">
        <f>VLOOKUP($C326,'[10]for slip'!$F:$BC,16,0)</f>
        <v>0</v>
      </c>
      <c r="I326" s="2">
        <f>VLOOKUP($C326,'[10]for slip'!$F:$BC,17,0)</f>
        <v>0</v>
      </c>
      <c r="J326" s="2">
        <f>VLOOKUP($C326,'[10]for slip'!$F:$BC,27,0)</f>
        <v>0</v>
      </c>
      <c r="K326" s="2">
        <f>VLOOKUP($C326,'[10]for slip'!$F:$BC,31,0)</f>
        <v>0</v>
      </c>
      <c r="L326" s="2">
        <f>VLOOKUP($C326,'[10]for slip'!$F:$BC,35,0)</f>
        <v>0</v>
      </c>
      <c r="M326" s="2">
        <f>VLOOKUP($C326,'[10]for slip'!$F:$BC,36,0)</f>
        <v>0</v>
      </c>
      <c r="N326" s="2">
        <f>VLOOKUP($C326,'[10]for slip'!$F:$BC,37,0)</f>
        <v>0</v>
      </c>
      <c r="O326" s="2">
        <f>VLOOKUP($C326,'[10]for slip'!$F:$BC,38,0)</f>
        <v>0</v>
      </c>
      <c r="P326" s="2">
        <f>VLOOKUP($C326,'[10]for slip'!$F:$BC,39,0)</f>
        <v>38000</v>
      </c>
      <c r="Q326" s="2">
        <f>VLOOKUP($C326,'[10]for slip'!$F:$BC,40,0)</f>
        <v>31700</v>
      </c>
      <c r="R326" s="2">
        <f>VLOOKUP($C326,'[10]for slip'!$F:$BC,41,0)</f>
        <v>0</v>
      </c>
      <c r="S326" s="2">
        <f>VLOOKUP($C326,'[10]for slip'!$F:$BC,42,0)</f>
        <v>0</v>
      </c>
      <c r="T326" s="2">
        <f>VLOOKUP($C326,'[10]for slip'!$F:$BC,43,0)</f>
        <v>53430.83</v>
      </c>
      <c r="U326" s="2">
        <f>VLOOKUP($C326,'[10]for slip'!$F:$BC,44,0)</f>
        <v>106861.66</v>
      </c>
      <c r="V326" s="2">
        <f>VLOOKUP($C326,'[10]for slip'!$F:$BC,45,0)</f>
        <v>53430.83</v>
      </c>
      <c r="W326" s="2">
        <f>VLOOKUP($C326,'[10]for slip'!$F:$BC,48,0)</f>
        <v>0</v>
      </c>
    </row>
    <row r="327" spans="1:23" x14ac:dyDescent="0.25">
      <c r="A327" s="1">
        <v>326</v>
      </c>
      <c r="B327" s="2" t="s">
        <v>673</v>
      </c>
      <c r="C327" s="2" t="s">
        <v>674</v>
      </c>
      <c r="D327" s="2" t="str">
        <f>VLOOKUP($C327,'[10]for slip'!$F:$BC,3,0)</f>
        <v>Pelaksana</v>
      </c>
      <c r="E327" s="2" t="str">
        <f>VLOOKUP($C327,'[10]for slip'!$F:$BC,4,0)</f>
        <v>Assembly</v>
      </c>
      <c r="F327" s="2">
        <f>VLOOKUP($C327,'[10]for slip'!$F:$BC,14,0)</f>
        <v>5343083</v>
      </c>
      <c r="G327" s="2">
        <f>VLOOKUP($C327,'[10]for slip'!$F:$BC,15,0)</f>
        <v>0</v>
      </c>
      <c r="H327" s="2">
        <f>VLOOKUP($C327,'[10]for slip'!$F:$BC,16,0)</f>
        <v>0</v>
      </c>
      <c r="I327" s="2">
        <f>VLOOKUP($C327,'[10]for slip'!$F:$BC,17,0)</f>
        <v>0</v>
      </c>
      <c r="J327" s="2">
        <f>VLOOKUP($C327,'[10]for slip'!$F:$BC,27,0)</f>
        <v>0</v>
      </c>
      <c r="K327" s="2">
        <f>VLOOKUP($C327,'[10]for slip'!$F:$BC,31,0)</f>
        <v>0</v>
      </c>
      <c r="L327" s="2">
        <f>VLOOKUP($C327,'[10]for slip'!$F:$BC,35,0)</f>
        <v>34354.584590750004</v>
      </c>
      <c r="M327" s="2">
        <f>VLOOKUP($C327,'[10]for slip'!$F:$BC,36,0)</f>
        <v>0</v>
      </c>
      <c r="N327" s="2">
        <f>VLOOKUP($C327,'[10]for slip'!$F:$BC,37,0)</f>
        <v>0</v>
      </c>
      <c r="O327" s="2">
        <f>VLOOKUP($C327,'[10]for slip'!$F:$BC,38,0)</f>
        <v>0</v>
      </c>
      <c r="P327" s="2">
        <f>VLOOKUP($C327,'[10]for slip'!$F:$BC,39,0)</f>
        <v>38000</v>
      </c>
      <c r="Q327" s="2">
        <f>VLOOKUP($C327,'[10]for slip'!$F:$BC,40,0)</f>
        <v>31700</v>
      </c>
      <c r="R327" s="2">
        <f>VLOOKUP($C327,'[10]for slip'!$F:$BC,41,0)</f>
        <v>0</v>
      </c>
      <c r="S327" s="2">
        <f>VLOOKUP($C327,'[10]for slip'!$F:$BC,42,0)</f>
        <v>0</v>
      </c>
      <c r="T327" s="2">
        <f>VLOOKUP($C327,'[10]for slip'!$F:$BC,43,0)</f>
        <v>53430.83</v>
      </c>
      <c r="U327" s="2">
        <f>VLOOKUP($C327,'[10]for slip'!$F:$BC,44,0)</f>
        <v>106861.66</v>
      </c>
      <c r="V327" s="2">
        <f>VLOOKUP($C327,'[10]for slip'!$F:$BC,45,0)</f>
        <v>53430.83</v>
      </c>
      <c r="W327" s="2">
        <f>VLOOKUP($C327,'[10]for slip'!$F:$BC,48,0)</f>
        <v>34354.584590750004</v>
      </c>
    </row>
    <row r="328" spans="1:23" x14ac:dyDescent="0.25">
      <c r="A328" s="1">
        <v>327</v>
      </c>
      <c r="B328" s="2" t="s">
        <v>675</v>
      </c>
      <c r="C328" s="2" t="s">
        <v>676</v>
      </c>
      <c r="D328" s="2" t="str">
        <f>VLOOKUP($C328,'[10]for slip'!$F:$BC,3,0)</f>
        <v>Pelaksana</v>
      </c>
      <c r="E328" s="2" t="str">
        <f>VLOOKUP($C328,'[10]for slip'!$F:$BC,4,0)</f>
        <v>Assembly</v>
      </c>
      <c r="F328" s="2">
        <f>VLOOKUP($C328,'[10]for slip'!$F:$BC,14,0)</f>
        <v>5343083</v>
      </c>
      <c r="G328" s="2">
        <f>VLOOKUP($C328,'[10]for slip'!$F:$BC,15,0)</f>
        <v>0</v>
      </c>
      <c r="H328" s="2">
        <f>VLOOKUP($C328,'[10]for slip'!$F:$BC,16,0)</f>
        <v>0</v>
      </c>
      <c r="I328" s="2">
        <f>VLOOKUP($C328,'[10]for slip'!$F:$BC,17,0)</f>
        <v>0</v>
      </c>
      <c r="J328" s="2">
        <f>VLOOKUP($C328,'[10]for slip'!$F:$BC,27,0)</f>
        <v>0</v>
      </c>
      <c r="K328" s="2">
        <f>VLOOKUP($C328,'[10]for slip'!$F:$BC,31,0)</f>
        <v>0</v>
      </c>
      <c r="L328" s="2">
        <f>VLOOKUP($C328,'[10]for slip'!$F:$BC,35,0)</f>
        <v>34354.584590750004</v>
      </c>
      <c r="M328" s="2">
        <f>VLOOKUP($C328,'[10]for slip'!$F:$BC,36,0)</f>
        <v>0</v>
      </c>
      <c r="N328" s="2">
        <f>VLOOKUP($C328,'[10]for slip'!$F:$BC,37,0)</f>
        <v>0</v>
      </c>
      <c r="O328" s="2">
        <f>VLOOKUP($C328,'[10]for slip'!$F:$BC,38,0)</f>
        <v>0</v>
      </c>
      <c r="P328" s="2">
        <f>VLOOKUP($C328,'[10]for slip'!$F:$BC,39,0)</f>
        <v>38000</v>
      </c>
      <c r="Q328" s="2">
        <f>VLOOKUP($C328,'[10]for slip'!$F:$BC,40,0)</f>
        <v>31700</v>
      </c>
      <c r="R328" s="2">
        <f>VLOOKUP($C328,'[10]for slip'!$F:$BC,41,0)</f>
        <v>0</v>
      </c>
      <c r="S328" s="2">
        <f>VLOOKUP($C328,'[10]for slip'!$F:$BC,42,0)</f>
        <v>0</v>
      </c>
      <c r="T328" s="2">
        <f>VLOOKUP($C328,'[10]for slip'!$F:$BC,43,0)</f>
        <v>53430.83</v>
      </c>
      <c r="U328" s="2">
        <f>VLOOKUP($C328,'[10]for slip'!$F:$BC,44,0)</f>
        <v>106861.66</v>
      </c>
      <c r="V328" s="2">
        <f>VLOOKUP($C328,'[10]for slip'!$F:$BC,45,0)</f>
        <v>53430.83</v>
      </c>
      <c r="W328" s="2">
        <f>VLOOKUP($C328,'[10]for slip'!$F:$BC,48,0)</f>
        <v>34354.584590750004</v>
      </c>
    </row>
    <row r="329" spans="1:23" x14ac:dyDescent="0.25">
      <c r="A329" s="1">
        <v>328</v>
      </c>
      <c r="B329" s="2" t="s">
        <v>677</v>
      </c>
      <c r="C329" s="2" t="s">
        <v>678</v>
      </c>
      <c r="D329" s="2" t="str">
        <f>VLOOKUP($C329,'[10]for slip'!$F:$BC,3,0)</f>
        <v>Pelaksana</v>
      </c>
      <c r="E329" s="2" t="str">
        <f>VLOOKUP($C329,'[10]for slip'!$F:$BC,4,0)</f>
        <v>Assembly</v>
      </c>
      <c r="F329" s="2">
        <f>VLOOKUP($C329,'[10]for slip'!$F:$BC,14,0)</f>
        <v>5343083</v>
      </c>
      <c r="G329" s="2">
        <f>VLOOKUP($C329,'[10]for slip'!$F:$BC,15,0)</f>
        <v>0</v>
      </c>
      <c r="H329" s="2">
        <f>VLOOKUP($C329,'[10]for slip'!$F:$BC,16,0)</f>
        <v>0</v>
      </c>
      <c r="I329" s="2">
        <f>VLOOKUP($C329,'[10]for slip'!$F:$BC,17,0)</f>
        <v>0</v>
      </c>
      <c r="J329" s="2">
        <f>VLOOKUP($C329,'[10]for slip'!$F:$BC,27,0)</f>
        <v>0</v>
      </c>
      <c r="K329" s="2">
        <f>VLOOKUP($C329,'[10]for slip'!$F:$BC,31,0)</f>
        <v>0</v>
      </c>
      <c r="L329" s="2">
        <f>VLOOKUP($C329,'[10]for slip'!$F:$BC,35,0)</f>
        <v>0</v>
      </c>
      <c r="M329" s="2">
        <f>VLOOKUP($C329,'[10]for slip'!$F:$BC,36,0)</f>
        <v>0</v>
      </c>
      <c r="N329" s="2">
        <f>VLOOKUP($C329,'[10]for slip'!$F:$BC,37,0)</f>
        <v>0</v>
      </c>
      <c r="O329" s="2">
        <f>VLOOKUP($C329,'[10]for slip'!$F:$BC,38,0)</f>
        <v>0</v>
      </c>
      <c r="P329" s="2">
        <f>VLOOKUP($C329,'[10]for slip'!$F:$BC,39,0)</f>
        <v>38000</v>
      </c>
      <c r="Q329" s="2">
        <f>VLOOKUP($C329,'[10]for slip'!$F:$BC,40,0)</f>
        <v>31700</v>
      </c>
      <c r="R329" s="2">
        <f>VLOOKUP($C329,'[10]for slip'!$F:$BC,41,0)</f>
        <v>0</v>
      </c>
      <c r="S329" s="2">
        <f>VLOOKUP($C329,'[10]for slip'!$F:$BC,42,0)</f>
        <v>0</v>
      </c>
      <c r="T329" s="2">
        <f>VLOOKUP($C329,'[10]for slip'!$F:$BC,43,0)</f>
        <v>53430.83</v>
      </c>
      <c r="U329" s="2">
        <f>VLOOKUP($C329,'[10]for slip'!$F:$BC,44,0)</f>
        <v>106861.66</v>
      </c>
      <c r="V329" s="2">
        <f>VLOOKUP($C329,'[10]for slip'!$F:$BC,45,0)</f>
        <v>53430.83</v>
      </c>
      <c r="W329" s="2">
        <f>VLOOKUP($C329,'[10]for slip'!$F:$BC,48,0)</f>
        <v>0</v>
      </c>
    </row>
    <row r="330" spans="1:23" x14ac:dyDescent="0.25">
      <c r="A330" s="1">
        <v>329</v>
      </c>
      <c r="B330" s="2" t="s">
        <v>679</v>
      </c>
      <c r="C330" s="2" t="s">
        <v>680</v>
      </c>
      <c r="D330" s="2" t="str">
        <f>VLOOKUP($C330,'[10]for slip'!$F:$BC,3,0)</f>
        <v>Pelaksana</v>
      </c>
      <c r="E330" s="2" t="str">
        <f>VLOOKUP($C330,'[10]for slip'!$F:$BC,4,0)</f>
        <v>Assembly</v>
      </c>
      <c r="F330" s="2">
        <f>VLOOKUP($C330,'[10]for slip'!$F:$BC,14,0)</f>
        <v>5343083</v>
      </c>
      <c r="G330" s="2">
        <f>VLOOKUP($C330,'[10]for slip'!$F:$BC,15,0)</f>
        <v>0</v>
      </c>
      <c r="H330" s="2">
        <f>VLOOKUP($C330,'[10]for slip'!$F:$BC,16,0)</f>
        <v>0</v>
      </c>
      <c r="I330" s="2">
        <f>VLOOKUP($C330,'[10]for slip'!$F:$BC,17,0)</f>
        <v>0</v>
      </c>
      <c r="J330" s="2">
        <f>VLOOKUP($C330,'[10]for slip'!$F:$BC,27,0)</f>
        <v>0</v>
      </c>
      <c r="K330" s="2">
        <f>VLOOKUP($C330,'[10]for slip'!$F:$BC,31,0)</f>
        <v>0</v>
      </c>
      <c r="L330" s="2">
        <f>VLOOKUP($C330,'[10]for slip'!$F:$BC,35,0)</f>
        <v>34354.584590750004</v>
      </c>
      <c r="M330" s="2">
        <f>VLOOKUP($C330,'[10]for slip'!$F:$BC,36,0)</f>
        <v>0</v>
      </c>
      <c r="N330" s="2">
        <f>VLOOKUP($C330,'[10]for slip'!$F:$BC,37,0)</f>
        <v>0</v>
      </c>
      <c r="O330" s="2">
        <f>VLOOKUP($C330,'[10]for slip'!$F:$BC,38,0)</f>
        <v>0</v>
      </c>
      <c r="P330" s="2">
        <f>VLOOKUP($C330,'[10]for slip'!$F:$BC,39,0)</f>
        <v>38000</v>
      </c>
      <c r="Q330" s="2">
        <f>VLOOKUP($C330,'[10]for slip'!$F:$BC,40,0)</f>
        <v>31700</v>
      </c>
      <c r="R330" s="2">
        <f>VLOOKUP($C330,'[10]for slip'!$F:$BC,41,0)</f>
        <v>0</v>
      </c>
      <c r="S330" s="2">
        <f>VLOOKUP($C330,'[10]for slip'!$F:$BC,42,0)</f>
        <v>0</v>
      </c>
      <c r="T330" s="2">
        <f>VLOOKUP($C330,'[10]for slip'!$F:$BC,43,0)</f>
        <v>53430.83</v>
      </c>
      <c r="U330" s="2">
        <f>VLOOKUP($C330,'[10]for slip'!$F:$BC,44,0)</f>
        <v>106861.66</v>
      </c>
      <c r="V330" s="2">
        <f>VLOOKUP($C330,'[10]for slip'!$F:$BC,45,0)</f>
        <v>53430.83</v>
      </c>
      <c r="W330" s="2">
        <f>VLOOKUP($C330,'[10]for slip'!$F:$BC,48,0)</f>
        <v>34354.584590750004</v>
      </c>
    </row>
    <row r="331" spans="1:23" x14ac:dyDescent="0.25">
      <c r="A331" s="1">
        <v>330</v>
      </c>
      <c r="B331" s="2" t="s">
        <v>681</v>
      </c>
      <c r="C331" s="2" t="s">
        <v>682</v>
      </c>
      <c r="D331" s="2" t="str">
        <f>VLOOKUP($C331,'[10]for slip'!$F:$BC,3,0)</f>
        <v>Pelaksana</v>
      </c>
      <c r="E331" s="2" t="str">
        <f>VLOOKUP($C331,'[10]for slip'!$F:$BC,4,0)</f>
        <v>Assembly</v>
      </c>
      <c r="F331" s="2">
        <f>VLOOKUP($C331,'[10]for slip'!$F:$BC,14,0)</f>
        <v>5343083</v>
      </c>
      <c r="G331" s="2">
        <f>VLOOKUP($C331,'[10]for slip'!$F:$BC,15,0)</f>
        <v>0</v>
      </c>
      <c r="H331" s="2">
        <f>VLOOKUP($C331,'[10]for slip'!$F:$BC,16,0)</f>
        <v>0</v>
      </c>
      <c r="I331" s="2">
        <f>VLOOKUP($C331,'[10]for slip'!$F:$BC,17,0)</f>
        <v>0</v>
      </c>
      <c r="J331" s="2">
        <f>VLOOKUP($C331,'[10]for slip'!$F:$BC,27,0)</f>
        <v>0</v>
      </c>
      <c r="K331" s="2">
        <f>VLOOKUP($C331,'[10]for slip'!$F:$BC,31,0)</f>
        <v>0</v>
      </c>
      <c r="L331" s="2">
        <f>VLOOKUP($C331,'[10]for slip'!$F:$BC,35,0)</f>
        <v>0</v>
      </c>
      <c r="M331" s="2">
        <f>VLOOKUP($C331,'[10]for slip'!$F:$BC,36,0)</f>
        <v>0</v>
      </c>
      <c r="N331" s="2">
        <f>VLOOKUP($C331,'[10]for slip'!$F:$BC,37,0)</f>
        <v>0</v>
      </c>
      <c r="O331" s="2">
        <f>VLOOKUP($C331,'[10]for slip'!$F:$BC,38,0)</f>
        <v>0</v>
      </c>
      <c r="P331" s="2">
        <f>VLOOKUP($C331,'[10]for slip'!$F:$BC,39,0)</f>
        <v>38000</v>
      </c>
      <c r="Q331" s="2">
        <f>VLOOKUP($C331,'[10]for slip'!$F:$BC,40,0)</f>
        <v>31700</v>
      </c>
      <c r="R331" s="2">
        <f>VLOOKUP($C331,'[10]for slip'!$F:$BC,41,0)</f>
        <v>0</v>
      </c>
      <c r="S331" s="2">
        <f>VLOOKUP($C331,'[10]for slip'!$F:$BC,42,0)</f>
        <v>0</v>
      </c>
      <c r="T331" s="2">
        <f>VLOOKUP($C331,'[10]for slip'!$F:$BC,43,0)</f>
        <v>53430.83</v>
      </c>
      <c r="U331" s="2">
        <f>VLOOKUP($C331,'[10]for slip'!$F:$BC,44,0)</f>
        <v>106861.66</v>
      </c>
      <c r="V331" s="2">
        <f>VLOOKUP($C331,'[10]for slip'!$F:$BC,45,0)</f>
        <v>53430.83</v>
      </c>
      <c r="W331" s="2">
        <f>VLOOKUP($C331,'[10]for slip'!$F:$BC,48,0)</f>
        <v>0</v>
      </c>
    </row>
    <row r="332" spans="1:23" x14ac:dyDescent="0.25">
      <c r="A332" s="1">
        <v>331</v>
      </c>
      <c r="B332" s="2" t="s">
        <v>683</v>
      </c>
      <c r="C332" s="2" t="s">
        <v>684</v>
      </c>
      <c r="D332" s="2" t="str">
        <f>VLOOKUP($C332,'[10]for slip'!$F:$BC,3,0)</f>
        <v>Pelaksana</v>
      </c>
      <c r="E332" s="2" t="str">
        <f>VLOOKUP($C332,'[10]for slip'!$F:$BC,4,0)</f>
        <v>Assembly</v>
      </c>
      <c r="F332" s="2">
        <f>VLOOKUP($C332,'[10]for slip'!$F:$BC,14,0)</f>
        <v>5343083</v>
      </c>
      <c r="G332" s="2">
        <f>VLOOKUP($C332,'[10]for slip'!$F:$BC,15,0)</f>
        <v>0</v>
      </c>
      <c r="H332" s="2">
        <f>VLOOKUP($C332,'[10]for slip'!$F:$BC,16,0)</f>
        <v>0</v>
      </c>
      <c r="I332" s="2">
        <f>VLOOKUP($C332,'[10]for slip'!$F:$BC,17,0)</f>
        <v>0</v>
      </c>
      <c r="J332" s="2">
        <f>VLOOKUP($C332,'[10]for slip'!$F:$BC,27,0)</f>
        <v>0</v>
      </c>
      <c r="K332" s="2">
        <f>VLOOKUP($C332,'[10]for slip'!$F:$BC,31,0)</f>
        <v>0</v>
      </c>
      <c r="L332" s="2">
        <f>VLOOKUP($C332,'[10]for slip'!$F:$BC,35,0)</f>
        <v>0</v>
      </c>
      <c r="M332" s="2">
        <f>VLOOKUP($C332,'[10]for slip'!$F:$BC,36,0)</f>
        <v>0</v>
      </c>
      <c r="N332" s="2">
        <f>VLOOKUP($C332,'[10]for slip'!$F:$BC,37,0)</f>
        <v>0</v>
      </c>
      <c r="O332" s="2">
        <f>VLOOKUP($C332,'[10]for slip'!$F:$BC,38,0)</f>
        <v>0</v>
      </c>
      <c r="P332" s="2">
        <f>VLOOKUP($C332,'[10]for slip'!$F:$BC,39,0)</f>
        <v>38000</v>
      </c>
      <c r="Q332" s="2">
        <f>VLOOKUP($C332,'[10]for slip'!$F:$BC,40,0)</f>
        <v>31700</v>
      </c>
      <c r="R332" s="2">
        <f>VLOOKUP($C332,'[10]for slip'!$F:$BC,41,0)</f>
        <v>0</v>
      </c>
      <c r="S332" s="2">
        <f>VLOOKUP($C332,'[10]for slip'!$F:$BC,42,0)</f>
        <v>0</v>
      </c>
      <c r="T332" s="2">
        <f>VLOOKUP($C332,'[10]for slip'!$F:$BC,43,0)</f>
        <v>53430.83</v>
      </c>
      <c r="U332" s="2">
        <f>VLOOKUP($C332,'[10]for slip'!$F:$BC,44,0)</f>
        <v>106861.66</v>
      </c>
      <c r="V332" s="2">
        <f>VLOOKUP($C332,'[10]for slip'!$F:$BC,45,0)</f>
        <v>53430.83</v>
      </c>
      <c r="W332" s="2">
        <f>VLOOKUP($C332,'[10]for slip'!$F:$BC,48,0)</f>
        <v>0</v>
      </c>
    </row>
    <row r="333" spans="1:23" x14ac:dyDescent="0.25">
      <c r="A333" s="1">
        <v>332</v>
      </c>
      <c r="B333" s="2" t="s">
        <v>685</v>
      </c>
      <c r="C333" s="2" t="s">
        <v>686</v>
      </c>
      <c r="D333" s="2" t="str">
        <f>VLOOKUP($C333,'[10]for slip'!$F:$BC,3,0)</f>
        <v>Pelaksana</v>
      </c>
      <c r="E333" s="2" t="str">
        <f>VLOOKUP($C333,'[10]for slip'!$F:$BC,4,0)</f>
        <v>Assembly</v>
      </c>
      <c r="F333" s="2">
        <f>VLOOKUP($C333,'[10]for slip'!$F:$BC,14,0)</f>
        <v>5343083</v>
      </c>
      <c r="G333" s="2">
        <f>VLOOKUP($C333,'[10]for slip'!$F:$BC,15,0)</f>
        <v>0</v>
      </c>
      <c r="H333" s="2">
        <f>VLOOKUP($C333,'[10]for slip'!$F:$BC,16,0)</f>
        <v>0</v>
      </c>
      <c r="I333" s="2">
        <f>VLOOKUP($C333,'[10]for slip'!$F:$BC,17,0)</f>
        <v>0</v>
      </c>
      <c r="J333" s="2">
        <f>VLOOKUP($C333,'[10]for slip'!$F:$BC,27,0)</f>
        <v>0</v>
      </c>
      <c r="K333" s="2">
        <f>VLOOKUP($C333,'[10]for slip'!$F:$BC,31,0)</f>
        <v>0</v>
      </c>
      <c r="L333" s="2">
        <f>VLOOKUP($C333,'[10]for slip'!$F:$BC,35,0)</f>
        <v>0</v>
      </c>
      <c r="M333" s="2">
        <f>VLOOKUP($C333,'[10]for slip'!$F:$BC,36,0)</f>
        <v>0</v>
      </c>
      <c r="N333" s="2">
        <f>VLOOKUP($C333,'[10]for slip'!$F:$BC,37,0)</f>
        <v>0</v>
      </c>
      <c r="O333" s="2">
        <f>VLOOKUP($C333,'[10]for slip'!$F:$BC,38,0)</f>
        <v>0</v>
      </c>
      <c r="P333" s="2">
        <f>VLOOKUP($C333,'[10]for slip'!$F:$BC,39,0)</f>
        <v>38000</v>
      </c>
      <c r="Q333" s="2">
        <f>VLOOKUP($C333,'[10]for slip'!$F:$BC,40,0)</f>
        <v>31700</v>
      </c>
      <c r="R333" s="2">
        <f>VLOOKUP($C333,'[10]for slip'!$F:$BC,41,0)</f>
        <v>0</v>
      </c>
      <c r="S333" s="2">
        <f>VLOOKUP($C333,'[10]for slip'!$F:$BC,42,0)</f>
        <v>0</v>
      </c>
      <c r="T333" s="2">
        <f>VLOOKUP($C333,'[10]for slip'!$F:$BC,43,0)</f>
        <v>53430.83</v>
      </c>
      <c r="U333" s="2">
        <f>VLOOKUP($C333,'[10]for slip'!$F:$BC,44,0)</f>
        <v>106861.66</v>
      </c>
      <c r="V333" s="2">
        <f>VLOOKUP($C333,'[10]for slip'!$F:$BC,45,0)</f>
        <v>53430.83</v>
      </c>
      <c r="W333" s="2">
        <f>VLOOKUP($C333,'[10]for slip'!$F:$BC,48,0)</f>
        <v>0</v>
      </c>
    </row>
    <row r="334" spans="1:23" x14ac:dyDescent="0.25">
      <c r="A334" s="1">
        <v>333</v>
      </c>
      <c r="B334" s="2" t="s">
        <v>687</v>
      </c>
      <c r="C334" s="2" t="s">
        <v>688</v>
      </c>
      <c r="D334" s="2" t="str">
        <f>VLOOKUP($C334,'[10]for slip'!$F:$BC,3,0)</f>
        <v>Pelaksana</v>
      </c>
      <c r="E334" s="2" t="str">
        <f>VLOOKUP($C334,'[10]for slip'!$F:$BC,4,0)</f>
        <v>Assembly</v>
      </c>
      <c r="F334" s="2">
        <f>VLOOKUP($C334,'[10]for slip'!$F:$BC,14,0)</f>
        <v>5343083</v>
      </c>
      <c r="G334" s="2">
        <f>VLOOKUP($C334,'[10]for slip'!$F:$BC,15,0)</f>
        <v>0</v>
      </c>
      <c r="H334" s="2">
        <f>VLOOKUP($C334,'[10]for slip'!$F:$BC,16,0)</f>
        <v>0</v>
      </c>
      <c r="I334" s="2">
        <f>VLOOKUP($C334,'[10]for slip'!$F:$BC,17,0)</f>
        <v>0</v>
      </c>
      <c r="J334" s="2">
        <f>VLOOKUP($C334,'[10]for slip'!$F:$BC,27,0)</f>
        <v>0</v>
      </c>
      <c r="K334" s="2">
        <f>VLOOKUP($C334,'[10]for slip'!$F:$BC,31,0)</f>
        <v>0</v>
      </c>
      <c r="L334" s="2">
        <f>VLOOKUP($C334,'[10]for slip'!$F:$BC,35,0)</f>
        <v>0</v>
      </c>
      <c r="M334" s="2">
        <f>VLOOKUP($C334,'[10]for slip'!$F:$BC,36,0)</f>
        <v>0</v>
      </c>
      <c r="N334" s="2">
        <f>VLOOKUP($C334,'[10]for slip'!$F:$BC,37,0)</f>
        <v>0</v>
      </c>
      <c r="O334" s="2">
        <f>VLOOKUP($C334,'[10]for slip'!$F:$BC,38,0)</f>
        <v>0</v>
      </c>
      <c r="P334" s="2">
        <f>VLOOKUP($C334,'[10]for slip'!$F:$BC,39,0)</f>
        <v>38000</v>
      </c>
      <c r="Q334" s="2">
        <f>VLOOKUP($C334,'[10]for slip'!$F:$BC,40,0)</f>
        <v>31700</v>
      </c>
      <c r="R334" s="2">
        <f>VLOOKUP($C334,'[10]for slip'!$F:$BC,41,0)</f>
        <v>0</v>
      </c>
      <c r="S334" s="2">
        <f>VLOOKUP($C334,'[10]for slip'!$F:$BC,42,0)</f>
        <v>0</v>
      </c>
      <c r="T334" s="2">
        <f>VLOOKUP($C334,'[10]for slip'!$F:$BC,43,0)</f>
        <v>53430.83</v>
      </c>
      <c r="U334" s="2">
        <f>VLOOKUP($C334,'[10]for slip'!$F:$BC,44,0)</f>
        <v>106861.66</v>
      </c>
      <c r="V334" s="2">
        <f>VLOOKUP($C334,'[10]for slip'!$F:$BC,45,0)</f>
        <v>53430.83</v>
      </c>
      <c r="W334" s="2">
        <f>VLOOKUP($C334,'[10]for slip'!$F:$BC,48,0)</f>
        <v>0</v>
      </c>
    </row>
    <row r="335" spans="1:23" x14ac:dyDescent="0.25">
      <c r="A335" s="1">
        <v>334</v>
      </c>
      <c r="B335" s="2" t="s">
        <v>689</v>
      </c>
      <c r="C335" s="2" t="s">
        <v>690</v>
      </c>
      <c r="D335" s="2" t="str">
        <f>VLOOKUP($C335,'[10]for slip'!$F:$BC,3,0)</f>
        <v>Pelaksana</v>
      </c>
      <c r="E335" s="2" t="str">
        <f>VLOOKUP($C335,'[10]for slip'!$F:$BC,4,0)</f>
        <v>Assembly</v>
      </c>
      <c r="F335" s="2">
        <f>VLOOKUP($C335,'[10]for slip'!$F:$BC,14,0)</f>
        <v>5343083</v>
      </c>
      <c r="G335" s="2">
        <f>VLOOKUP($C335,'[10]for slip'!$F:$BC,15,0)</f>
        <v>0</v>
      </c>
      <c r="H335" s="2">
        <f>VLOOKUP($C335,'[10]for slip'!$F:$BC,16,0)</f>
        <v>0</v>
      </c>
      <c r="I335" s="2">
        <f>VLOOKUP($C335,'[10]for slip'!$F:$BC,17,0)</f>
        <v>0</v>
      </c>
      <c r="J335" s="2">
        <f>VLOOKUP($C335,'[10]for slip'!$F:$BC,27,0)</f>
        <v>0</v>
      </c>
      <c r="K335" s="2">
        <f>VLOOKUP($C335,'[10]for slip'!$F:$BC,31,0)</f>
        <v>0</v>
      </c>
      <c r="L335" s="2">
        <f>VLOOKUP($C335,'[10]for slip'!$F:$BC,35,0)</f>
        <v>0</v>
      </c>
      <c r="M335" s="2">
        <f>VLOOKUP($C335,'[10]for slip'!$F:$BC,36,0)</f>
        <v>0</v>
      </c>
      <c r="N335" s="2">
        <f>VLOOKUP($C335,'[10]for slip'!$F:$BC,37,0)</f>
        <v>18</v>
      </c>
      <c r="O335" s="2">
        <f>VLOOKUP($C335,'[10]for slip'!$F:$BC,38,0)</f>
        <v>4579785</v>
      </c>
      <c r="P335" s="2">
        <f>VLOOKUP($C335,'[10]for slip'!$F:$BC,39,0)</f>
        <v>0</v>
      </c>
      <c r="Q335" s="2">
        <f>VLOOKUP($C335,'[10]for slip'!$F:$BC,40,0)</f>
        <v>0</v>
      </c>
      <c r="R335" s="2">
        <f>VLOOKUP($C335,'[10]for slip'!$F:$BC,41,0)</f>
        <v>0</v>
      </c>
      <c r="S335" s="2">
        <f>VLOOKUP($C335,'[10]for slip'!$F:$BC,42,0)</f>
        <v>10000</v>
      </c>
      <c r="T335" s="2">
        <f>VLOOKUP($C335,'[10]for slip'!$F:$BC,43,0)</f>
        <v>53430.83</v>
      </c>
      <c r="U335" s="2">
        <f>VLOOKUP($C335,'[10]for slip'!$F:$BC,44,0)</f>
        <v>106861.66</v>
      </c>
      <c r="V335" s="2">
        <f>VLOOKUP($C335,'[10]for slip'!$F:$BC,45,0)</f>
        <v>53430.83</v>
      </c>
      <c r="W335" s="2">
        <f>VLOOKUP($C335,'[10]for slip'!$F:$BC,48,0)</f>
        <v>0</v>
      </c>
    </row>
    <row r="336" spans="1:23" x14ac:dyDescent="0.25">
      <c r="A336" s="1">
        <v>335</v>
      </c>
      <c r="B336" s="2" t="s">
        <v>691</v>
      </c>
      <c r="C336" s="2" t="s">
        <v>692</v>
      </c>
      <c r="D336" s="2" t="str">
        <f>VLOOKUP($C336,'[10]for slip'!$F:$BC,3,0)</f>
        <v>Sect Head</v>
      </c>
      <c r="E336" s="2" t="str">
        <f>VLOOKUP($C336,'[10]for slip'!$F:$BC,4,0)</f>
        <v>Quality Control</v>
      </c>
      <c r="F336" s="2">
        <f>VLOOKUP($C336,'[10]for slip'!$F:$BC,14,0)</f>
        <v>6250000</v>
      </c>
      <c r="G336" s="2">
        <f>VLOOKUP($C336,'[10]for slip'!$F:$BC,15,0)</f>
        <v>1500000</v>
      </c>
      <c r="H336" s="2">
        <f>VLOOKUP($C336,'[10]for slip'!$F:$BC,16,0)</f>
        <v>0</v>
      </c>
      <c r="I336" s="2">
        <f>VLOOKUP($C336,'[10]for slip'!$F:$BC,17,0)</f>
        <v>250000</v>
      </c>
      <c r="J336" s="2">
        <f>VLOOKUP($C336,'[10]for slip'!$F:$BC,27,0)</f>
        <v>0</v>
      </c>
      <c r="K336" s="2">
        <f>VLOOKUP($C336,'[10]for slip'!$F:$BC,31,0)</f>
        <v>0</v>
      </c>
      <c r="L336" s="2">
        <f>VLOOKUP($C336,'[10]for slip'!$F:$BC,35,0)</f>
        <v>107072</v>
      </c>
      <c r="M336" s="2">
        <f>VLOOKUP($C336,'[10]for slip'!$F:$BC,36,0)</f>
        <v>0</v>
      </c>
      <c r="N336" s="2">
        <f>VLOOKUP($C336,'[10]for slip'!$F:$BC,37,0)</f>
        <v>0</v>
      </c>
      <c r="O336" s="2">
        <f>VLOOKUP($C336,'[10]for slip'!$F:$BC,38,0)</f>
        <v>0</v>
      </c>
      <c r="P336" s="2">
        <f>VLOOKUP($C336,'[10]for slip'!$F:$BC,39,0)</f>
        <v>0</v>
      </c>
      <c r="Q336" s="2">
        <f>VLOOKUP($C336,'[10]for slip'!$F:$BC,40,0)</f>
        <v>31700</v>
      </c>
      <c r="R336" s="2">
        <f>VLOOKUP($C336,'[10]for slip'!$F:$BC,41,0)</f>
        <v>2613833</v>
      </c>
      <c r="S336" s="2">
        <f>VLOOKUP($C336,'[10]for slip'!$F:$BC,42,0)</f>
        <v>10000</v>
      </c>
      <c r="T336" s="2">
        <f>VLOOKUP($C336,'[10]for slip'!$F:$BC,43,0)</f>
        <v>80000</v>
      </c>
      <c r="U336" s="2">
        <f>VLOOKUP($C336,'[10]for slip'!$F:$BC,44,0)</f>
        <v>160000</v>
      </c>
      <c r="V336" s="2">
        <f>VLOOKUP($C336,'[10]for slip'!$F:$BC,45,0)</f>
        <v>80000</v>
      </c>
      <c r="W336" s="2">
        <f>VLOOKUP($C336,'[10]for slip'!$F:$BC,48,0)</f>
        <v>107072</v>
      </c>
    </row>
    <row r="337" spans="1:23" x14ac:dyDescent="0.25">
      <c r="A337" s="1">
        <v>336</v>
      </c>
      <c r="B337" s="2" t="s">
        <v>693</v>
      </c>
      <c r="C337" s="2" t="s">
        <v>694</v>
      </c>
      <c r="D337" s="2" t="str">
        <f>VLOOKUP($C337,'[10]for slip'!$F:$BC,3,0)</f>
        <v>Sect Head</v>
      </c>
      <c r="E337" s="2" t="str">
        <f>VLOOKUP($C337,'[10]for slip'!$F:$BC,4,0)</f>
        <v>Quality Control</v>
      </c>
      <c r="F337" s="2">
        <f>VLOOKUP($C337,'[10]for slip'!$F:$BC,14,0)</f>
        <v>7300000</v>
      </c>
      <c r="G337" s="2">
        <f>VLOOKUP($C337,'[10]for slip'!$F:$BC,15,0)</f>
        <v>1500000</v>
      </c>
      <c r="H337" s="2">
        <f>VLOOKUP($C337,'[10]for slip'!$F:$BC,16,0)</f>
        <v>300000</v>
      </c>
      <c r="I337" s="2">
        <f>VLOOKUP($C337,'[10]for slip'!$F:$BC,17,0)</f>
        <v>440000</v>
      </c>
      <c r="J337" s="2">
        <f>VLOOKUP($C337,'[10]for slip'!$F:$BC,27,0)</f>
        <v>0</v>
      </c>
      <c r="K337" s="2">
        <f>VLOOKUP($C337,'[10]for slip'!$F:$BC,31,0)</f>
        <v>0</v>
      </c>
      <c r="L337" s="2">
        <f>VLOOKUP($C337,'[10]for slip'!$F:$BC,35,0)</f>
        <v>162584.45000000001</v>
      </c>
      <c r="M337" s="2">
        <f>VLOOKUP($C337,'[10]for slip'!$F:$BC,36,0)</f>
        <v>0</v>
      </c>
      <c r="N337" s="2">
        <f>VLOOKUP($C337,'[10]for slip'!$F:$BC,37,0)</f>
        <v>0</v>
      </c>
      <c r="O337" s="2">
        <f>VLOOKUP($C337,'[10]for slip'!$F:$BC,38,0)</f>
        <v>0</v>
      </c>
      <c r="P337" s="2">
        <f>VLOOKUP($C337,'[10]for slip'!$F:$BC,39,0)</f>
        <v>0</v>
      </c>
      <c r="Q337" s="2">
        <f>VLOOKUP($C337,'[10]for slip'!$F:$BC,40,0)</f>
        <v>31700</v>
      </c>
      <c r="R337" s="2">
        <f>VLOOKUP($C337,'[10]for slip'!$F:$BC,41,0)</f>
        <v>2359067</v>
      </c>
      <c r="S337" s="2">
        <f>VLOOKUP($C337,'[10]for slip'!$F:$BC,42,0)</f>
        <v>0</v>
      </c>
      <c r="T337" s="2">
        <f>VLOOKUP($C337,'[10]for slip'!$F:$BC,43,0)</f>
        <v>90860</v>
      </c>
      <c r="U337" s="2">
        <f>VLOOKUP($C337,'[10]for slip'!$F:$BC,44,0)</f>
        <v>190800</v>
      </c>
      <c r="V337" s="2">
        <f>VLOOKUP($C337,'[10]for slip'!$F:$BC,45,0)</f>
        <v>87546</v>
      </c>
      <c r="W337" s="2">
        <f>VLOOKUP($C337,'[10]for slip'!$F:$BC,48,0)</f>
        <v>162584.45000000001</v>
      </c>
    </row>
    <row r="338" spans="1:23" x14ac:dyDescent="0.25">
      <c r="A338" s="1">
        <v>337</v>
      </c>
      <c r="B338" s="2" t="s">
        <v>695</v>
      </c>
      <c r="C338" s="2" t="s">
        <v>696</v>
      </c>
      <c r="D338" s="2" t="str">
        <f>VLOOKUP($C338,'[10]for slip'!$F:$BC,3,0)</f>
        <v>Sect Head</v>
      </c>
      <c r="E338" s="2" t="str">
        <f>VLOOKUP($C338,'[10]for slip'!$F:$BC,4,0)</f>
        <v>Quality Control</v>
      </c>
      <c r="F338" s="2">
        <f>VLOOKUP($C338,'[10]for slip'!$F:$BC,14,0)</f>
        <v>6343082</v>
      </c>
      <c r="G338" s="2">
        <f>VLOOKUP($C338,'[10]for slip'!$F:$BC,15,0)</f>
        <v>1500000</v>
      </c>
      <c r="H338" s="2">
        <f>VLOOKUP($C338,'[10]for slip'!$F:$BC,16,0)</f>
        <v>0</v>
      </c>
      <c r="I338" s="2">
        <f>VLOOKUP($C338,'[10]for slip'!$F:$BC,17,0)</f>
        <v>0</v>
      </c>
      <c r="J338" s="2">
        <f>VLOOKUP($C338,'[10]for slip'!$F:$BC,27,0)</f>
        <v>0</v>
      </c>
      <c r="K338" s="2">
        <f>VLOOKUP($C338,'[10]for slip'!$F:$BC,31,0)</f>
        <v>0</v>
      </c>
      <c r="L338" s="2">
        <f>VLOOKUP($C338,'[10]for slip'!$F:$BC,35,0)</f>
        <v>116305.16105050004</v>
      </c>
      <c r="M338" s="2">
        <f>VLOOKUP($C338,'[10]for slip'!$F:$BC,36,0)</f>
        <v>0</v>
      </c>
      <c r="N338" s="2">
        <f>VLOOKUP($C338,'[10]for slip'!$F:$BC,37,0)</f>
        <v>0</v>
      </c>
      <c r="O338" s="2">
        <f>VLOOKUP($C338,'[10]for slip'!$F:$BC,38,0)</f>
        <v>0</v>
      </c>
      <c r="P338" s="2">
        <f>VLOOKUP($C338,'[10]for slip'!$F:$BC,39,0)</f>
        <v>38000</v>
      </c>
      <c r="Q338" s="2">
        <f>VLOOKUP($C338,'[10]for slip'!$F:$BC,40,0)</f>
        <v>31700</v>
      </c>
      <c r="R338" s="2">
        <f>VLOOKUP($C338,'[10]for slip'!$F:$BC,41,0)</f>
        <v>0</v>
      </c>
      <c r="S338" s="2">
        <f>VLOOKUP($C338,'[10]for slip'!$F:$BC,42,0)</f>
        <v>10000</v>
      </c>
      <c r="T338" s="2">
        <f>VLOOKUP($C338,'[10]for slip'!$F:$BC,43,0)</f>
        <v>68430.820000000007</v>
      </c>
      <c r="U338" s="2">
        <f>VLOOKUP($C338,'[10]for slip'!$F:$BC,44,0)</f>
        <v>156861.64000000001</v>
      </c>
      <c r="V338" s="2">
        <f>VLOOKUP($C338,'[10]for slip'!$F:$BC,45,0)</f>
        <v>78430.820000000007</v>
      </c>
      <c r="W338" s="2">
        <f>VLOOKUP($C338,'[10]for slip'!$F:$BC,48,0)</f>
        <v>116305.16105050004</v>
      </c>
    </row>
    <row r="339" spans="1:23" x14ac:dyDescent="0.25">
      <c r="A339" s="1">
        <v>338</v>
      </c>
      <c r="B339" s="2" t="s">
        <v>697</v>
      </c>
      <c r="C339" s="2" t="s">
        <v>698</v>
      </c>
      <c r="D339" s="2" t="str">
        <f>VLOOKUP($C339,'[10]for slip'!$F:$BC,3,0)</f>
        <v>Leader</v>
      </c>
      <c r="E339" s="2" t="str">
        <f>VLOOKUP($C339,'[10]for slip'!$F:$BC,4,0)</f>
        <v>Quality Control</v>
      </c>
      <c r="F339" s="2">
        <f>VLOOKUP($C339,'[10]for slip'!$F:$BC,14,0)</f>
        <v>5343083</v>
      </c>
      <c r="G339" s="2">
        <f>VLOOKUP($C339,'[10]for slip'!$F:$BC,15,0)</f>
        <v>500000</v>
      </c>
      <c r="H339" s="2">
        <f>VLOOKUP($C339,'[10]for slip'!$F:$BC,16,0)</f>
        <v>0</v>
      </c>
      <c r="I339" s="2">
        <f>VLOOKUP($C339,'[10]for slip'!$F:$BC,17,0)</f>
        <v>0</v>
      </c>
      <c r="J339" s="2">
        <f>VLOOKUP($C339,'[10]for slip'!$F:$BC,27,0)</f>
        <v>0</v>
      </c>
      <c r="K339" s="2">
        <f>VLOOKUP($C339,'[10]for slip'!$F:$BC,31,0)</f>
        <v>0</v>
      </c>
      <c r="L339" s="2">
        <f>VLOOKUP($C339,'[10]for slip'!$F:$BC,35,0)</f>
        <v>2374.7095907499393</v>
      </c>
      <c r="M339" s="2">
        <f>VLOOKUP($C339,'[10]for slip'!$F:$BC,36,0)</f>
        <v>0</v>
      </c>
      <c r="N339" s="2">
        <f>VLOOKUP($C339,'[10]for slip'!$F:$BC,37,0)</f>
        <v>0</v>
      </c>
      <c r="O339" s="2">
        <f>VLOOKUP($C339,'[10]for slip'!$F:$BC,38,0)</f>
        <v>0</v>
      </c>
      <c r="P339" s="2">
        <f>VLOOKUP($C339,'[10]for slip'!$F:$BC,39,0)</f>
        <v>38000</v>
      </c>
      <c r="Q339" s="2">
        <f>VLOOKUP($C339,'[10]for slip'!$F:$BC,40,0)</f>
        <v>31700</v>
      </c>
      <c r="R339" s="2">
        <f>VLOOKUP($C339,'[10]for slip'!$F:$BC,41,0)</f>
        <v>0</v>
      </c>
      <c r="S339" s="2">
        <f>VLOOKUP($C339,'[10]for slip'!$F:$BC,42,0)</f>
        <v>10000</v>
      </c>
      <c r="T339" s="2">
        <f>VLOOKUP($C339,'[10]for slip'!$F:$BC,43,0)</f>
        <v>58430.83</v>
      </c>
      <c r="U339" s="2">
        <f>VLOOKUP($C339,'[10]for slip'!$F:$BC,44,0)</f>
        <v>116861.66</v>
      </c>
      <c r="V339" s="2">
        <f>VLOOKUP($C339,'[10]for slip'!$F:$BC,45,0)</f>
        <v>58430.83</v>
      </c>
      <c r="W339" s="2">
        <f>VLOOKUP($C339,'[10]for slip'!$F:$BC,48,0)</f>
        <v>2374.7095907499393</v>
      </c>
    </row>
    <row r="340" spans="1:23" x14ac:dyDescent="0.25">
      <c r="A340" s="1">
        <v>339</v>
      </c>
      <c r="B340" s="2" t="s">
        <v>699</v>
      </c>
      <c r="C340" s="2" t="s">
        <v>700</v>
      </c>
      <c r="D340" s="2" t="str">
        <f>VLOOKUP($C340,'[10]for slip'!$F:$BC,3,0)</f>
        <v>Leader</v>
      </c>
      <c r="E340" s="2" t="str">
        <f>VLOOKUP($C340,'[10]for slip'!$F:$BC,4,0)</f>
        <v>Quality Control</v>
      </c>
      <c r="F340" s="2">
        <f>VLOOKUP($C340,'[10]for slip'!$F:$BC,14,0)</f>
        <v>5343083</v>
      </c>
      <c r="G340" s="2">
        <f>VLOOKUP($C340,'[10]for slip'!$F:$BC,15,0)</f>
        <v>500000</v>
      </c>
      <c r="H340" s="2">
        <f>VLOOKUP($C340,'[10]for slip'!$F:$BC,16,0)</f>
        <v>0</v>
      </c>
      <c r="I340" s="2">
        <f>VLOOKUP($C340,'[10]for slip'!$F:$BC,17,0)</f>
        <v>0</v>
      </c>
      <c r="J340" s="2">
        <f>VLOOKUP($C340,'[10]for slip'!$F:$BC,27,0)</f>
        <v>0</v>
      </c>
      <c r="K340" s="2">
        <f>VLOOKUP($C340,'[10]for slip'!$F:$BC,31,0)</f>
        <v>0</v>
      </c>
      <c r="L340" s="2">
        <f>VLOOKUP($C340,'[10]for slip'!$F:$BC,35,0)</f>
        <v>0</v>
      </c>
      <c r="M340" s="2">
        <f>VLOOKUP($C340,'[10]for slip'!$F:$BC,36,0)</f>
        <v>0</v>
      </c>
      <c r="N340" s="2">
        <f>VLOOKUP($C340,'[10]for slip'!$F:$BC,37,0)</f>
        <v>1</v>
      </c>
      <c r="O340" s="2">
        <f>VLOOKUP($C340,'[10]for slip'!$F:$BC,38,0)</f>
        <v>278242</v>
      </c>
      <c r="P340" s="2">
        <f>VLOOKUP($C340,'[10]for slip'!$F:$BC,39,0)</f>
        <v>0</v>
      </c>
      <c r="Q340" s="2">
        <f>VLOOKUP($C340,'[10]for slip'!$F:$BC,40,0)</f>
        <v>31700</v>
      </c>
      <c r="R340" s="2">
        <f>VLOOKUP($C340,'[10]for slip'!$F:$BC,41,0)</f>
        <v>0</v>
      </c>
      <c r="S340" s="2">
        <f>VLOOKUP($C340,'[10]for slip'!$F:$BC,42,0)</f>
        <v>0</v>
      </c>
      <c r="T340" s="2">
        <f>VLOOKUP($C340,'[10]for slip'!$F:$BC,43,0)</f>
        <v>58430.83</v>
      </c>
      <c r="U340" s="2">
        <f>VLOOKUP($C340,'[10]for slip'!$F:$BC,44,0)</f>
        <v>116861.66</v>
      </c>
      <c r="V340" s="2">
        <f>VLOOKUP($C340,'[10]for slip'!$F:$BC,45,0)</f>
        <v>58430.83</v>
      </c>
      <c r="W340" s="2">
        <f>VLOOKUP($C340,'[10]for slip'!$F:$BC,48,0)</f>
        <v>0</v>
      </c>
    </row>
    <row r="341" spans="1:23" x14ac:dyDescent="0.25">
      <c r="A341" s="1">
        <v>340</v>
      </c>
      <c r="B341" s="2" t="s">
        <v>701</v>
      </c>
      <c r="C341" s="2" t="s">
        <v>702</v>
      </c>
      <c r="D341" s="2" t="str">
        <f>VLOOKUP($C341,'[10]for slip'!$F:$BC,3,0)</f>
        <v>Leader</v>
      </c>
      <c r="E341" s="2" t="str">
        <f>VLOOKUP($C341,'[10]for slip'!$F:$BC,4,0)</f>
        <v>Quality Control</v>
      </c>
      <c r="F341" s="2">
        <f>VLOOKUP($C341,'[10]for slip'!$F:$BC,14,0)</f>
        <v>5343083</v>
      </c>
      <c r="G341" s="2">
        <f>VLOOKUP($C341,'[10]for slip'!$F:$BC,15,0)</f>
        <v>500000</v>
      </c>
      <c r="H341" s="2">
        <f>VLOOKUP($C341,'[10]for slip'!$F:$BC,16,0)</f>
        <v>0</v>
      </c>
      <c r="I341" s="2">
        <f>VLOOKUP($C341,'[10]for slip'!$F:$BC,17,0)</f>
        <v>215000</v>
      </c>
      <c r="J341" s="2">
        <f>VLOOKUP($C341,'[10]for slip'!$F:$BC,27,0)</f>
        <v>0</v>
      </c>
      <c r="K341" s="2">
        <f>VLOOKUP($C341,'[10]for slip'!$F:$BC,31,0)</f>
        <v>0</v>
      </c>
      <c r="L341" s="2">
        <f>VLOOKUP($C341,'[10]for slip'!$F:$BC,35,0)</f>
        <v>12402.363340749966</v>
      </c>
      <c r="M341" s="2">
        <f>VLOOKUP($C341,'[10]for slip'!$F:$BC,36,0)</f>
        <v>0</v>
      </c>
      <c r="N341" s="2">
        <f>VLOOKUP($C341,'[10]for slip'!$F:$BC,37,0)</f>
        <v>0</v>
      </c>
      <c r="O341" s="2">
        <f>VLOOKUP($C341,'[10]for slip'!$F:$BC,38,0)</f>
        <v>0</v>
      </c>
      <c r="P341" s="2">
        <f>VLOOKUP($C341,'[10]for slip'!$F:$BC,39,0)</f>
        <v>38000</v>
      </c>
      <c r="Q341" s="2">
        <f>VLOOKUP($C341,'[10]for slip'!$F:$BC,40,0)</f>
        <v>31700</v>
      </c>
      <c r="R341" s="2">
        <f>VLOOKUP($C341,'[10]for slip'!$F:$BC,41,0)</f>
        <v>0</v>
      </c>
      <c r="S341" s="2">
        <f>VLOOKUP($C341,'[10]for slip'!$F:$BC,42,0)</f>
        <v>0</v>
      </c>
      <c r="T341" s="2">
        <f>VLOOKUP($C341,'[10]for slip'!$F:$BC,43,0)</f>
        <v>58430.83</v>
      </c>
      <c r="U341" s="2">
        <f>VLOOKUP($C341,'[10]for slip'!$F:$BC,44,0)</f>
        <v>121161.66</v>
      </c>
      <c r="V341" s="2">
        <f>VLOOKUP($C341,'[10]for slip'!$F:$BC,45,0)</f>
        <v>60580.83</v>
      </c>
      <c r="W341" s="2">
        <f>VLOOKUP($C341,'[10]for slip'!$F:$BC,48,0)</f>
        <v>12402.363340749966</v>
      </c>
    </row>
    <row r="342" spans="1:23" x14ac:dyDescent="0.25">
      <c r="A342" s="1">
        <v>341</v>
      </c>
      <c r="B342" s="2" t="s">
        <v>703</v>
      </c>
      <c r="C342" s="2" t="s">
        <v>704</v>
      </c>
      <c r="D342" s="2" t="str">
        <f>VLOOKUP($C342,'[10]for slip'!$F:$BC,3,0)</f>
        <v>Leader</v>
      </c>
      <c r="E342" s="2" t="str">
        <f>VLOOKUP($C342,'[10]for slip'!$F:$BC,4,0)</f>
        <v>Quality Control</v>
      </c>
      <c r="F342" s="2">
        <f>VLOOKUP($C342,'[10]for slip'!$F:$BC,14,0)</f>
        <v>5343083</v>
      </c>
      <c r="G342" s="2">
        <f>VLOOKUP($C342,'[10]for slip'!$F:$BC,15,0)</f>
        <v>500000</v>
      </c>
      <c r="H342" s="2">
        <f>VLOOKUP($C342,'[10]for slip'!$F:$BC,16,0)</f>
        <v>0</v>
      </c>
      <c r="I342" s="2">
        <f>VLOOKUP($C342,'[10]for slip'!$F:$BC,17,0)</f>
        <v>115000</v>
      </c>
      <c r="J342" s="2">
        <f>VLOOKUP($C342,'[10]for slip'!$F:$BC,27,0)</f>
        <v>0</v>
      </c>
      <c r="K342" s="2">
        <f>VLOOKUP($C342,'[10]for slip'!$F:$BC,31,0)</f>
        <v>0</v>
      </c>
      <c r="L342" s="2">
        <f>VLOOKUP($C342,'[10]for slip'!$F:$BC,35,0)</f>
        <v>63608.338340749964</v>
      </c>
      <c r="M342" s="2">
        <f>VLOOKUP($C342,'[10]for slip'!$F:$BC,36,0)</f>
        <v>0</v>
      </c>
      <c r="N342" s="2">
        <f>VLOOKUP($C342,'[10]for slip'!$F:$BC,37,0)</f>
        <v>0</v>
      </c>
      <c r="O342" s="2">
        <f>VLOOKUP($C342,'[10]for slip'!$F:$BC,38,0)</f>
        <v>0</v>
      </c>
      <c r="P342" s="2">
        <f>VLOOKUP($C342,'[10]for slip'!$F:$BC,39,0)</f>
        <v>38000</v>
      </c>
      <c r="Q342" s="2">
        <f>VLOOKUP($C342,'[10]for slip'!$F:$BC,40,0)</f>
        <v>31700</v>
      </c>
      <c r="R342" s="2">
        <f>VLOOKUP($C342,'[10]for slip'!$F:$BC,41,0)</f>
        <v>0</v>
      </c>
      <c r="S342" s="2">
        <f>VLOOKUP($C342,'[10]for slip'!$F:$BC,42,0)</f>
        <v>10000</v>
      </c>
      <c r="T342" s="2">
        <f>VLOOKUP($C342,'[10]for slip'!$F:$BC,43,0)</f>
        <v>56430.83</v>
      </c>
      <c r="U342" s="2">
        <f>VLOOKUP($C342,'[10]for slip'!$F:$BC,44,0)</f>
        <v>119161.66</v>
      </c>
      <c r="V342" s="2">
        <f>VLOOKUP($C342,'[10]for slip'!$F:$BC,45,0)</f>
        <v>59580.83</v>
      </c>
      <c r="W342" s="2">
        <f>VLOOKUP($C342,'[10]for slip'!$F:$BC,48,0)</f>
        <v>63608.338340749964</v>
      </c>
    </row>
    <row r="343" spans="1:23" x14ac:dyDescent="0.25">
      <c r="A343" s="1">
        <v>342</v>
      </c>
      <c r="B343" s="2" t="s">
        <v>705</v>
      </c>
      <c r="C343" s="2" t="s">
        <v>706</v>
      </c>
      <c r="D343" s="2" t="str">
        <f>VLOOKUP($C343,'[10]for slip'!$F:$BC,3,0)</f>
        <v>Leader</v>
      </c>
      <c r="E343" s="2" t="str">
        <f>VLOOKUP($C343,'[10]for slip'!$F:$BC,4,0)</f>
        <v>Quality Control</v>
      </c>
      <c r="F343" s="2">
        <f>VLOOKUP($C343,'[10]for slip'!$F:$BC,14,0)</f>
        <v>5343083</v>
      </c>
      <c r="G343" s="2">
        <f>VLOOKUP($C343,'[10]for slip'!$F:$BC,15,0)</f>
        <v>500000</v>
      </c>
      <c r="H343" s="2">
        <f>VLOOKUP($C343,'[10]for slip'!$F:$BC,16,0)</f>
        <v>0</v>
      </c>
      <c r="I343" s="2">
        <f>VLOOKUP($C343,'[10]for slip'!$F:$BC,17,0)</f>
        <v>200000</v>
      </c>
      <c r="J343" s="2">
        <f>VLOOKUP($C343,'[10]for slip'!$F:$BC,27,0)</f>
        <v>0</v>
      </c>
      <c r="K343" s="2">
        <f>VLOOKUP($C343,'[10]for slip'!$F:$BC,31,0)</f>
        <v>0</v>
      </c>
      <c r="L343" s="2">
        <f>VLOOKUP($C343,'[10]for slip'!$F:$BC,35,0)</f>
        <v>11322.75959074994</v>
      </c>
      <c r="M343" s="2">
        <f>VLOOKUP($C343,'[10]for slip'!$F:$BC,36,0)</f>
        <v>0</v>
      </c>
      <c r="N343" s="2">
        <f>VLOOKUP($C343,'[10]for slip'!$F:$BC,37,0)</f>
        <v>0</v>
      </c>
      <c r="O343" s="2">
        <f>VLOOKUP($C343,'[10]for slip'!$F:$BC,38,0)</f>
        <v>0</v>
      </c>
      <c r="P343" s="2">
        <f>VLOOKUP($C343,'[10]for slip'!$F:$BC,39,0)</f>
        <v>38000</v>
      </c>
      <c r="Q343" s="2">
        <f>VLOOKUP($C343,'[10]for slip'!$F:$BC,40,0)</f>
        <v>31700</v>
      </c>
      <c r="R343" s="2">
        <f>VLOOKUP($C343,'[10]for slip'!$F:$BC,41,0)</f>
        <v>0</v>
      </c>
      <c r="S343" s="2">
        <f>VLOOKUP($C343,'[10]for slip'!$F:$BC,42,0)</f>
        <v>10000</v>
      </c>
      <c r="T343" s="2">
        <f>VLOOKUP($C343,'[10]for slip'!$F:$BC,43,0)</f>
        <v>56430.83</v>
      </c>
      <c r="U343" s="2">
        <f>VLOOKUP($C343,'[10]for slip'!$F:$BC,44,0)</f>
        <v>120861.66</v>
      </c>
      <c r="V343" s="2">
        <f>VLOOKUP($C343,'[10]for slip'!$F:$BC,45,0)</f>
        <v>60430.83</v>
      </c>
      <c r="W343" s="2">
        <f>VLOOKUP($C343,'[10]for slip'!$F:$BC,48,0)</f>
        <v>11322.75959074994</v>
      </c>
    </row>
    <row r="344" spans="1:23" x14ac:dyDescent="0.25">
      <c r="A344" s="1">
        <v>343</v>
      </c>
      <c r="B344" s="2" t="s">
        <v>707</v>
      </c>
      <c r="C344" s="2" t="s">
        <v>708</v>
      </c>
      <c r="D344" s="2" t="str">
        <f>VLOOKUP($C344,'[10]for slip'!$F:$BC,3,0)</f>
        <v>Staff</v>
      </c>
      <c r="E344" s="2" t="str">
        <f>VLOOKUP($C344,'[10]for slip'!$F:$BC,4,0)</f>
        <v>Quality Control</v>
      </c>
      <c r="F344" s="2">
        <f>VLOOKUP($C344,'[10]for slip'!$F:$BC,14,0)</f>
        <v>5343083</v>
      </c>
      <c r="G344" s="2">
        <f>VLOOKUP($C344,'[10]for slip'!$F:$BC,15,0)</f>
        <v>0</v>
      </c>
      <c r="H344" s="2">
        <f>VLOOKUP($C344,'[10]for slip'!$F:$BC,16,0)</f>
        <v>0</v>
      </c>
      <c r="I344" s="2">
        <f>VLOOKUP($C344,'[10]for slip'!$F:$BC,17,0)</f>
        <v>0</v>
      </c>
      <c r="J344" s="2">
        <f>VLOOKUP($C344,'[10]for slip'!$F:$BC,27,0)</f>
        <v>0</v>
      </c>
      <c r="K344" s="2">
        <f>VLOOKUP($C344,'[10]for slip'!$F:$BC,31,0)</f>
        <v>0</v>
      </c>
      <c r="L344" s="2">
        <f>VLOOKUP($C344,'[10]for slip'!$F:$BC,35,0)</f>
        <v>0</v>
      </c>
      <c r="M344" s="2">
        <f>VLOOKUP($C344,'[10]for slip'!$F:$BC,36,0)</f>
        <v>0</v>
      </c>
      <c r="N344" s="2">
        <f>VLOOKUP($C344,'[10]for slip'!$F:$BC,37,0)</f>
        <v>0</v>
      </c>
      <c r="O344" s="2">
        <f>VLOOKUP($C344,'[10]for slip'!$F:$BC,38,0)</f>
        <v>0</v>
      </c>
      <c r="P344" s="2">
        <f>VLOOKUP($C344,'[10]for slip'!$F:$BC,39,0)</f>
        <v>38000</v>
      </c>
      <c r="Q344" s="2">
        <f>VLOOKUP($C344,'[10]for slip'!$F:$BC,40,0)</f>
        <v>31700</v>
      </c>
      <c r="R344" s="2">
        <f>VLOOKUP($C344,'[10]for slip'!$F:$BC,41,0)</f>
        <v>0</v>
      </c>
      <c r="S344" s="2">
        <f>VLOOKUP($C344,'[10]for slip'!$F:$BC,42,0)</f>
        <v>10000</v>
      </c>
      <c r="T344" s="2">
        <f>VLOOKUP($C344,'[10]for slip'!$F:$BC,43,0)</f>
        <v>53430.83</v>
      </c>
      <c r="U344" s="2">
        <f>VLOOKUP($C344,'[10]for slip'!$F:$BC,44,0)</f>
        <v>106861.66</v>
      </c>
      <c r="V344" s="2">
        <f>VLOOKUP($C344,'[10]for slip'!$F:$BC,45,0)</f>
        <v>53430.83</v>
      </c>
      <c r="W344" s="2">
        <f>VLOOKUP($C344,'[10]for slip'!$F:$BC,48,0)</f>
        <v>0</v>
      </c>
    </row>
    <row r="345" spans="1:23" x14ac:dyDescent="0.25">
      <c r="A345" s="1">
        <v>344</v>
      </c>
      <c r="B345" s="2" t="s">
        <v>709</v>
      </c>
      <c r="C345" s="2" t="s">
        <v>710</v>
      </c>
      <c r="D345" s="2" t="str">
        <f>VLOOKUP($C345,'[10]for slip'!$F:$BC,3,0)</f>
        <v>Pelaksana</v>
      </c>
      <c r="E345" s="2" t="str">
        <f>VLOOKUP($C345,'[10]for slip'!$F:$BC,4,0)</f>
        <v>Quality Control</v>
      </c>
      <c r="F345" s="2">
        <f>VLOOKUP($C345,'[10]for slip'!$F:$BC,14,0)</f>
        <v>5343083</v>
      </c>
      <c r="G345" s="2">
        <f>VLOOKUP($C345,'[10]for slip'!$F:$BC,15,0)</f>
        <v>0</v>
      </c>
      <c r="H345" s="2">
        <f>VLOOKUP($C345,'[10]for slip'!$F:$BC,16,0)</f>
        <v>300000</v>
      </c>
      <c r="I345" s="2">
        <f>VLOOKUP($C345,'[10]for slip'!$F:$BC,17,0)</f>
        <v>0</v>
      </c>
      <c r="J345" s="2">
        <f>VLOOKUP($C345,'[10]for slip'!$F:$BC,27,0)</f>
        <v>0</v>
      </c>
      <c r="K345" s="2">
        <f>VLOOKUP($C345,'[10]for slip'!$F:$BC,31,0)</f>
        <v>0</v>
      </c>
      <c r="L345" s="2">
        <f>VLOOKUP($C345,'[10]for slip'!$F:$BC,35,0)</f>
        <v>10846.65959074997</v>
      </c>
      <c r="M345" s="2">
        <f>VLOOKUP($C345,'[10]for slip'!$F:$BC,36,0)</f>
        <v>0</v>
      </c>
      <c r="N345" s="2">
        <f>VLOOKUP($C345,'[10]for slip'!$F:$BC,37,0)</f>
        <v>0</v>
      </c>
      <c r="O345" s="2">
        <f>VLOOKUP($C345,'[10]for slip'!$F:$BC,38,0)</f>
        <v>0</v>
      </c>
      <c r="P345" s="2">
        <f>VLOOKUP($C345,'[10]for slip'!$F:$BC,39,0)</f>
        <v>0</v>
      </c>
      <c r="Q345" s="2">
        <f>VLOOKUP($C345,'[10]for slip'!$F:$BC,40,0)</f>
        <v>31700</v>
      </c>
      <c r="R345" s="2">
        <f>VLOOKUP($C345,'[10]for slip'!$F:$BC,41,0)</f>
        <v>0</v>
      </c>
      <c r="S345" s="2">
        <f>VLOOKUP($C345,'[10]for slip'!$F:$BC,42,0)</f>
        <v>10000</v>
      </c>
      <c r="T345" s="2">
        <f>VLOOKUP($C345,'[10]for slip'!$F:$BC,43,0)</f>
        <v>53430.83</v>
      </c>
      <c r="U345" s="2">
        <f>VLOOKUP($C345,'[10]for slip'!$F:$BC,44,0)</f>
        <v>112861.66</v>
      </c>
      <c r="V345" s="2">
        <f>VLOOKUP($C345,'[10]for slip'!$F:$BC,45,0)</f>
        <v>56430.83</v>
      </c>
      <c r="W345" s="2">
        <f>VLOOKUP($C345,'[10]for slip'!$F:$BC,48,0)</f>
        <v>10846.65959074997</v>
      </c>
    </row>
    <row r="346" spans="1:23" x14ac:dyDescent="0.25">
      <c r="A346" s="1">
        <v>345</v>
      </c>
      <c r="B346" s="2" t="s">
        <v>711</v>
      </c>
      <c r="C346" s="2" t="s">
        <v>712</v>
      </c>
      <c r="D346" s="2" t="str">
        <f>VLOOKUP($C346,'[10]for slip'!$F:$BC,3,0)</f>
        <v>Leader</v>
      </c>
      <c r="E346" s="2" t="str">
        <f>VLOOKUP($C346,'[10]for slip'!$F:$BC,4,0)</f>
        <v>Quality Control</v>
      </c>
      <c r="F346" s="2">
        <f>VLOOKUP($C346,'[10]for slip'!$F:$BC,14,0)</f>
        <v>5343083</v>
      </c>
      <c r="G346" s="2">
        <f>VLOOKUP($C346,'[10]for slip'!$F:$BC,15,0)</f>
        <v>300000</v>
      </c>
      <c r="H346" s="2">
        <f>VLOOKUP($C346,'[10]for slip'!$F:$BC,16,0)</f>
        <v>0</v>
      </c>
      <c r="I346" s="2">
        <f>VLOOKUP($C346,'[10]for slip'!$F:$BC,17,0)</f>
        <v>200000</v>
      </c>
      <c r="J346" s="2">
        <f>VLOOKUP($C346,'[10]for slip'!$F:$BC,27,0)</f>
        <v>0</v>
      </c>
      <c r="K346" s="2">
        <f>VLOOKUP($C346,'[10]for slip'!$F:$BC,31,0)</f>
        <v>0</v>
      </c>
      <c r="L346" s="2">
        <f>VLOOKUP($C346,'[10]for slip'!$F:$BC,35,0)</f>
        <v>0</v>
      </c>
      <c r="M346" s="2">
        <f>VLOOKUP($C346,'[10]for slip'!$F:$BC,36,0)</f>
        <v>0</v>
      </c>
      <c r="N346" s="2">
        <f>VLOOKUP($C346,'[10]for slip'!$F:$BC,37,0)</f>
        <v>0</v>
      </c>
      <c r="O346" s="2">
        <f>VLOOKUP($C346,'[10]for slip'!$F:$BC,38,0)</f>
        <v>0</v>
      </c>
      <c r="P346" s="2">
        <f>VLOOKUP($C346,'[10]for slip'!$F:$BC,39,0)</f>
        <v>0</v>
      </c>
      <c r="Q346" s="2">
        <f>VLOOKUP($C346,'[10]for slip'!$F:$BC,40,0)</f>
        <v>31700</v>
      </c>
      <c r="R346" s="2">
        <f>VLOOKUP($C346,'[10]for slip'!$F:$BC,41,0)</f>
        <v>0</v>
      </c>
      <c r="S346" s="2">
        <f>VLOOKUP($C346,'[10]for slip'!$F:$BC,42,0)</f>
        <v>0</v>
      </c>
      <c r="T346" s="2">
        <f>VLOOKUP($C346,'[10]for slip'!$F:$BC,43,0)</f>
        <v>53430.83</v>
      </c>
      <c r="U346" s="2">
        <f>VLOOKUP($C346,'[10]for slip'!$F:$BC,44,0)</f>
        <v>116861.66</v>
      </c>
      <c r="V346" s="2">
        <f>VLOOKUP($C346,'[10]for slip'!$F:$BC,45,0)</f>
        <v>58430.83</v>
      </c>
      <c r="W346" s="2">
        <f>VLOOKUP($C346,'[10]for slip'!$F:$BC,48,0)</f>
        <v>0</v>
      </c>
    </row>
    <row r="347" spans="1:23" x14ac:dyDescent="0.25">
      <c r="A347" s="1">
        <v>346</v>
      </c>
      <c r="B347" s="2" t="s">
        <v>713</v>
      </c>
      <c r="C347" s="2" t="s">
        <v>714</v>
      </c>
      <c r="D347" s="2" t="str">
        <f>VLOOKUP($C347,'[10]for slip'!$F:$BC,3,0)</f>
        <v>Pelaksana</v>
      </c>
      <c r="E347" s="2" t="str">
        <f>VLOOKUP($C347,'[10]for slip'!$F:$BC,4,0)</f>
        <v>Quality Control</v>
      </c>
      <c r="F347" s="2">
        <f>VLOOKUP($C347,'[10]for slip'!$F:$BC,14,0)</f>
        <v>5343083</v>
      </c>
      <c r="G347" s="2">
        <f>VLOOKUP($C347,'[10]for slip'!$F:$BC,15,0)</f>
        <v>0</v>
      </c>
      <c r="H347" s="2">
        <f>VLOOKUP($C347,'[10]for slip'!$F:$BC,16,0)</f>
        <v>0</v>
      </c>
      <c r="I347" s="2">
        <f>VLOOKUP($C347,'[10]for slip'!$F:$BC,17,0)</f>
        <v>0</v>
      </c>
      <c r="J347" s="2">
        <f>VLOOKUP($C347,'[10]for slip'!$F:$BC,27,0)</f>
        <v>0</v>
      </c>
      <c r="K347" s="2">
        <f>VLOOKUP($C347,'[10]for slip'!$F:$BC,31,0)</f>
        <v>0</v>
      </c>
      <c r="L347" s="2">
        <f>VLOOKUP($C347,'[10]for slip'!$F:$BC,35,0)</f>
        <v>0</v>
      </c>
      <c r="M347" s="2">
        <f>VLOOKUP($C347,'[10]for slip'!$F:$BC,36,0)</f>
        <v>0</v>
      </c>
      <c r="N347" s="2">
        <f>VLOOKUP($C347,'[10]for slip'!$F:$BC,37,0)</f>
        <v>0</v>
      </c>
      <c r="O347" s="2">
        <f>VLOOKUP($C347,'[10]for slip'!$F:$BC,38,0)</f>
        <v>0</v>
      </c>
      <c r="P347" s="2">
        <f>VLOOKUP($C347,'[10]for slip'!$F:$BC,39,0)</f>
        <v>0</v>
      </c>
      <c r="Q347" s="2">
        <f>VLOOKUP($C347,'[10]for slip'!$F:$BC,40,0)</f>
        <v>31700</v>
      </c>
      <c r="R347" s="2">
        <f>VLOOKUP($C347,'[10]for slip'!$F:$BC,41,0)</f>
        <v>0</v>
      </c>
      <c r="S347" s="2">
        <f>VLOOKUP($C347,'[10]for slip'!$F:$BC,42,0)</f>
        <v>0</v>
      </c>
      <c r="T347" s="2">
        <f>VLOOKUP($C347,'[10]for slip'!$F:$BC,43,0)</f>
        <v>53430.83</v>
      </c>
      <c r="U347" s="2">
        <f>VLOOKUP($C347,'[10]for slip'!$F:$BC,44,0)</f>
        <v>106861.66</v>
      </c>
      <c r="V347" s="2">
        <f>VLOOKUP($C347,'[10]for slip'!$F:$BC,45,0)</f>
        <v>53430.83</v>
      </c>
      <c r="W347" s="2">
        <f>VLOOKUP($C347,'[10]for slip'!$F:$BC,48,0)</f>
        <v>0</v>
      </c>
    </row>
    <row r="348" spans="1:23" x14ac:dyDescent="0.25">
      <c r="A348" s="1">
        <v>347</v>
      </c>
      <c r="B348" s="2" t="s">
        <v>715</v>
      </c>
      <c r="C348" s="2" t="s">
        <v>716</v>
      </c>
      <c r="D348" s="2" t="str">
        <f>VLOOKUP($C348,'[10]for slip'!$F:$BC,3,0)</f>
        <v>Pelaksana</v>
      </c>
      <c r="E348" s="2" t="str">
        <f>VLOOKUP($C348,'[10]for slip'!$F:$BC,4,0)</f>
        <v>Quality Control</v>
      </c>
      <c r="F348" s="2">
        <f>VLOOKUP($C348,'[10]for slip'!$F:$BC,14,0)</f>
        <v>5343083</v>
      </c>
      <c r="G348" s="2">
        <f>VLOOKUP($C348,'[10]for slip'!$F:$BC,15,0)</f>
        <v>0</v>
      </c>
      <c r="H348" s="2">
        <f>VLOOKUP($C348,'[10]for slip'!$F:$BC,16,0)</f>
        <v>0</v>
      </c>
      <c r="I348" s="2">
        <f>VLOOKUP($C348,'[10]for slip'!$F:$BC,17,0)</f>
        <v>0</v>
      </c>
      <c r="J348" s="2">
        <f>VLOOKUP($C348,'[10]for slip'!$F:$BC,27,0)</f>
        <v>0</v>
      </c>
      <c r="K348" s="2">
        <f>VLOOKUP($C348,'[10]for slip'!$F:$BC,31,0)</f>
        <v>0</v>
      </c>
      <c r="L348" s="2">
        <f>VLOOKUP($C348,'[10]for slip'!$F:$BC,35,0)</f>
        <v>0</v>
      </c>
      <c r="M348" s="2">
        <f>VLOOKUP($C348,'[10]for slip'!$F:$BC,36,0)</f>
        <v>0</v>
      </c>
      <c r="N348" s="2">
        <f>VLOOKUP($C348,'[10]for slip'!$F:$BC,37,0)</f>
        <v>0</v>
      </c>
      <c r="O348" s="2">
        <f>VLOOKUP($C348,'[10]for slip'!$F:$BC,38,0)</f>
        <v>0</v>
      </c>
      <c r="P348" s="2">
        <f>VLOOKUP($C348,'[10]for slip'!$F:$BC,39,0)</f>
        <v>38000</v>
      </c>
      <c r="Q348" s="2">
        <f>VLOOKUP($C348,'[10]for slip'!$F:$BC,40,0)</f>
        <v>31700</v>
      </c>
      <c r="R348" s="2">
        <f>VLOOKUP($C348,'[10]for slip'!$F:$BC,41,0)</f>
        <v>0</v>
      </c>
      <c r="S348" s="2">
        <f>VLOOKUP($C348,'[10]for slip'!$F:$BC,42,0)</f>
        <v>10000</v>
      </c>
      <c r="T348" s="2">
        <f>VLOOKUP($C348,'[10]for slip'!$F:$BC,43,0)</f>
        <v>53430.83</v>
      </c>
      <c r="U348" s="2">
        <f>VLOOKUP($C348,'[10]for slip'!$F:$BC,44,0)</f>
        <v>106861.66</v>
      </c>
      <c r="V348" s="2">
        <f>VLOOKUP($C348,'[10]for slip'!$F:$BC,45,0)</f>
        <v>53430.83</v>
      </c>
      <c r="W348" s="2">
        <f>VLOOKUP($C348,'[10]for slip'!$F:$BC,48,0)</f>
        <v>0</v>
      </c>
    </row>
    <row r="349" spans="1:23" x14ac:dyDescent="0.25">
      <c r="A349" s="1">
        <v>348</v>
      </c>
      <c r="B349" s="2" t="s">
        <v>717</v>
      </c>
      <c r="C349" s="2" t="s">
        <v>718</v>
      </c>
      <c r="D349" s="2" t="str">
        <f>VLOOKUP($C349,'[10]for slip'!$F:$BC,3,0)</f>
        <v>Pelaksana</v>
      </c>
      <c r="E349" s="2" t="str">
        <f>VLOOKUP($C349,'[10]for slip'!$F:$BC,4,0)</f>
        <v>Quality Control</v>
      </c>
      <c r="F349" s="2">
        <f>VLOOKUP($C349,'[10]for slip'!$F:$BC,14,0)</f>
        <v>5343083</v>
      </c>
      <c r="G349" s="2">
        <f>VLOOKUP($C349,'[10]for slip'!$F:$BC,15,0)</f>
        <v>0</v>
      </c>
      <c r="H349" s="2">
        <f>VLOOKUP($C349,'[10]for slip'!$F:$BC,16,0)</f>
        <v>0</v>
      </c>
      <c r="I349" s="2">
        <f>VLOOKUP($C349,'[10]for slip'!$F:$BC,17,0)</f>
        <v>0</v>
      </c>
      <c r="J349" s="2">
        <f>VLOOKUP($C349,'[10]for slip'!$F:$BC,27,0)</f>
        <v>0</v>
      </c>
      <c r="K349" s="2">
        <f>VLOOKUP($C349,'[10]for slip'!$F:$BC,31,0)</f>
        <v>0</v>
      </c>
      <c r="L349" s="2">
        <f>VLOOKUP($C349,'[10]for slip'!$F:$BC,35,0)</f>
        <v>0</v>
      </c>
      <c r="M349" s="2">
        <f>VLOOKUP($C349,'[10]for slip'!$F:$BC,36,0)</f>
        <v>0</v>
      </c>
      <c r="N349" s="2">
        <f>VLOOKUP($C349,'[10]for slip'!$F:$BC,37,0)</f>
        <v>0</v>
      </c>
      <c r="O349" s="2">
        <f>VLOOKUP($C349,'[10]for slip'!$F:$BC,38,0)</f>
        <v>0</v>
      </c>
      <c r="P349" s="2">
        <f>VLOOKUP($C349,'[10]for slip'!$F:$BC,39,0)</f>
        <v>38000</v>
      </c>
      <c r="Q349" s="2">
        <f>VLOOKUP($C349,'[10]for slip'!$F:$BC,40,0)</f>
        <v>31700</v>
      </c>
      <c r="R349" s="2">
        <f>VLOOKUP($C349,'[10]for slip'!$F:$BC,41,0)</f>
        <v>0</v>
      </c>
      <c r="S349" s="2">
        <f>VLOOKUP($C349,'[10]for slip'!$F:$BC,42,0)</f>
        <v>10000</v>
      </c>
      <c r="T349" s="2">
        <f>VLOOKUP($C349,'[10]for slip'!$F:$BC,43,0)</f>
        <v>53430.83</v>
      </c>
      <c r="U349" s="2">
        <f>VLOOKUP($C349,'[10]for slip'!$F:$BC,44,0)</f>
        <v>106861.66</v>
      </c>
      <c r="V349" s="2">
        <f>VLOOKUP($C349,'[10]for slip'!$F:$BC,45,0)</f>
        <v>53430.83</v>
      </c>
      <c r="W349" s="2">
        <f>VLOOKUP($C349,'[10]for slip'!$F:$BC,48,0)</f>
        <v>0</v>
      </c>
    </row>
    <row r="350" spans="1:23" x14ac:dyDescent="0.25">
      <c r="A350" s="1">
        <v>349</v>
      </c>
      <c r="B350" s="2" t="s">
        <v>719</v>
      </c>
      <c r="C350" s="2" t="s">
        <v>720</v>
      </c>
      <c r="D350" s="2" t="str">
        <f>VLOOKUP($C350,'[10]for slip'!$F:$BC,3,0)</f>
        <v>Pelaksana</v>
      </c>
      <c r="E350" s="2" t="str">
        <f>VLOOKUP($C350,'[10]for slip'!$F:$BC,4,0)</f>
        <v>Quality Control</v>
      </c>
      <c r="F350" s="2">
        <f>VLOOKUP($C350,'[10]for slip'!$F:$BC,14,0)</f>
        <v>5343083</v>
      </c>
      <c r="G350" s="2">
        <f>VLOOKUP($C350,'[10]for slip'!$F:$BC,15,0)</f>
        <v>0</v>
      </c>
      <c r="H350" s="2">
        <f>VLOOKUP($C350,'[10]for slip'!$F:$BC,16,0)</f>
        <v>0</v>
      </c>
      <c r="I350" s="2">
        <f>VLOOKUP($C350,'[10]for slip'!$F:$BC,17,0)</f>
        <v>0</v>
      </c>
      <c r="J350" s="2">
        <f>VLOOKUP($C350,'[10]for slip'!$F:$BC,27,0)</f>
        <v>0</v>
      </c>
      <c r="K350" s="2">
        <f>VLOOKUP($C350,'[10]for slip'!$F:$BC,31,0)</f>
        <v>0</v>
      </c>
      <c r="L350" s="2">
        <f>VLOOKUP($C350,'[10]for slip'!$F:$BC,35,0)</f>
        <v>0</v>
      </c>
      <c r="M350" s="2">
        <f>VLOOKUP($C350,'[10]for slip'!$F:$BC,36,0)</f>
        <v>0</v>
      </c>
      <c r="N350" s="2">
        <f>VLOOKUP($C350,'[10]for slip'!$F:$BC,37,0)</f>
        <v>0</v>
      </c>
      <c r="O350" s="2">
        <f>VLOOKUP($C350,'[10]for slip'!$F:$BC,38,0)</f>
        <v>0</v>
      </c>
      <c r="P350" s="2">
        <f>VLOOKUP($C350,'[10]for slip'!$F:$BC,39,0)</f>
        <v>38000</v>
      </c>
      <c r="Q350" s="2">
        <f>VLOOKUP($C350,'[10]for slip'!$F:$BC,40,0)</f>
        <v>31700</v>
      </c>
      <c r="R350" s="2">
        <f>VLOOKUP($C350,'[10]for slip'!$F:$BC,41,0)</f>
        <v>0</v>
      </c>
      <c r="S350" s="2">
        <f>VLOOKUP($C350,'[10]for slip'!$F:$BC,42,0)</f>
        <v>10000</v>
      </c>
      <c r="T350" s="2">
        <f>VLOOKUP($C350,'[10]for slip'!$F:$BC,43,0)</f>
        <v>53430.83</v>
      </c>
      <c r="U350" s="2">
        <f>VLOOKUP($C350,'[10]for slip'!$F:$BC,44,0)</f>
        <v>106861.66</v>
      </c>
      <c r="V350" s="2">
        <f>VLOOKUP($C350,'[10]for slip'!$F:$BC,45,0)</f>
        <v>53430.83</v>
      </c>
      <c r="W350" s="2">
        <f>VLOOKUP($C350,'[10]for slip'!$F:$BC,48,0)</f>
        <v>0</v>
      </c>
    </row>
    <row r="351" spans="1:23" x14ac:dyDescent="0.25">
      <c r="A351" s="1">
        <v>350</v>
      </c>
      <c r="B351" s="2" t="s">
        <v>721</v>
      </c>
      <c r="C351" s="2" t="s">
        <v>722</v>
      </c>
      <c r="D351" s="2" t="str">
        <f>VLOOKUP($C351,'[10]for slip'!$F:$BC,3,0)</f>
        <v>Pelaksana</v>
      </c>
      <c r="E351" s="2" t="str">
        <f>VLOOKUP($C351,'[10]for slip'!$F:$BC,4,0)</f>
        <v>Quality Control</v>
      </c>
      <c r="F351" s="2">
        <f>VLOOKUP($C351,'[10]for slip'!$F:$BC,14,0)</f>
        <v>5343083</v>
      </c>
      <c r="G351" s="2">
        <f>VLOOKUP($C351,'[10]for slip'!$F:$BC,15,0)</f>
        <v>0</v>
      </c>
      <c r="H351" s="2">
        <f>VLOOKUP($C351,'[10]for slip'!$F:$BC,16,0)</f>
        <v>0</v>
      </c>
      <c r="I351" s="2">
        <f>VLOOKUP($C351,'[10]for slip'!$F:$BC,17,0)</f>
        <v>0</v>
      </c>
      <c r="J351" s="2">
        <f>VLOOKUP($C351,'[10]for slip'!$F:$BC,27,0)</f>
        <v>0</v>
      </c>
      <c r="K351" s="2">
        <f>VLOOKUP($C351,'[10]for slip'!$F:$BC,31,0)</f>
        <v>0</v>
      </c>
      <c r="L351" s="2">
        <f>VLOOKUP($C351,'[10]for slip'!$F:$BC,35,0)</f>
        <v>0</v>
      </c>
      <c r="M351" s="2">
        <f>VLOOKUP($C351,'[10]for slip'!$F:$BC,36,0)</f>
        <v>0</v>
      </c>
      <c r="N351" s="2">
        <f>VLOOKUP($C351,'[10]for slip'!$F:$BC,37,0)</f>
        <v>0</v>
      </c>
      <c r="O351" s="2">
        <f>VLOOKUP($C351,'[10]for slip'!$F:$BC,38,0)</f>
        <v>0</v>
      </c>
      <c r="P351" s="2">
        <f>VLOOKUP($C351,'[10]for slip'!$F:$BC,39,0)</f>
        <v>38000</v>
      </c>
      <c r="Q351" s="2">
        <f>VLOOKUP($C351,'[10]for slip'!$F:$BC,40,0)</f>
        <v>31700</v>
      </c>
      <c r="R351" s="2">
        <f>VLOOKUP($C351,'[10]for slip'!$F:$BC,41,0)</f>
        <v>0</v>
      </c>
      <c r="S351" s="2">
        <f>VLOOKUP($C351,'[10]for slip'!$F:$BC,42,0)</f>
        <v>10000</v>
      </c>
      <c r="T351" s="2">
        <f>VLOOKUP($C351,'[10]for slip'!$F:$BC,43,0)</f>
        <v>53430.83</v>
      </c>
      <c r="U351" s="2">
        <f>VLOOKUP($C351,'[10]for slip'!$F:$BC,44,0)</f>
        <v>106861.66</v>
      </c>
      <c r="V351" s="2">
        <f>VLOOKUP($C351,'[10]for slip'!$F:$BC,45,0)</f>
        <v>53430.83</v>
      </c>
      <c r="W351" s="2">
        <f>VLOOKUP($C351,'[10]for slip'!$F:$BC,48,0)</f>
        <v>0</v>
      </c>
    </row>
    <row r="352" spans="1:23" x14ac:dyDescent="0.25">
      <c r="A352" s="1">
        <v>351</v>
      </c>
      <c r="B352" s="2" t="s">
        <v>723</v>
      </c>
      <c r="C352" s="2" t="s">
        <v>724</v>
      </c>
      <c r="D352" s="2" t="str">
        <f>VLOOKUP($C352,'[10]for slip'!$F:$BC,3,0)</f>
        <v>Pelaksana</v>
      </c>
      <c r="E352" s="2" t="str">
        <f>VLOOKUP($C352,'[10]for slip'!$F:$BC,4,0)</f>
        <v>Quality Control</v>
      </c>
      <c r="F352" s="2">
        <f>VLOOKUP($C352,'[10]for slip'!$F:$BC,14,0)</f>
        <v>5343083</v>
      </c>
      <c r="G352" s="2">
        <f>VLOOKUP($C352,'[10]for slip'!$F:$BC,15,0)</f>
        <v>0</v>
      </c>
      <c r="H352" s="2">
        <f>VLOOKUP($C352,'[10]for slip'!$F:$BC,16,0)</f>
        <v>0</v>
      </c>
      <c r="I352" s="2">
        <f>VLOOKUP($C352,'[10]for slip'!$F:$BC,17,0)</f>
        <v>0</v>
      </c>
      <c r="J352" s="2">
        <f>VLOOKUP($C352,'[10]for slip'!$F:$BC,27,0)</f>
        <v>0</v>
      </c>
      <c r="K352" s="2">
        <f>VLOOKUP($C352,'[10]for slip'!$F:$BC,31,0)</f>
        <v>0</v>
      </c>
      <c r="L352" s="2">
        <f>VLOOKUP($C352,'[10]for slip'!$F:$BC,35,0)</f>
        <v>3519.0170907499892</v>
      </c>
      <c r="M352" s="2">
        <f>VLOOKUP($C352,'[10]for slip'!$F:$BC,36,0)</f>
        <v>0</v>
      </c>
      <c r="N352" s="2">
        <f>VLOOKUP($C352,'[10]for slip'!$F:$BC,37,0)</f>
        <v>1</v>
      </c>
      <c r="O352" s="2">
        <f>VLOOKUP($C352,'[10]for slip'!$F:$BC,38,0)</f>
        <v>254433</v>
      </c>
      <c r="P352" s="2">
        <f>VLOOKUP($C352,'[10]for slip'!$F:$BC,39,0)</f>
        <v>38000</v>
      </c>
      <c r="Q352" s="2">
        <f>VLOOKUP($C352,'[10]for slip'!$F:$BC,40,0)</f>
        <v>31700</v>
      </c>
      <c r="R352" s="2">
        <f>VLOOKUP($C352,'[10]for slip'!$F:$BC,41,0)</f>
        <v>0</v>
      </c>
      <c r="S352" s="2">
        <f>VLOOKUP($C352,'[10]for slip'!$F:$BC,42,0)</f>
        <v>10000</v>
      </c>
      <c r="T352" s="2">
        <f>VLOOKUP($C352,'[10]for slip'!$F:$BC,43,0)</f>
        <v>53430.83</v>
      </c>
      <c r="U352" s="2">
        <f>VLOOKUP($C352,'[10]for slip'!$F:$BC,44,0)</f>
        <v>106861.66</v>
      </c>
      <c r="V352" s="2">
        <f>VLOOKUP($C352,'[10]for slip'!$F:$BC,45,0)</f>
        <v>53430.83</v>
      </c>
      <c r="W352" s="2">
        <f>VLOOKUP($C352,'[10]for slip'!$F:$BC,48,0)</f>
        <v>3519.0170907499892</v>
      </c>
    </row>
    <row r="353" spans="1:23" x14ac:dyDescent="0.25">
      <c r="A353" s="1">
        <v>352</v>
      </c>
      <c r="B353" s="2" t="s">
        <v>725</v>
      </c>
      <c r="C353" s="2" t="s">
        <v>726</v>
      </c>
      <c r="D353" s="2" t="str">
        <f>VLOOKUP($C353,'[10]for slip'!$F:$BC,3,0)</f>
        <v>Pelaksana</v>
      </c>
      <c r="E353" s="2" t="str">
        <f>VLOOKUP($C353,'[10]for slip'!$F:$BC,4,0)</f>
        <v>Quality Control</v>
      </c>
      <c r="F353" s="2">
        <f>VLOOKUP($C353,'[10]for slip'!$F:$BC,14,0)</f>
        <v>5343083</v>
      </c>
      <c r="G353" s="2">
        <f>VLOOKUP($C353,'[10]for slip'!$F:$BC,15,0)</f>
        <v>0</v>
      </c>
      <c r="H353" s="2">
        <f>VLOOKUP($C353,'[10]for slip'!$F:$BC,16,0)</f>
        <v>0</v>
      </c>
      <c r="I353" s="2">
        <f>VLOOKUP($C353,'[10]for slip'!$F:$BC,17,0)</f>
        <v>0</v>
      </c>
      <c r="J353" s="2">
        <f>VLOOKUP($C353,'[10]for slip'!$F:$BC,27,0)</f>
        <v>0</v>
      </c>
      <c r="K353" s="2">
        <f>VLOOKUP($C353,'[10]for slip'!$F:$BC,31,0)</f>
        <v>0</v>
      </c>
      <c r="L353" s="2">
        <f>VLOOKUP($C353,'[10]for slip'!$F:$BC,35,0)</f>
        <v>0</v>
      </c>
      <c r="M353" s="2">
        <f>VLOOKUP($C353,'[10]for slip'!$F:$BC,36,0)</f>
        <v>0</v>
      </c>
      <c r="N353" s="2">
        <f>VLOOKUP($C353,'[10]for slip'!$F:$BC,37,0)</f>
        <v>0</v>
      </c>
      <c r="O353" s="2">
        <f>VLOOKUP($C353,'[10]for slip'!$F:$BC,38,0)</f>
        <v>0</v>
      </c>
      <c r="P353" s="2">
        <f>VLOOKUP($C353,'[10]for slip'!$F:$BC,39,0)</f>
        <v>38000</v>
      </c>
      <c r="Q353" s="2">
        <f>VLOOKUP($C353,'[10]for slip'!$F:$BC,40,0)</f>
        <v>31700</v>
      </c>
      <c r="R353" s="2">
        <f>VLOOKUP($C353,'[10]for slip'!$F:$BC,41,0)</f>
        <v>0</v>
      </c>
      <c r="S353" s="2">
        <f>VLOOKUP($C353,'[10]for slip'!$F:$BC,42,0)</f>
        <v>10000</v>
      </c>
      <c r="T353" s="2">
        <f>VLOOKUP($C353,'[10]for slip'!$F:$BC,43,0)</f>
        <v>53430.83</v>
      </c>
      <c r="U353" s="2">
        <f>VLOOKUP($C353,'[10]for slip'!$F:$BC,44,0)</f>
        <v>106861.66</v>
      </c>
      <c r="V353" s="2">
        <f>VLOOKUP($C353,'[10]for slip'!$F:$BC,45,0)</f>
        <v>53430.83</v>
      </c>
      <c r="W353" s="2">
        <f>VLOOKUP($C353,'[10]for slip'!$F:$BC,48,0)</f>
        <v>0</v>
      </c>
    </row>
    <row r="354" spans="1:23" x14ac:dyDescent="0.25">
      <c r="A354" s="1">
        <v>353</v>
      </c>
      <c r="B354" s="2" t="s">
        <v>727</v>
      </c>
      <c r="C354" s="2" t="s">
        <v>728</v>
      </c>
      <c r="D354" s="2" t="str">
        <f>VLOOKUP($C354,'[10]for slip'!$F:$BC,3,0)</f>
        <v>Pelaksana</v>
      </c>
      <c r="E354" s="2" t="str">
        <f>VLOOKUP($C354,'[10]for slip'!$F:$BC,4,0)</f>
        <v>Quality Control</v>
      </c>
      <c r="F354" s="2">
        <f>VLOOKUP($C354,'[10]for slip'!$F:$BC,14,0)</f>
        <v>5343083</v>
      </c>
      <c r="G354" s="2">
        <f>VLOOKUP($C354,'[10]for slip'!$F:$BC,15,0)</f>
        <v>0</v>
      </c>
      <c r="H354" s="2">
        <f>VLOOKUP($C354,'[10]for slip'!$F:$BC,16,0)</f>
        <v>0</v>
      </c>
      <c r="I354" s="2">
        <f>VLOOKUP($C354,'[10]for slip'!$F:$BC,17,0)</f>
        <v>0</v>
      </c>
      <c r="J354" s="2">
        <f>VLOOKUP($C354,'[10]for slip'!$F:$BC,27,0)</f>
        <v>0</v>
      </c>
      <c r="K354" s="2">
        <f>VLOOKUP($C354,'[10]for slip'!$F:$BC,31,0)</f>
        <v>0</v>
      </c>
      <c r="L354" s="2">
        <f>VLOOKUP($C354,'[10]for slip'!$F:$BC,35,0)</f>
        <v>34354.584590750004</v>
      </c>
      <c r="M354" s="2">
        <f>VLOOKUP($C354,'[10]for slip'!$F:$BC,36,0)</f>
        <v>0</v>
      </c>
      <c r="N354" s="2">
        <f>VLOOKUP($C354,'[10]for slip'!$F:$BC,37,0)</f>
        <v>0</v>
      </c>
      <c r="O354" s="2">
        <f>VLOOKUP($C354,'[10]for slip'!$F:$BC,38,0)</f>
        <v>0</v>
      </c>
      <c r="P354" s="2">
        <f>VLOOKUP($C354,'[10]for slip'!$F:$BC,39,0)</f>
        <v>0</v>
      </c>
      <c r="Q354" s="2">
        <f>VLOOKUP($C354,'[10]for slip'!$F:$BC,40,0)</f>
        <v>31700</v>
      </c>
      <c r="R354" s="2">
        <f>VLOOKUP($C354,'[10]for slip'!$F:$BC,41,0)</f>
        <v>0</v>
      </c>
      <c r="S354" s="2">
        <f>VLOOKUP($C354,'[10]for slip'!$F:$BC,42,0)</f>
        <v>0</v>
      </c>
      <c r="T354" s="2">
        <f>VLOOKUP($C354,'[10]for slip'!$F:$BC,43,0)</f>
        <v>53430.83</v>
      </c>
      <c r="U354" s="2">
        <f>VLOOKUP($C354,'[10]for slip'!$F:$BC,44,0)</f>
        <v>106861.66</v>
      </c>
      <c r="V354" s="2">
        <f>VLOOKUP($C354,'[10]for slip'!$F:$BC,45,0)</f>
        <v>53430.83</v>
      </c>
      <c r="W354" s="2">
        <f>VLOOKUP($C354,'[10]for slip'!$F:$BC,48,0)</f>
        <v>34354.584590750004</v>
      </c>
    </row>
    <row r="355" spans="1:23" x14ac:dyDescent="0.25">
      <c r="A355" s="1">
        <v>354</v>
      </c>
      <c r="B355" s="2" t="s">
        <v>729</v>
      </c>
      <c r="C355" s="2" t="s">
        <v>730</v>
      </c>
      <c r="D355" s="2" t="str">
        <f>VLOOKUP($C355,'[10]for slip'!$F:$BC,3,0)</f>
        <v>Pelaksana</v>
      </c>
      <c r="E355" s="2" t="str">
        <f>VLOOKUP($C355,'[10]for slip'!$F:$BC,4,0)</f>
        <v>Quality Control</v>
      </c>
      <c r="F355" s="2">
        <f>VLOOKUP($C355,'[10]for slip'!$F:$BC,14,0)</f>
        <v>5343083</v>
      </c>
      <c r="G355" s="2">
        <f>VLOOKUP($C355,'[10]for slip'!$F:$BC,15,0)</f>
        <v>0</v>
      </c>
      <c r="H355" s="2">
        <f>VLOOKUP($C355,'[10]for slip'!$F:$BC,16,0)</f>
        <v>0</v>
      </c>
      <c r="I355" s="2">
        <f>VLOOKUP($C355,'[10]for slip'!$F:$BC,17,0)</f>
        <v>0</v>
      </c>
      <c r="J355" s="2">
        <f>VLOOKUP($C355,'[10]for slip'!$F:$BC,27,0)</f>
        <v>0</v>
      </c>
      <c r="K355" s="2">
        <f>VLOOKUP($C355,'[10]for slip'!$F:$BC,31,0)</f>
        <v>0</v>
      </c>
      <c r="L355" s="2">
        <f>VLOOKUP($C355,'[10]for slip'!$F:$BC,35,0)</f>
        <v>0</v>
      </c>
      <c r="M355" s="2">
        <f>VLOOKUP($C355,'[10]for slip'!$F:$BC,36,0)</f>
        <v>0</v>
      </c>
      <c r="N355" s="2">
        <f>VLOOKUP($C355,'[10]for slip'!$F:$BC,37,0)</f>
        <v>0</v>
      </c>
      <c r="O355" s="2">
        <f>VLOOKUP($C355,'[10]for slip'!$F:$BC,38,0)</f>
        <v>0</v>
      </c>
      <c r="P355" s="2">
        <f>VLOOKUP($C355,'[10]for slip'!$F:$BC,39,0)</f>
        <v>0</v>
      </c>
      <c r="Q355" s="2">
        <f>VLOOKUP($C355,'[10]for slip'!$F:$BC,40,0)</f>
        <v>31700</v>
      </c>
      <c r="R355" s="2">
        <f>VLOOKUP($C355,'[10]for slip'!$F:$BC,41,0)</f>
        <v>0</v>
      </c>
      <c r="S355" s="2">
        <f>VLOOKUP($C355,'[10]for slip'!$F:$BC,42,0)</f>
        <v>0</v>
      </c>
      <c r="T355" s="2">
        <f>VLOOKUP($C355,'[10]for slip'!$F:$BC,43,0)</f>
        <v>53430.83</v>
      </c>
      <c r="U355" s="2">
        <f>VLOOKUP($C355,'[10]for slip'!$F:$BC,44,0)</f>
        <v>106861.66</v>
      </c>
      <c r="V355" s="2">
        <f>VLOOKUP($C355,'[10]for slip'!$F:$BC,45,0)</f>
        <v>53430.83</v>
      </c>
      <c r="W355" s="2">
        <f>VLOOKUP($C355,'[10]for slip'!$F:$BC,48,0)</f>
        <v>0</v>
      </c>
    </row>
    <row r="356" spans="1:23" x14ac:dyDescent="0.25">
      <c r="A356" s="1">
        <v>355</v>
      </c>
      <c r="B356" s="2" t="s">
        <v>731</v>
      </c>
      <c r="C356" s="2" t="s">
        <v>732</v>
      </c>
      <c r="D356" s="2" t="str">
        <f>VLOOKUP($C356,'[10]for slip'!$F:$BC,3,0)</f>
        <v>Pelaksana</v>
      </c>
      <c r="E356" s="2" t="str">
        <f>VLOOKUP($C356,'[10]for slip'!$F:$BC,4,0)</f>
        <v>Quality Control</v>
      </c>
      <c r="F356" s="2">
        <f>VLOOKUP($C356,'[10]for slip'!$F:$BC,14,0)</f>
        <v>5343083</v>
      </c>
      <c r="G356" s="2">
        <f>VLOOKUP($C356,'[10]for slip'!$F:$BC,15,0)</f>
        <v>0</v>
      </c>
      <c r="H356" s="2">
        <f>VLOOKUP($C356,'[10]for slip'!$F:$BC,16,0)</f>
        <v>200000</v>
      </c>
      <c r="I356" s="2">
        <f>VLOOKUP($C356,'[10]for slip'!$F:$BC,17,0)</f>
        <v>0</v>
      </c>
      <c r="J356" s="2">
        <f>VLOOKUP($C356,'[10]for slip'!$F:$BC,27,0)</f>
        <v>0</v>
      </c>
      <c r="K356" s="2">
        <f>VLOOKUP($C356,'[10]for slip'!$F:$BC,31,0)</f>
        <v>0</v>
      </c>
      <c r="L356" s="2">
        <f>VLOOKUP($C356,'[10]for slip'!$F:$BC,35,0)</f>
        <v>0</v>
      </c>
      <c r="M356" s="2">
        <f>VLOOKUP($C356,'[10]for slip'!$F:$BC,36,0)</f>
        <v>0</v>
      </c>
      <c r="N356" s="2">
        <f>VLOOKUP($C356,'[10]for slip'!$F:$BC,37,0)</f>
        <v>0</v>
      </c>
      <c r="O356" s="2">
        <f>VLOOKUP($C356,'[10]for slip'!$F:$BC,38,0)</f>
        <v>0</v>
      </c>
      <c r="P356" s="2">
        <f>VLOOKUP($C356,'[10]for slip'!$F:$BC,39,0)</f>
        <v>38000</v>
      </c>
      <c r="Q356" s="2">
        <f>VLOOKUP($C356,'[10]for slip'!$F:$BC,40,0)</f>
        <v>31700</v>
      </c>
      <c r="R356" s="2">
        <f>VLOOKUP($C356,'[10]for slip'!$F:$BC,41,0)</f>
        <v>0</v>
      </c>
      <c r="S356" s="2">
        <f>VLOOKUP($C356,'[10]for slip'!$F:$BC,42,0)</f>
        <v>0</v>
      </c>
      <c r="T356" s="2">
        <f>VLOOKUP($C356,'[10]for slip'!$F:$BC,43,0)</f>
        <v>53430.83</v>
      </c>
      <c r="U356" s="2">
        <f>VLOOKUP($C356,'[10]for slip'!$F:$BC,44,0)</f>
        <v>110861.66</v>
      </c>
      <c r="V356" s="2">
        <f>VLOOKUP($C356,'[10]for slip'!$F:$BC,45,0)</f>
        <v>55430.83</v>
      </c>
      <c r="W356" s="2">
        <f>VLOOKUP($C356,'[10]for slip'!$F:$BC,48,0)</f>
        <v>0</v>
      </c>
    </row>
    <row r="357" spans="1:23" x14ac:dyDescent="0.25">
      <c r="A357" s="1">
        <v>356</v>
      </c>
      <c r="B357" s="2" t="s">
        <v>733</v>
      </c>
      <c r="C357" s="2" t="s">
        <v>734</v>
      </c>
      <c r="D357" s="2" t="str">
        <f>VLOOKUP($C357,'[10]for slip'!$F:$BC,3,0)</f>
        <v>Pelaksana</v>
      </c>
      <c r="E357" s="2" t="str">
        <f>VLOOKUP($C357,'[10]for slip'!$F:$BC,4,0)</f>
        <v>Quality Control</v>
      </c>
      <c r="F357" s="2">
        <f>VLOOKUP($C357,'[10]for slip'!$F:$BC,14,0)</f>
        <v>5343083</v>
      </c>
      <c r="G357" s="2">
        <f>VLOOKUP($C357,'[10]for slip'!$F:$BC,15,0)</f>
        <v>0</v>
      </c>
      <c r="H357" s="2">
        <f>VLOOKUP($C357,'[10]for slip'!$F:$BC,16,0)</f>
        <v>0</v>
      </c>
      <c r="I357" s="2">
        <f>VLOOKUP($C357,'[10]for slip'!$F:$BC,17,0)</f>
        <v>0</v>
      </c>
      <c r="J357" s="2">
        <f>VLOOKUP($C357,'[10]for slip'!$F:$BC,27,0)</f>
        <v>0</v>
      </c>
      <c r="K357" s="2">
        <f>VLOOKUP($C357,'[10]for slip'!$F:$BC,31,0)</f>
        <v>0</v>
      </c>
      <c r="L357" s="2">
        <f>VLOOKUP($C357,'[10]for slip'!$F:$BC,35,0)</f>
        <v>0</v>
      </c>
      <c r="M357" s="2">
        <f>VLOOKUP($C357,'[10]for slip'!$F:$BC,36,0)</f>
        <v>0</v>
      </c>
      <c r="N357" s="2">
        <f>VLOOKUP($C357,'[10]for slip'!$F:$BC,37,0)</f>
        <v>0</v>
      </c>
      <c r="O357" s="2">
        <f>VLOOKUP($C357,'[10]for slip'!$F:$BC,38,0)</f>
        <v>0</v>
      </c>
      <c r="P357" s="2">
        <f>VLOOKUP($C357,'[10]for slip'!$F:$BC,39,0)</f>
        <v>38000</v>
      </c>
      <c r="Q357" s="2">
        <f>VLOOKUP($C357,'[10]for slip'!$F:$BC,40,0)</f>
        <v>31700</v>
      </c>
      <c r="R357" s="2">
        <f>VLOOKUP($C357,'[10]for slip'!$F:$BC,41,0)</f>
        <v>0</v>
      </c>
      <c r="S357" s="2">
        <f>VLOOKUP($C357,'[10]for slip'!$F:$BC,42,0)</f>
        <v>10000</v>
      </c>
      <c r="T357" s="2">
        <f>VLOOKUP($C357,'[10]for slip'!$F:$BC,43,0)</f>
        <v>53430.83</v>
      </c>
      <c r="U357" s="2">
        <f>VLOOKUP($C357,'[10]for slip'!$F:$BC,44,0)</f>
        <v>106861.66</v>
      </c>
      <c r="V357" s="2">
        <f>VLOOKUP($C357,'[10]for slip'!$F:$BC,45,0)</f>
        <v>53430.83</v>
      </c>
      <c r="W357" s="2">
        <f>VLOOKUP($C357,'[10]for slip'!$F:$BC,48,0)</f>
        <v>0</v>
      </c>
    </row>
    <row r="358" spans="1:23" x14ac:dyDescent="0.25">
      <c r="A358" s="1">
        <v>357</v>
      </c>
      <c r="B358" s="2" t="s">
        <v>735</v>
      </c>
      <c r="C358" s="2" t="s">
        <v>736</v>
      </c>
      <c r="D358" s="2" t="str">
        <f>VLOOKUP($C358,'[10]for slip'!$F:$BC,3,0)</f>
        <v>Pelaksana</v>
      </c>
      <c r="E358" s="2" t="str">
        <f>VLOOKUP($C358,'[10]for slip'!$F:$BC,4,0)</f>
        <v>Quality Control</v>
      </c>
      <c r="F358" s="2">
        <f>VLOOKUP($C358,'[10]for slip'!$F:$BC,14,0)</f>
        <v>5343083</v>
      </c>
      <c r="G358" s="2">
        <f>VLOOKUP($C358,'[10]for slip'!$F:$BC,15,0)</f>
        <v>0</v>
      </c>
      <c r="H358" s="2">
        <f>VLOOKUP($C358,'[10]for slip'!$F:$BC,16,0)</f>
        <v>0</v>
      </c>
      <c r="I358" s="2">
        <f>VLOOKUP($C358,'[10]for slip'!$F:$BC,17,0)</f>
        <v>0</v>
      </c>
      <c r="J358" s="2">
        <f>VLOOKUP($C358,'[10]for slip'!$F:$BC,27,0)</f>
        <v>0</v>
      </c>
      <c r="K358" s="2">
        <f>VLOOKUP($C358,'[10]for slip'!$F:$BC,31,0)</f>
        <v>0</v>
      </c>
      <c r="L358" s="2">
        <f>VLOOKUP($C358,'[10]for slip'!$F:$BC,35,0)</f>
        <v>34354.584590750004</v>
      </c>
      <c r="M358" s="2">
        <f>VLOOKUP($C358,'[10]for slip'!$F:$BC,36,0)</f>
        <v>0</v>
      </c>
      <c r="N358" s="2">
        <f>VLOOKUP($C358,'[10]for slip'!$F:$BC,37,0)</f>
        <v>0</v>
      </c>
      <c r="O358" s="2">
        <f>VLOOKUP($C358,'[10]for slip'!$F:$BC,38,0)</f>
        <v>0</v>
      </c>
      <c r="P358" s="2">
        <f>VLOOKUP($C358,'[10]for slip'!$F:$BC,39,0)</f>
        <v>38000</v>
      </c>
      <c r="Q358" s="2">
        <f>VLOOKUP($C358,'[10]for slip'!$F:$BC,40,0)</f>
        <v>31700</v>
      </c>
      <c r="R358" s="2">
        <f>VLOOKUP($C358,'[10]for slip'!$F:$BC,41,0)</f>
        <v>0</v>
      </c>
      <c r="S358" s="2">
        <f>VLOOKUP($C358,'[10]for slip'!$F:$BC,42,0)</f>
        <v>10000</v>
      </c>
      <c r="T358" s="2">
        <f>VLOOKUP($C358,'[10]for slip'!$F:$BC,43,0)</f>
        <v>53430.83</v>
      </c>
      <c r="U358" s="2">
        <f>VLOOKUP($C358,'[10]for slip'!$F:$BC,44,0)</f>
        <v>106861.66</v>
      </c>
      <c r="V358" s="2">
        <f>VLOOKUP($C358,'[10]for slip'!$F:$BC,45,0)</f>
        <v>53430.83</v>
      </c>
      <c r="W358" s="2">
        <f>VLOOKUP($C358,'[10]for slip'!$F:$BC,48,0)</f>
        <v>34354.584590750004</v>
      </c>
    </row>
    <row r="359" spans="1:23" x14ac:dyDescent="0.25">
      <c r="A359" s="1">
        <v>358</v>
      </c>
      <c r="B359" s="2" t="s">
        <v>737</v>
      </c>
      <c r="C359" s="2" t="s">
        <v>738</v>
      </c>
      <c r="D359" s="2" t="str">
        <f>VLOOKUP($C359,'[10]for slip'!$F:$BC,3,0)</f>
        <v>Pelaksana</v>
      </c>
      <c r="E359" s="2" t="str">
        <f>VLOOKUP($C359,'[10]for slip'!$F:$BC,4,0)</f>
        <v>Quality Control</v>
      </c>
      <c r="F359" s="2">
        <f>VLOOKUP($C359,'[10]for slip'!$F:$BC,14,0)</f>
        <v>5343083</v>
      </c>
      <c r="G359" s="2">
        <f>VLOOKUP($C359,'[10]for slip'!$F:$BC,15,0)</f>
        <v>0</v>
      </c>
      <c r="H359" s="2">
        <f>VLOOKUP($C359,'[10]for slip'!$F:$BC,16,0)</f>
        <v>0</v>
      </c>
      <c r="I359" s="2">
        <f>VLOOKUP($C359,'[10]for slip'!$F:$BC,17,0)</f>
        <v>0</v>
      </c>
      <c r="J359" s="2">
        <f>VLOOKUP($C359,'[10]for slip'!$F:$BC,27,0)</f>
        <v>0</v>
      </c>
      <c r="K359" s="2">
        <f>VLOOKUP($C359,'[10]for slip'!$F:$BC,31,0)</f>
        <v>0</v>
      </c>
      <c r="L359" s="2">
        <f>VLOOKUP($C359,'[10]for slip'!$F:$BC,35,0)</f>
        <v>34354.584590750004</v>
      </c>
      <c r="M359" s="2">
        <f>VLOOKUP($C359,'[10]for slip'!$F:$BC,36,0)</f>
        <v>0</v>
      </c>
      <c r="N359" s="2">
        <f>VLOOKUP($C359,'[10]for slip'!$F:$BC,37,0)</f>
        <v>0</v>
      </c>
      <c r="O359" s="2">
        <f>VLOOKUP($C359,'[10]for slip'!$F:$BC,38,0)</f>
        <v>0</v>
      </c>
      <c r="P359" s="2">
        <f>VLOOKUP($C359,'[10]for slip'!$F:$BC,39,0)</f>
        <v>38000</v>
      </c>
      <c r="Q359" s="2">
        <f>VLOOKUP($C359,'[10]for slip'!$F:$BC,40,0)</f>
        <v>31700</v>
      </c>
      <c r="R359" s="2">
        <f>VLOOKUP($C359,'[10]for slip'!$F:$BC,41,0)</f>
        <v>0</v>
      </c>
      <c r="S359" s="2">
        <f>VLOOKUP($C359,'[10]for slip'!$F:$BC,42,0)</f>
        <v>0</v>
      </c>
      <c r="T359" s="2">
        <f>VLOOKUP($C359,'[10]for slip'!$F:$BC,43,0)</f>
        <v>53430.83</v>
      </c>
      <c r="U359" s="2">
        <f>VLOOKUP($C359,'[10]for slip'!$F:$BC,44,0)</f>
        <v>106861.66</v>
      </c>
      <c r="V359" s="2">
        <f>VLOOKUP($C359,'[10]for slip'!$F:$BC,45,0)</f>
        <v>53430.83</v>
      </c>
      <c r="W359" s="2">
        <f>VLOOKUP($C359,'[10]for slip'!$F:$BC,48,0)</f>
        <v>34354.584590750004</v>
      </c>
    </row>
    <row r="360" spans="1:23" x14ac:dyDescent="0.25">
      <c r="A360" s="1">
        <v>359</v>
      </c>
      <c r="B360" s="2" t="s">
        <v>739</v>
      </c>
      <c r="C360" s="2" t="s">
        <v>740</v>
      </c>
      <c r="D360" s="2" t="str">
        <f>VLOOKUP($C360,'[10]for slip'!$F:$BC,3,0)</f>
        <v>Pelaksana</v>
      </c>
      <c r="E360" s="2" t="str">
        <f>VLOOKUP($C360,'[10]for slip'!$F:$BC,4,0)</f>
        <v>Quality Control</v>
      </c>
      <c r="F360" s="2">
        <f>VLOOKUP($C360,'[10]for slip'!$F:$BC,14,0)</f>
        <v>5343083</v>
      </c>
      <c r="G360" s="2">
        <f>VLOOKUP($C360,'[10]for slip'!$F:$BC,15,0)</f>
        <v>0</v>
      </c>
      <c r="H360" s="2">
        <f>VLOOKUP($C360,'[10]for slip'!$F:$BC,16,0)</f>
        <v>0</v>
      </c>
      <c r="I360" s="2">
        <f>VLOOKUP($C360,'[10]for slip'!$F:$BC,17,0)</f>
        <v>0</v>
      </c>
      <c r="J360" s="2">
        <f>VLOOKUP($C360,'[10]for slip'!$F:$BC,27,0)</f>
        <v>0</v>
      </c>
      <c r="K360" s="2">
        <f>VLOOKUP($C360,'[10]for slip'!$F:$BC,31,0)</f>
        <v>0</v>
      </c>
      <c r="L360" s="2">
        <f>VLOOKUP($C360,'[10]for slip'!$F:$BC,35,0)</f>
        <v>0</v>
      </c>
      <c r="M360" s="2">
        <f>VLOOKUP($C360,'[10]for slip'!$F:$BC,36,0)</f>
        <v>0</v>
      </c>
      <c r="N360" s="2">
        <f>VLOOKUP($C360,'[10]for slip'!$F:$BC,37,0)</f>
        <v>0</v>
      </c>
      <c r="O360" s="2">
        <f>VLOOKUP($C360,'[10]for slip'!$F:$BC,38,0)</f>
        <v>0</v>
      </c>
      <c r="P360" s="2">
        <f>VLOOKUP($C360,'[10]for slip'!$F:$BC,39,0)</f>
        <v>38000</v>
      </c>
      <c r="Q360" s="2">
        <f>VLOOKUP($C360,'[10]for slip'!$F:$BC,40,0)</f>
        <v>31700</v>
      </c>
      <c r="R360" s="2">
        <f>VLOOKUP($C360,'[10]for slip'!$F:$BC,41,0)</f>
        <v>0</v>
      </c>
      <c r="S360" s="2">
        <f>VLOOKUP($C360,'[10]for slip'!$F:$BC,42,0)</f>
        <v>0</v>
      </c>
      <c r="T360" s="2">
        <f>VLOOKUP($C360,'[10]for slip'!$F:$BC,43,0)</f>
        <v>53430.83</v>
      </c>
      <c r="U360" s="2">
        <f>VLOOKUP($C360,'[10]for slip'!$F:$BC,44,0)</f>
        <v>106861.66</v>
      </c>
      <c r="V360" s="2">
        <f>VLOOKUP($C360,'[10]for slip'!$F:$BC,45,0)</f>
        <v>53430.83</v>
      </c>
      <c r="W360" s="2">
        <f>VLOOKUP($C360,'[10]for slip'!$F:$BC,48,0)</f>
        <v>0</v>
      </c>
    </row>
    <row r="361" spans="1:23" x14ac:dyDescent="0.25">
      <c r="A361" s="1">
        <v>360</v>
      </c>
      <c r="B361" s="2" t="s">
        <v>741</v>
      </c>
      <c r="C361" s="2" t="s">
        <v>742</v>
      </c>
      <c r="D361" s="2" t="str">
        <f>VLOOKUP($C361,'[10]for slip'!$F:$BC,3,0)</f>
        <v>Pelaksana</v>
      </c>
      <c r="E361" s="2" t="str">
        <f>VLOOKUP($C361,'[10]for slip'!$F:$BC,4,0)</f>
        <v>Quality Control</v>
      </c>
      <c r="F361" s="2">
        <f>VLOOKUP($C361,'[10]for slip'!$F:$BC,14,0)</f>
        <v>5343083</v>
      </c>
      <c r="G361" s="2">
        <f>VLOOKUP($C361,'[10]for slip'!$F:$BC,15,0)</f>
        <v>0</v>
      </c>
      <c r="H361" s="2">
        <f>VLOOKUP($C361,'[10]for slip'!$F:$BC,16,0)</f>
        <v>0</v>
      </c>
      <c r="I361" s="2">
        <f>VLOOKUP($C361,'[10]for slip'!$F:$BC,17,0)</f>
        <v>0</v>
      </c>
      <c r="J361" s="2">
        <f>VLOOKUP($C361,'[10]for slip'!$F:$BC,27,0)</f>
        <v>0</v>
      </c>
      <c r="K361" s="2">
        <f>VLOOKUP($C361,'[10]for slip'!$F:$BC,31,0)</f>
        <v>0</v>
      </c>
      <c r="L361" s="2">
        <f>VLOOKUP($C361,'[10]for slip'!$F:$BC,35,0)</f>
        <v>34354.584590750004</v>
      </c>
      <c r="M361" s="2">
        <f>VLOOKUP($C361,'[10]for slip'!$F:$BC,36,0)</f>
        <v>0</v>
      </c>
      <c r="N361" s="2">
        <f>VLOOKUP($C361,'[10]for slip'!$F:$BC,37,0)</f>
        <v>0</v>
      </c>
      <c r="O361" s="2">
        <f>VLOOKUP($C361,'[10]for slip'!$F:$BC,38,0)</f>
        <v>0</v>
      </c>
      <c r="P361" s="2">
        <f>VLOOKUP($C361,'[10]for slip'!$F:$BC,39,0)</f>
        <v>38000</v>
      </c>
      <c r="Q361" s="2">
        <f>VLOOKUP($C361,'[10]for slip'!$F:$BC,40,0)</f>
        <v>31700</v>
      </c>
      <c r="R361" s="2">
        <f>VLOOKUP($C361,'[10]for slip'!$F:$BC,41,0)</f>
        <v>0</v>
      </c>
      <c r="S361" s="2">
        <f>VLOOKUP($C361,'[10]for slip'!$F:$BC,42,0)</f>
        <v>0</v>
      </c>
      <c r="T361" s="2">
        <f>VLOOKUP($C361,'[10]for slip'!$F:$BC,43,0)</f>
        <v>53430.83</v>
      </c>
      <c r="U361" s="2">
        <f>VLOOKUP($C361,'[10]for slip'!$F:$BC,44,0)</f>
        <v>106861.66</v>
      </c>
      <c r="V361" s="2">
        <f>VLOOKUP($C361,'[10]for slip'!$F:$BC,45,0)</f>
        <v>53430.83</v>
      </c>
      <c r="W361" s="2">
        <f>VLOOKUP($C361,'[10]for slip'!$F:$BC,48,0)</f>
        <v>34354.584590750004</v>
      </c>
    </row>
    <row r="362" spans="1:23" x14ac:dyDescent="0.25">
      <c r="A362" s="1">
        <v>361</v>
      </c>
      <c r="B362" s="2" t="s">
        <v>743</v>
      </c>
      <c r="C362" s="2" t="s">
        <v>744</v>
      </c>
      <c r="D362" s="2" t="str">
        <f>VLOOKUP($C362,'[10]for slip'!$F:$BC,3,0)</f>
        <v>Pelaksana</v>
      </c>
      <c r="E362" s="2" t="str">
        <f>VLOOKUP($C362,'[10]for slip'!$F:$BC,4,0)</f>
        <v>Quality Control</v>
      </c>
      <c r="F362" s="2">
        <f>VLOOKUP($C362,'[10]for slip'!$F:$BC,14,0)</f>
        <v>5343083</v>
      </c>
      <c r="G362" s="2">
        <f>VLOOKUP($C362,'[10]for slip'!$F:$BC,15,0)</f>
        <v>0</v>
      </c>
      <c r="H362" s="2">
        <f>VLOOKUP($C362,'[10]for slip'!$F:$BC,16,0)</f>
        <v>0</v>
      </c>
      <c r="I362" s="2">
        <f>VLOOKUP($C362,'[10]for slip'!$F:$BC,17,0)</f>
        <v>0</v>
      </c>
      <c r="J362" s="2">
        <f>VLOOKUP($C362,'[10]for slip'!$F:$BC,27,0)</f>
        <v>0</v>
      </c>
      <c r="K362" s="2">
        <f>VLOOKUP($C362,'[10]for slip'!$F:$BC,31,0)</f>
        <v>0</v>
      </c>
      <c r="L362" s="2">
        <f>VLOOKUP($C362,'[10]for slip'!$F:$BC,35,0)</f>
        <v>0</v>
      </c>
      <c r="M362" s="2">
        <f>VLOOKUP($C362,'[10]for slip'!$F:$BC,36,0)</f>
        <v>0</v>
      </c>
      <c r="N362" s="2">
        <f>VLOOKUP($C362,'[10]for slip'!$F:$BC,37,0)</f>
        <v>0</v>
      </c>
      <c r="O362" s="2">
        <f>VLOOKUP($C362,'[10]for slip'!$F:$BC,38,0)</f>
        <v>0</v>
      </c>
      <c r="P362" s="2">
        <f>VLOOKUP($C362,'[10]for slip'!$F:$BC,39,0)</f>
        <v>38000</v>
      </c>
      <c r="Q362" s="2">
        <f>VLOOKUP($C362,'[10]for slip'!$F:$BC,40,0)</f>
        <v>31700</v>
      </c>
      <c r="R362" s="2">
        <f>VLOOKUP($C362,'[10]for slip'!$F:$BC,41,0)</f>
        <v>0</v>
      </c>
      <c r="S362" s="2">
        <f>VLOOKUP($C362,'[10]for slip'!$F:$BC,42,0)</f>
        <v>0</v>
      </c>
      <c r="T362" s="2">
        <f>VLOOKUP($C362,'[10]for slip'!$F:$BC,43,0)</f>
        <v>53430.83</v>
      </c>
      <c r="U362" s="2">
        <f>VLOOKUP($C362,'[10]for slip'!$F:$BC,44,0)</f>
        <v>106861.66</v>
      </c>
      <c r="V362" s="2">
        <f>VLOOKUP($C362,'[10]for slip'!$F:$BC,45,0)</f>
        <v>53430.83</v>
      </c>
      <c r="W362" s="2">
        <f>VLOOKUP($C362,'[10]for slip'!$F:$BC,48,0)</f>
        <v>0</v>
      </c>
    </row>
    <row r="363" spans="1:23" x14ac:dyDescent="0.25">
      <c r="A363" s="1">
        <v>362</v>
      </c>
      <c r="B363" s="2" t="s">
        <v>745</v>
      </c>
      <c r="C363" s="2" t="s">
        <v>746</v>
      </c>
      <c r="D363" s="2" t="str">
        <f>VLOOKUP($C363,'[10]for slip'!$F:$BC,3,0)</f>
        <v>Pelaksana</v>
      </c>
      <c r="E363" s="2" t="str">
        <f>VLOOKUP($C363,'[10]for slip'!$F:$BC,4,0)</f>
        <v>Quality Control</v>
      </c>
      <c r="F363" s="2">
        <f>VLOOKUP($C363,'[10]for slip'!$F:$BC,14,0)</f>
        <v>5343083</v>
      </c>
      <c r="G363" s="2">
        <f>VLOOKUP($C363,'[10]for slip'!$F:$BC,15,0)</f>
        <v>0</v>
      </c>
      <c r="H363" s="2">
        <f>VLOOKUP($C363,'[10]for slip'!$F:$BC,16,0)</f>
        <v>0</v>
      </c>
      <c r="I363" s="2">
        <f>VLOOKUP($C363,'[10]for slip'!$F:$BC,17,0)</f>
        <v>0</v>
      </c>
      <c r="J363" s="2">
        <f>VLOOKUP($C363,'[10]for slip'!$F:$BC,27,0)</f>
        <v>0</v>
      </c>
      <c r="K363" s="2">
        <f>VLOOKUP($C363,'[10]for slip'!$F:$BC,31,0)</f>
        <v>0</v>
      </c>
      <c r="L363" s="2">
        <f>VLOOKUP($C363,'[10]for slip'!$F:$BC,35,0)</f>
        <v>0</v>
      </c>
      <c r="M363" s="2">
        <f>VLOOKUP($C363,'[10]for slip'!$F:$BC,36,0)</f>
        <v>0</v>
      </c>
      <c r="N363" s="2">
        <f>VLOOKUP($C363,'[10]for slip'!$F:$BC,37,0)</f>
        <v>0</v>
      </c>
      <c r="O363" s="2">
        <f>VLOOKUP($C363,'[10]for slip'!$F:$BC,38,0)</f>
        <v>0</v>
      </c>
      <c r="P363" s="2">
        <f>VLOOKUP($C363,'[10]for slip'!$F:$BC,39,0)</f>
        <v>38000</v>
      </c>
      <c r="Q363" s="2">
        <f>VLOOKUP($C363,'[10]for slip'!$F:$BC,40,0)</f>
        <v>31700</v>
      </c>
      <c r="R363" s="2">
        <f>VLOOKUP($C363,'[10]for slip'!$F:$BC,41,0)</f>
        <v>0</v>
      </c>
      <c r="S363" s="2">
        <f>VLOOKUP($C363,'[10]for slip'!$F:$BC,42,0)</f>
        <v>0</v>
      </c>
      <c r="T363" s="2">
        <f>VLOOKUP($C363,'[10]for slip'!$F:$BC,43,0)</f>
        <v>53430.83</v>
      </c>
      <c r="U363" s="2">
        <f>VLOOKUP($C363,'[10]for slip'!$F:$BC,44,0)</f>
        <v>106861.66</v>
      </c>
      <c r="V363" s="2">
        <f>VLOOKUP($C363,'[10]for slip'!$F:$BC,45,0)</f>
        <v>53430.83</v>
      </c>
      <c r="W363" s="2">
        <f>VLOOKUP($C363,'[10]for slip'!$F:$BC,48,0)</f>
        <v>0</v>
      </c>
    </row>
    <row r="364" spans="1:23" x14ac:dyDescent="0.25">
      <c r="A364" s="1">
        <v>363</v>
      </c>
      <c r="B364" s="2" t="s">
        <v>747</v>
      </c>
      <c r="C364" s="2" t="s">
        <v>748</v>
      </c>
      <c r="D364" s="2" t="str">
        <f>VLOOKUP($C364,'[10]for slip'!$F:$BC,3,0)</f>
        <v>Pelaksana</v>
      </c>
      <c r="E364" s="2" t="str">
        <f>VLOOKUP($C364,'[10]for slip'!$F:$BC,4,0)</f>
        <v>Quality Control</v>
      </c>
      <c r="F364" s="2">
        <f>VLOOKUP($C364,'[10]for slip'!$F:$BC,14,0)</f>
        <v>5343083</v>
      </c>
      <c r="G364" s="2">
        <f>VLOOKUP($C364,'[10]for slip'!$F:$BC,15,0)</f>
        <v>0</v>
      </c>
      <c r="H364" s="2">
        <f>VLOOKUP($C364,'[10]for slip'!$F:$BC,16,0)</f>
        <v>0</v>
      </c>
      <c r="I364" s="2">
        <f>VLOOKUP($C364,'[10]for slip'!$F:$BC,17,0)</f>
        <v>0</v>
      </c>
      <c r="J364" s="2">
        <f>VLOOKUP($C364,'[10]for slip'!$F:$BC,27,0)</f>
        <v>0</v>
      </c>
      <c r="K364" s="2">
        <f>VLOOKUP($C364,'[10]for slip'!$F:$BC,31,0)</f>
        <v>0</v>
      </c>
      <c r="L364" s="2">
        <f>VLOOKUP($C364,'[10]for slip'!$F:$BC,35,0)</f>
        <v>15604.584590750002</v>
      </c>
      <c r="M364" s="2">
        <f>VLOOKUP($C364,'[10]for slip'!$F:$BC,36,0)</f>
        <v>0</v>
      </c>
      <c r="N364" s="2">
        <f>VLOOKUP($C364,'[10]for slip'!$F:$BC,37,0)</f>
        <v>0</v>
      </c>
      <c r="O364" s="2">
        <f>VLOOKUP($C364,'[10]for slip'!$F:$BC,38,0)</f>
        <v>0</v>
      </c>
      <c r="P364" s="2">
        <f>VLOOKUP($C364,'[10]for slip'!$F:$BC,39,0)</f>
        <v>38000</v>
      </c>
      <c r="Q364" s="2">
        <f>VLOOKUP($C364,'[10]for slip'!$F:$BC,40,0)</f>
        <v>31700</v>
      </c>
      <c r="R364" s="2">
        <f>VLOOKUP($C364,'[10]for slip'!$F:$BC,41,0)</f>
        <v>0</v>
      </c>
      <c r="S364" s="2">
        <f>VLOOKUP($C364,'[10]for slip'!$F:$BC,42,0)</f>
        <v>0</v>
      </c>
      <c r="T364" s="2">
        <f>VLOOKUP($C364,'[10]for slip'!$F:$BC,43,0)</f>
        <v>53430.83</v>
      </c>
      <c r="U364" s="2">
        <f>VLOOKUP($C364,'[10]for slip'!$F:$BC,44,0)</f>
        <v>106861.66</v>
      </c>
      <c r="V364" s="2">
        <f>VLOOKUP($C364,'[10]for slip'!$F:$BC,45,0)</f>
        <v>53430.83</v>
      </c>
      <c r="W364" s="2">
        <f>VLOOKUP($C364,'[10]for slip'!$F:$BC,48,0)</f>
        <v>15604.584590750002</v>
      </c>
    </row>
    <row r="365" spans="1:23" x14ac:dyDescent="0.25">
      <c r="A365" s="1">
        <v>364</v>
      </c>
      <c r="B365" s="2" t="s">
        <v>749</v>
      </c>
      <c r="C365" s="2" t="s">
        <v>750</v>
      </c>
      <c r="D365" s="2" t="str">
        <f>VLOOKUP($C365,'[10]for slip'!$F:$BC,3,0)</f>
        <v>Pelaksana</v>
      </c>
      <c r="E365" s="2" t="str">
        <f>VLOOKUP($C365,'[10]for slip'!$F:$BC,4,0)</f>
        <v>Quality Control</v>
      </c>
      <c r="F365" s="2">
        <f>VLOOKUP($C365,'[10]for slip'!$F:$BC,14,0)</f>
        <v>5343083</v>
      </c>
      <c r="G365" s="2">
        <f>VLOOKUP($C365,'[10]for slip'!$F:$BC,15,0)</f>
        <v>0</v>
      </c>
      <c r="H365" s="2">
        <f>VLOOKUP($C365,'[10]for slip'!$F:$BC,16,0)</f>
        <v>0</v>
      </c>
      <c r="I365" s="2">
        <f>VLOOKUP($C365,'[10]for slip'!$F:$BC,17,0)</f>
        <v>0</v>
      </c>
      <c r="J365" s="2">
        <f>VLOOKUP($C365,'[10]for slip'!$F:$BC,27,0)</f>
        <v>0</v>
      </c>
      <c r="K365" s="2">
        <f>VLOOKUP($C365,'[10]for slip'!$F:$BC,31,0)</f>
        <v>0</v>
      </c>
      <c r="L365" s="2">
        <f>VLOOKUP($C365,'[10]for slip'!$F:$BC,35,0)</f>
        <v>0</v>
      </c>
      <c r="M365" s="2">
        <f>VLOOKUP($C365,'[10]for slip'!$F:$BC,36,0)</f>
        <v>0</v>
      </c>
      <c r="N365" s="2">
        <f>VLOOKUP($C365,'[10]for slip'!$F:$BC,37,0)</f>
        <v>0</v>
      </c>
      <c r="O365" s="2">
        <f>VLOOKUP($C365,'[10]for slip'!$F:$BC,38,0)</f>
        <v>0</v>
      </c>
      <c r="P365" s="2">
        <f>VLOOKUP($C365,'[10]for slip'!$F:$BC,39,0)</f>
        <v>0</v>
      </c>
      <c r="Q365" s="2">
        <f>VLOOKUP($C365,'[10]for slip'!$F:$BC,40,0)</f>
        <v>31700</v>
      </c>
      <c r="R365" s="2">
        <f>VLOOKUP($C365,'[10]for slip'!$F:$BC,41,0)</f>
        <v>0</v>
      </c>
      <c r="S365" s="2">
        <f>VLOOKUP($C365,'[10]for slip'!$F:$BC,42,0)</f>
        <v>0</v>
      </c>
      <c r="T365" s="2">
        <f>VLOOKUP($C365,'[10]for slip'!$F:$BC,43,0)</f>
        <v>53430.83</v>
      </c>
      <c r="U365" s="2">
        <f>VLOOKUP($C365,'[10]for slip'!$F:$BC,44,0)</f>
        <v>106861.66</v>
      </c>
      <c r="V365" s="2">
        <f>VLOOKUP($C365,'[10]for slip'!$F:$BC,45,0)</f>
        <v>53430.83</v>
      </c>
      <c r="W365" s="2">
        <f>VLOOKUP($C365,'[10]for slip'!$F:$BC,48,0)</f>
        <v>0</v>
      </c>
    </row>
    <row r="366" spans="1:23" x14ac:dyDescent="0.25">
      <c r="A366" s="1">
        <v>365</v>
      </c>
      <c r="B366" s="2" t="s">
        <v>751</v>
      </c>
      <c r="C366" s="2" t="s">
        <v>752</v>
      </c>
      <c r="D366" s="2" t="str">
        <f>VLOOKUP($C366,'[10]for slip'!$F:$BC,3,0)</f>
        <v>Pelaksana</v>
      </c>
      <c r="E366" s="2" t="str">
        <f>VLOOKUP($C366,'[10]for slip'!$F:$BC,4,0)</f>
        <v>Quality Control</v>
      </c>
      <c r="F366" s="2">
        <f>VLOOKUP($C366,'[10]for slip'!$F:$BC,14,0)</f>
        <v>5343083</v>
      </c>
      <c r="G366" s="2">
        <f>VLOOKUP($C366,'[10]for slip'!$F:$BC,15,0)</f>
        <v>0</v>
      </c>
      <c r="H366" s="2">
        <f>VLOOKUP($C366,'[10]for slip'!$F:$BC,16,0)</f>
        <v>0</v>
      </c>
      <c r="I366" s="2">
        <f>VLOOKUP($C366,'[10]for slip'!$F:$BC,17,0)</f>
        <v>0</v>
      </c>
      <c r="J366" s="2">
        <f>VLOOKUP($C366,'[10]for slip'!$F:$BC,27,0)</f>
        <v>0</v>
      </c>
      <c r="K366" s="2">
        <f>VLOOKUP($C366,'[10]for slip'!$F:$BC,31,0)</f>
        <v>0</v>
      </c>
      <c r="L366" s="2">
        <f>VLOOKUP($C366,'[10]for slip'!$F:$BC,35,0)</f>
        <v>15604.584590750002</v>
      </c>
      <c r="M366" s="2">
        <f>VLOOKUP($C366,'[10]for slip'!$F:$BC,36,0)</f>
        <v>0</v>
      </c>
      <c r="N366" s="2">
        <f>VLOOKUP($C366,'[10]for slip'!$F:$BC,37,0)</f>
        <v>0</v>
      </c>
      <c r="O366" s="2">
        <f>VLOOKUP($C366,'[10]for slip'!$F:$BC,38,0)</f>
        <v>0</v>
      </c>
      <c r="P366" s="2">
        <f>VLOOKUP($C366,'[10]for slip'!$F:$BC,39,0)</f>
        <v>38000</v>
      </c>
      <c r="Q366" s="2">
        <f>VLOOKUP($C366,'[10]for slip'!$F:$BC,40,0)</f>
        <v>31700</v>
      </c>
      <c r="R366" s="2">
        <f>VLOOKUP($C366,'[10]for slip'!$F:$BC,41,0)</f>
        <v>0</v>
      </c>
      <c r="S366" s="2">
        <f>VLOOKUP($C366,'[10]for slip'!$F:$BC,42,0)</f>
        <v>10000</v>
      </c>
      <c r="T366" s="2">
        <f>VLOOKUP($C366,'[10]for slip'!$F:$BC,43,0)</f>
        <v>53430.83</v>
      </c>
      <c r="U366" s="2">
        <f>VLOOKUP($C366,'[10]for slip'!$F:$BC,44,0)</f>
        <v>106861.66</v>
      </c>
      <c r="V366" s="2">
        <f>VLOOKUP($C366,'[10]for slip'!$F:$BC,45,0)</f>
        <v>53430.83</v>
      </c>
      <c r="W366" s="2">
        <f>VLOOKUP($C366,'[10]for slip'!$F:$BC,48,0)</f>
        <v>15604.584590750002</v>
      </c>
    </row>
    <row r="367" spans="1:23" x14ac:dyDescent="0.25">
      <c r="A367" s="1">
        <v>366</v>
      </c>
      <c r="B367" s="2" t="s">
        <v>753</v>
      </c>
      <c r="C367" s="2" t="s">
        <v>754</v>
      </c>
      <c r="D367" s="2" t="str">
        <f>VLOOKUP($C367,'[10]for slip'!$F:$BC,3,0)</f>
        <v>Pelaksana</v>
      </c>
      <c r="E367" s="2" t="str">
        <f>VLOOKUP($C367,'[10]for slip'!$F:$BC,4,0)</f>
        <v>Quality Control</v>
      </c>
      <c r="F367" s="2">
        <f>VLOOKUP($C367,'[10]for slip'!$F:$BC,14,0)</f>
        <v>5343083</v>
      </c>
      <c r="G367" s="2">
        <f>VLOOKUP($C367,'[10]for slip'!$F:$BC,15,0)</f>
        <v>0</v>
      </c>
      <c r="H367" s="2">
        <f>VLOOKUP($C367,'[10]for slip'!$F:$BC,16,0)</f>
        <v>0</v>
      </c>
      <c r="I367" s="2">
        <f>VLOOKUP($C367,'[10]for slip'!$F:$BC,17,0)</f>
        <v>0</v>
      </c>
      <c r="J367" s="2">
        <f>VLOOKUP($C367,'[10]for slip'!$F:$BC,27,0)</f>
        <v>0</v>
      </c>
      <c r="K367" s="2">
        <f>VLOOKUP($C367,'[10]for slip'!$F:$BC,31,0)</f>
        <v>0</v>
      </c>
      <c r="L367" s="2">
        <f>VLOOKUP($C367,'[10]for slip'!$F:$BC,35,0)</f>
        <v>15604.584590750002</v>
      </c>
      <c r="M367" s="2">
        <f>VLOOKUP($C367,'[10]for slip'!$F:$BC,36,0)</f>
        <v>0</v>
      </c>
      <c r="N367" s="2">
        <f>VLOOKUP($C367,'[10]for slip'!$F:$BC,37,0)</f>
        <v>0</v>
      </c>
      <c r="O367" s="2">
        <f>VLOOKUP($C367,'[10]for slip'!$F:$BC,38,0)</f>
        <v>0</v>
      </c>
      <c r="P367" s="2">
        <f>VLOOKUP($C367,'[10]for slip'!$F:$BC,39,0)</f>
        <v>38000</v>
      </c>
      <c r="Q367" s="2">
        <f>VLOOKUP($C367,'[10]for slip'!$F:$BC,40,0)</f>
        <v>31700</v>
      </c>
      <c r="R367" s="2">
        <f>VLOOKUP($C367,'[10]for slip'!$F:$BC,41,0)</f>
        <v>0</v>
      </c>
      <c r="S367" s="2">
        <f>VLOOKUP($C367,'[10]for slip'!$F:$BC,42,0)</f>
        <v>10000</v>
      </c>
      <c r="T367" s="2">
        <f>VLOOKUP($C367,'[10]for slip'!$F:$BC,43,0)</f>
        <v>53430.83</v>
      </c>
      <c r="U367" s="2">
        <f>VLOOKUP($C367,'[10]for slip'!$F:$BC,44,0)</f>
        <v>106861.66</v>
      </c>
      <c r="V367" s="2">
        <f>VLOOKUP($C367,'[10]for slip'!$F:$BC,45,0)</f>
        <v>53430.83</v>
      </c>
      <c r="W367" s="2">
        <f>VLOOKUP($C367,'[10]for slip'!$F:$BC,48,0)</f>
        <v>15604.584590750002</v>
      </c>
    </row>
    <row r="368" spans="1:23" x14ac:dyDescent="0.25">
      <c r="A368" s="1">
        <v>367</v>
      </c>
      <c r="B368" s="2" t="s">
        <v>755</v>
      </c>
      <c r="C368" s="2" t="s">
        <v>756</v>
      </c>
      <c r="D368" s="2" t="str">
        <f>VLOOKUP($C368,'[10]for slip'!$F:$BC,3,0)</f>
        <v>Pelaksana</v>
      </c>
      <c r="E368" s="2" t="str">
        <f>VLOOKUP($C368,'[10]for slip'!$F:$BC,4,0)</f>
        <v>Quality Control</v>
      </c>
      <c r="F368" s="2">
        <f>VLOOKUP($C368,'[10]for slip'!$F:$BC,14,0)</f>
        <v>5343083</v>
      </c>
      <c r="G368" s="2">
        <f>VLOOKUP($C368,'[10]for slip'!$F:$BC,15,0)</f>
        <v>0</v>
      </c>
      <c r="H368" s="2">
        <f>VLOOKUP($C368,'[10]for slip'!$F:$BC,16,0)</f>
        <v>0</v>
      </c>
      <c r="I368" s="2">
        <f>VLOOKUP($C368,'[10]for slip'!$F:$BC,17,0)</f>
        <v>0</v>
      </c>
      <c r="J368" s="2">
        <f>VLOOKUP($C368,'[10]for slip'!$F:$BC,27,0)</f>
        <v>0</v>
      </c>
      <c r="K368" s="2">
        <f>VLOOKUP($C368,'[10]for slip'!$F:$BC,31,0)</f>
        <v>0</v>
      </c>
      <c r="L368" s="2">
        <f>VLOOKUP($C368,'[10]for slip'!$F:$BC,35,0)</f>
        <v>0</v>
      </c>
      <c r="M368" s="2">
        <f>VLOOKUP($C368,'[10]for slip'!$F:$BC,36,0)</f>
        <v>0</v>
      </c>
      <c r="N368" s="2">
        <f>VLOOKUP($C368,'[10]for slip'!$F:$BC,37,0)</f>
        <v>0</v>
      </c>
      <c r="O368" s="2">
        <f>VLOOKUP($C368,'[10]for slip'!$F:$BC,38,0)</f>
        <v>0</v>
      </c>
      <c r="P368" s="2">
        <f>VLOOKUP($C368,'[10]for slip'!$F:$BC,39,0)</f>
        <v>38000</v>
      </c>
      <c r="Q368" s="2">
        <f>VLOOKUP($C368,'[10]for slip'!$F:$BC,40,0)</f>
        <v>31700</v>
      </c>
      <c r="R368" s="2">
        <f>VLOOKUP($C368,'[10]for slip'!$F:$BC,41,0)</f>
        <v>0</v>
      </c>
      <c r="S368" s="2">
        <f>VLOOKUP($C368,'[10]for slip'!$F:$BC,42,0)</f>
        <v>0</v>
      </c>
      <c r="T368" s="2">
        <f>VLOOKUP($C368,'[10]for slip'!$F:$BC,43,0)</f>
        <v>53430.83</v>
      </c>
      <c r="U368" s="2">
        <f>VLOOKUP($C368,'[10]for slip'!$F:$BC,44,0)</f>
        <v>106861.66</v>
      </c>
      <c r="V368" s="2">
        <f>VLOOKUP($C368,'[10]for slip'!$F:$BC,45,0)</f>
        <v>53430.83</v>
      </c>
      <c r="W368" s="2">
        <f>VLOOKUP($C368,'[10]for slip'!$F:$BC,48,0)</f>
        <v>0</v>
      </c>
    </row>
    <row r="369" spans="1:23" x14ac:dyDescent="0.25">
      <c r="A369" s="1">
        <v>368</v>
      </c>
      <c r="B369" s="2" t="s">
        <v>757</v>
      </c>
      <c r="C369" s="2" t="s">
        <v>758</v>
      </c>
      <c r="D369" s="2" t="str">
        <f>VLOOKUP($C369,'[10]for slip'!$F:$BC,3,0)</f>
        <v>Pelaksana</v>
      </c>
      <c r="E369" s="2" t="str">
        <f>VLOOKUP($C369,'[10]for slip'!$F:$BC,4,0)</f>
        <v>Quality Control</v>
      </c>
      <c r="F369" s="2">
        <f>VLOOKUP($C369,'[10]for slip'!$F:$BC,14,0)</f>
        <v>5343083</v>
      </c>
      <c r="G369" s="2">
        <f>VLOOKUP($C369,'[10]for slip'!$F:$BC,15,0)</f>
        <v>0</v>
      </c>
      <c r="H369" s="2">
        <f>VLOOKUP($C369,'[10]for slip'!$F:$BC,16,0)</f>
        <v>0</v>
      </c>
      <c r="I369" s="2">
        <f>VLOOKUP($C369,'[10]for slip'!$F:$BC,17,0)</f>
        <v>0</v>
      </c>
      <c r="J369" s="2">
        <f>VLOOKUP($C369,'[10]for slip'!$F:$BC,27,0)</f>
        <v>0</v>
      </c>
      <c r="K369" s="2">
        <f>VLOOKUP($C369,'[10]for slip'!$F:$BC,31,0)</f>
        <v>0</v>
      </c>
      <c r="L369" s="2">
        <f>VLOOKUP($C369,'[10]for slip'!$F:$BC,35,0)</f>
        <v>15604.584590750002</v>
      </c>
      <c r="M369" s="2">
        <f>VLOOKUP($C369,'[10]for slip'!$F:$BC,36,0)</f>
        <v>0</v>
      </c>
      <c r="N369" s="2">
        <f>VLOOKUP($C369,'[10]for slip'!$F:$BC,37,0)</f>
        <v>0</v>
      </c>
      <c r="O369" s="2">
        <f>VLOOKUP($C369,'[10]for slip'!$F:$BC,38,0)</f>
        <v>0</v>
      </c>
      <c r="P369" s="2">
        <f>VLOOKUP($C369,'[10]for slip'!$F:$BC,39,0)</f>
        <v>38000</v>
      </c>
      <c r="Q369" s="2">
        <f>VLOOKUP($C369,'[10]for slip'!$F:$BC,40,0)</f>
        <v>31700</v>
      </c>
      <c r="R369" s="2">
        <f>VLOOKUP($C369,'[10]for slip'!$F:$BC,41,0)</f>
        <v>0</v>
      </c>
      <c r="S369" s="2">
        <f>VLOOKUP($C369,'[10]for slip'!$F:$BC,42,0)</f>
        <v>0</v>
      </c>
      <c r="T369" s="2">
        <f>VLOOKUP($C369,'[10]for slip'!$F:$BC,43,0)</f>
        <v>53430.83</v>
      </c>
      <c r="U369" s="2">
        <f>VLOOKUP($C369,'[10]for slip'!$F:$BC,44,0)</f>
        <v>106861.66</v>
      </c>
      <c r="V369" s="2">
        <f>VLOOKUP($C369,'[10]for slip'!$F:$BC,45,0)</f>
        <v>53430.83</v>
      </c>
      <c r="W369" s="2">
        <f>VLOOKUP($C369,'[10]for slip'!$F:$BC,48,0)</f>
        <v>15604.584590750002</v>
      </c>
    </row>
    <row r="370" spans="1:23" x14ac:dyDescent="0.25">
      <c r="A370" s="1">
        <v>369</v>
      </c>
      <c r="B370" s="2" t="s">
        <v>759</v>
      </c>
      <c r="C370" s="2" t="s">
        <v>760</v>
      </c>
      <c r="D370" s="2" t="str">
        <f>VLOOKUP($C370,'[10]for slip'!$F:$BC,3,0)</f>
        <v>Pelaksana</v>
      </c>
      <c r="E370" s="2" t="str">
        <f>VLOOKUP($C370,'[10]for slip'!$F:$BC,4,0)</f>
        <v>Quality Control</v>
      </c>
      <c r="F370" s="2">
        <f>VLOOKUP($C370,'[10]for slip'!$F:$BC,14,0)</f>
        <v>5343083</v>
      </c>
      <c r="G370" s="2">
        <f>VLOOKUP($C370,'[10]for slip'!$F:$BC,15,0)</f>
        <v>0</v>
      </c>
      <c r="H370" s="2">
        <f>VLOOKUP($C370,'[10]for slip'!$F:$BC,16,0)</f>
        <v>0</v>
      </c>
      <c r="I370" s="2">
        <f>VLOOKUP($C370,'[10]for slip'!$F:$BC,17,0)</f>
        <v>0</v>
      </c>
      <c r="J370" s="2">
        <f>VLOOKUP($C370,'[10]for slip'!$F:$BC,27,0)</f>
        <v>0</v>
      </c>
      <c r="K370" s="2">
        <f>VLOOKUP($C370,'[10]for slip'!$F:$BC,31,0)</f>
        <v>0</v>
      </c>
      <c r="L370" s="2">
        <f>VLOOKUP($C370,'[10]for slip'!$F:$BC,35,0)</f>
        <v>15604.584590750002</v>
      </c>
      <c r="M370" s="2">
        <f>VLOOKUP($C370,'[10]for slip'!$F:$BC,36,0)</f>
        <v>0</v>
      </c>
      <c r="N370" s="2">
        <f>VLOOKUP($C370,'[10]for slip'!$F:$BC,37,0)</f>
        <v>0</v>
      </c>
      <c r="O370" s="2">
        <f>VLOOKUP($C370,'[10]for slip'!$F:$BC,38,0)</f>
        <v>0</v>
      </c>
      <c r="P370" s="2">
        <f>VLOOKUP($C370,'[10]for slip'!$F:$BC,39,0)</f>
        <v>0</v>
      </c>
      <c r="Q370" s="2">
        <f>VLOOKUP($C370,'[10]for slip'!$F:$BC,40,0)</f>
        <v>31700</v>
      </c>
      <c r="R370" s="2">
        <f>VLOOKUP($C370,'[10]for slip'!$F:$BC,41,0)</f>
        <v>0</v>
      </c>
      <c r="S370" s="2">
        <f>VLOOKUP($C370,'[10]for slip'!$F:$BC,42,0)</f>
        <v>0</v>
      </c>
      <c r="T370" s="2">
        <f>VLOOKUP($C370,'[10]for slip'!$F:$BC,43,0)</f>
        <v>53430.83</v>
      </c>
      <c r="U370" s="2">
        <f>VLOOKUP($C370,'[10]for slip'!$F:$BC,44,0)</f>
        <v>106861.66</v>
      </c>
      <c r="V370" s="2">
        <f>VLOOKUP($C370,'[10]for slip'!$F:$BC,45,0)</f>
        <v>53430.83</v>
      </c>
      <c r="W370" s="2">
        <f>VLOOKUP($C370,'[10]for slip'!$F:$BC,48,0)</f>
        <v>15604.584590750002</v>
      </c>
    </row>
    <row r="371" spans="1:23" x14ac:dyDescent="0.25">
      <c r="A371" s="1">
        <v>370</v>
      </c>
      <c r="B371" s="2" t="s">
        <v>761</v>
      </c>
      <c r="C371" s="2" t="s">
        <v>762</v>
      </c>
      <c r="D371" s="2" t="str">
        <f>VLOOKUP($C371,'[10]for slip'!$F:$BC,3,0)</f>
        <v>Pelaksana</v>
      </c>
      <c r="E371" s="2" t="str">
        <f>VLOOKUP($C371,'[10]for slip'!$F:$BC,4,0)</f>
        <v>Quality Control</v>
      </c>
      <c r="F371" s="2">
        <f>VLOOKUP($C371,'[10]for slip'!$F:$BC,14,0)</f>
        <v>5343083</v>
      </c>
      <c r="G371" s="2">
        <f>VLOOKUP($C371,'[10]for slip'!$F:$BC,15,0)</f>
        <v>0</v>
      </c>
      <c r="H371" s="2">
        <f>VLOOKUP($C371,'[10]for slip'!$F:$BC,16,0)</f>
        <v>0</v>
      </c>
      <c r="I371" s="2">
        <f>VLOOKUP($C371,'[10]for slip'!$F:$BC,17,0)</f>
        <v>0</v>
      </c>
      <c r="J371" s="2">
        <f>VLOOKUP($C371,'[10]for slip'!$F:$BC,27,0)</f>
        <v>0</v>
      </c>
      <c r="K371" s="2">
        <f>VLOOKUP($C371,'[10]for slip'!$F:$BC,31,0)</f>
        <v>0</v>
      </c>
      <c r="L371" s="2">
        <f>VLOOKUP($C371,'[10]for slip'!$F:$BC,35,0)</f>
        <v>15604.584590750002</v>
      </c>
      <c r="M371" s="2">
        <f>VLOOKUP($C371,'[10]for slip'!$F:$BC,36,0)</f>
        <v>0</v>
      </c>
      <c r="N371" s="2">
        <f>VLOOKUP($C371,'[10]for slip'!$F:$BC,37,0)</f>
        <v>0</v>
      </c>
      <c r="O371" s="2">
        <f>VLOOKUP($C371,'[10]for slip'!$F:$BC,38,0)</f>
        <v>0</v>
      </c>
      <c r="P371" s="2">
        <f>VLOOKUP($C371,'[10]for slip'!$F:$BC,39,0)</f>
        <v>38000</v>
      </c>
      <c r="Q371" s="2">
        <f>VLOOKUP($C371,'[10]for slip'!$F:$BC,40,0)</f>
        <v>31700</v>
      </c>
      <c r="R371" s="2">
        <f>VLOOKUP($C371,'[10]for slip'!$F:$BC,41,0)</f>
        <v>0</v>
      </c>
      <c r="S371" s="2">
        <f>VLOOKUP($C371,'[10]for slip'!$F:$BC,42,0)</f>
        <v>0</v>
      </c>
      <c r="T371" s="2">
        <f>VLOOKUP($C371,'[10]for slip'!$F:$BC,43,0)</f>
        <v>53430.83</v>
      </c>
      <c r="U371" s="2">
        <f>VLOOKUP($C371,'[10]for slip'!$F:$BC,44,0)</f>
        <v>106861.66</v>
      </c>
      <c r="V371" s="2">
        <f>VLOOKUP($C371,'[10]for slip'!$F:$BC,45,0)</f>
        <v>53430.83</v>
      </c>
      <c r="W371" s="2">
        <f>VLOOKUP($C371,'[10]for slip'!$F:$BC,48,0)</f>
        <v>15604.584590750002</v>
      </c>
    </row>
    <row r="372" spans="1:23" x14ac:dyDescent="0.25">
      <c r="A372" s="1">
        <v>371</v>
      </c>
      <c r="B372" s="2" t="s">
        <v>763</v>
      </c>
      <c r="C372" s="2" t="s">
        <v>764</v>
      </c>
      <c r="D372" s="2" t="str">
        <f>VLOOKUP($C372,'[10]for slip'!$F:$BC,3,0)</f>
        <v>Pelaksana</v>
      </c>
      <c r="E372" s="2" t="str">
        <f>VLOOKUP($C372,'[10]for slip'!$F:$BC,4,0)</f>
        <v>Quality Control</v>
      </c>
      <c r="F372" s="2">
        <f>VLOOKUP($C372,'[10]for slip'!$F:$BC,14,0)</f>
        <v>5343083</v>
      </c>
      <c r="G372" s="2">
        <f>VLOOKUP($C372,'[10]for slip'!$F:$BC,15,0)</f>
        <v>0</v>
      </c>
      <c r="H372" s="2">
        <f>VLOOKUP($C372,'[10]for slip'!$F:$BC,16,0)</f>
        <v>0</v>
      </c>
      <c r="I372" s="2">
        <f>VLOOKUP($C372,'[10]for slip'!$F:$BC,17,0)</f>
        <v>0</v>
      </c>
      <c r="J372" s="2">
        <f>VLOOKUP($C372,'[10]for slip'!$F:$BC,27,0)</f>
        <v>0</v>
      </c>
      <c r="K372" s="2">
        <f>VLOOKUP($C372,'[10]for slip'!$F:$BC,31,0)</f>
        <v>0</v>
      </c>
      <c r="L372" s="2">
        <f>VLOOKUP($C372,'[10]for slip'!$F:$BC,35,0)</f>
        <v>15604.584590750002</v>
      </c>
      <c r="M372" s="2">
        <f>VLOOKUP($C372,'[10]for slip'!$F:$BC,36,0)</f>
        <v>0</v>
      </c>
      <c r="N372" s="2">
        <f>VLOOKUP($C372,'[10]for slip'!$F:$BC,37,0)</f>
        <v>0</v>
      </c>
      <c r="O372" s="2">
        <f>VLOOKUP($C372,'[10]for slip'!$F:$BC,38,0)</f>
        <v>0</v>
      </c>
      <c r="P372" s="2">
        <f>VLOOKUP($C372,'[10]for slip'!$F:$BC,39,0)</f>
        <v>38000</v>
      </c>
      <c r="Q372" s="2">
        <f>VLOOKUP($C372,'[10]for slip'!$F:$BC,40,0)</f>
        <v>31700</v>
      </c>
      <c r="R372" s="2">
        <f>VLOOKUP($C372,'[10]for slip'!$F:$BC,41,0)</f>
        <v>0</v>
      </c>
      <c r="S372" s="2">
        <f>VLOOKUP($C372,'[10]for slip'!$F:$BC,42,0)</f>
        <v>0</v>
      </c>
      <c r="T372" s="2">
        <f>VLOOKUP($C372,'[10]for slip'!$F:$BC,43,0)</f>
        <v>53430.83</v>
      </c>
      <c r="U372" s="2">
        <f>VLOOKUP($C372,'[10]for slip'!$F:$BC,44,0)</f>
        <v>106861.66</v>
      </c>
      <c r="V372" s="2">
        <f>VLOOKUP($C372,'[10]for slip'!$F:$BC,45,0)</f>
        <v>53430.83</v>
      </c>
      <c r="W372" s="2">
        <f>VLOOKUP($C372,'[10]for slip'!$F:$BC,48,0)</f>
        <v>15604.584590750002</v>
      </c>
    </row>
    <row r="373" spans="1:23" x14ac:dyDescent="0.25">
      <c r="A373" s="1">
        <v>372</v>
      </c>
      <c r="B373" s="2" t="s">
        <v>765</v>
      </c>
      <c r="C373" s="2" t="s">
        <v>766</v>
      </c>
      <c r="D373" s="2" t="str">
        <f>VLOOKUP($C373,'[10]for slip'!$F:$BC,3,0)</f>
        <v>Pelaksana</v>
      </c>
      <c r="E373" s="2" t="str">
        <f>VLOOKUP($C373,'[10]for slip'!$F:$BC,4,0)</f>
        <v>Quality Control</v>
      </c>
      <c r="F373" s="2">
        <f>VLOOKUP($C373,'[10]for slip'!$F:$BC,14,0)</f>
        <v>5343083</v>
      </c>
      <c r="G373" s="2">
        <f>VLOOKUP($C373,'[10]for slip'!$F:$BC,15,0)</f>
        <v>0</v>
      </c>
      <c r="H373" s="2">
        <f>VLOOKUP($C373,'[10]for slip'!$F:$BC,16,0)</f>
        <v>0</v>
      </c>
      <c r="I373" s="2">
        <f>VLOOKUP($C373,'[10]for slip'!$F:$BC,17,0)</f>
        <v>0</v>
      </c>
      <c r="J373" s="2">
        <f>VLOOKUP($C373,'[10]for slip'!$F:$BC,27,0)</f>
        <v>0</v>
      </c>
      <c r="K373" s="2">
        <f>VLOOKUP($C373,'[10]for slip'!$F:$BC,31,0)</f>
        <v>0</v>
      </c>
      <c r="L373" s="2">
        <f>VLOOKUP($C373,'[10]for slip'!$F:$BC,35,0)</f>
        <v>0</v>
      </c>
      <c r="M373" s="2">
        <f>VLOOKUP($C373,'[10]for slip'!$F:$BC,36,0)</f>
        <v>0</v>
      </c>
      <c r="N373" s="2">
        <f>VLOOKUP($C373,'[10]for slip'!$F:$BC,37,0)</f>
        <v>0</v>
      </c>
      <c r="O373" s="2">
        <f>VLOOKUP($C373,'[10]for slip'!$F:$BC,38,0)</f>
        <v>0</v>
      </c>
      <c r="P373" s="2">
        <f>VLOOKUP($C373,'[10]for slip'!$F:$BC,39,0)</f>
        <v>38000</v>
      </c>
      <c r="Q373" s="2">
        <f>VLOOKUP($C373,'[10]for slip'!$F:$BC,40,0)</f>
        <v>31700</v>
      </c>
      <c r="R373" s="2">
        <f>VLOOKUP($C373,'[10]for slip'!$F:$BC,41,0)</f>
        <v>0</v>
      </c>
      <c r="S373" s="2">
        <f>VLOOKUP($C373,'[10]for slip'!$F:$BC,42,0)</f>
        <v>0</v>
      </c>
      <c r="T373" s="2">
        <f>VLOOKUP($C373,'[10]for slip'!$F:$BC,43,0)</f>
        <v>53430.83</v>
      </c>
      <c r="U373" s="2">
        <f>VLOOKUP($C373,'[10]for slip'!$F:$BC,44,0)</f>
        <v>106861.66</v>
      </c>
      <c r="V373" s="2">
        <f>VLOOKUP($C373,'[10]for slip'!$F:$BC,45,0)</f>
        <v>53430.83</v>
      </c>
      <c r="W373" s="2">
        <f>VLOOKUP($C373,'[10]for slip'!$F:$BC,48,0)</f>
        <v>0</v>
      </c>
    </row>
    <row r="374" spans="1:23" x14ac:dyDescent="0.25">
      <c r="A374" s="1">
        <v>373</v>
      </c>
      <c r="B374" s="2" t="s">
        <v>767</v>
      </c>
      <c r="C374" s="2" t="s">
        <v>768</v>
      </c>
      <c r="D374" s="2" t="str">
        <f>VLOOKUP($C374,'[10]for slip'!$F:$BC,3,0)</f>
        <v>Pelaksana</v>
      </c>
      <c r="E374" s="2" t="str">
        <f>VLOOKUP($C374,'[10]for slip'!$F:$BC,4,0)</f>
        <v>Quality Control</v>
      </c>
      <c r="F374" s="2">
        <f>VLOOKUP($C374,'[10]for slip'!$F:$BC,14,0)</f>
        <v>5343083</v>
      </c>
      <c r="G374" s="2">
        <f>VLOOKUP($C374,'[10]for slip'!$F:$BC,15,0)</f>
        <v>0</v>
      </c>
      <c r="H374" s="2">
        <f>VLOOKUP($C374,'[10]for slip'!$F:$BC,16,0)</f>
        <v>0</v>
      </c>
      <c r="I374" s="2">
        <f>VLOOKUP($C374,'[10]for slip'!$F:$BC,17,0)</f>
        <v>0</v>
      </c>
      <c r="J374" s="2">
        <f>VLOOKUP($C374,'[10]for slip'!$F:$BC,27,0)</f>
        <v>0</v>
      </c>
      <c r="K374" s="2">
        <f>VLOOKUP($C374,'[10]for slip'!$F:$BC,31,0)</f>
        <v>0</v>
      </c>
      <c r="L374" s="2">
        <f>VLOOKUP($C374,'[10]for slip'!$F:$BC,35,0)</f>
        <v>34354.584590750004</v>
      </c>
      <c r="M374" s="2">
        <f>VLOOKUP($C374,'[10]for slip'!$F:$BC,36,0)</f>
        <v>0</v>
      </c>
      <c r="N374" s="2">
        <f>VLOOKUP($C374,'[10]for slip'!$F:$BC,37,0)</f>
        <v>0</v>
      </c>
      <c r="O374" s="2">
        <f>VLOOKUP($C374,'[10]for slip'!$F:$BC,38,0)</f>
        <v>0</v>
      </c>
      <c r="P374" s="2">
        <f>VLOOKUP($C374,'[10]for slip'!$F:$BC,39,0)</f>
        <v>38000</v>
      </c>
      <c r="Q374" s="2">
        <f>VLOOKUP($C374,'[10]for slip'!$F:$BC,40,0)</f>
        <v>31700</v>
      </c>
      <c r="R374" s="2">
        <f>VLOOKUP($C374,'[10]for slip'!$F:$BC,41,0)</f>
        <v>0</v>
      </c>
      <c r="S374" s="2">
        <f>VLOOKUP($C374,'[10]for slip'!$F:$BC,42,0)</f>
        <v>0</v>
      </c>
      <c r="T374" s="2">
        <f>VLOOKUP($C374,'[10]for slip'!$F:$BC,43,0)</f>
        <v>53430.83</v>
      </c>
      <c r="U374" s="2">
        <f>VLOOKUP($C374,'[10]for slip'!$F:$BC,44,0)</f>
        <v>106861.66</v>
      </c>
      <c r="V374" s="2">
        <f>VLOOKUP($C374,'[10]for slip'!$F:$BC,45,0)</f>
        <v>53430.83</v>
      </c>
      <c r="W374" s="2">
        <f>VLOOKUP($C374,'[10]for slip'!$F:$BC,48,0)</f>
        <v>34354.584590750004</v>
      </c>
    </row>
    <row r="375" spans="1:23" x14ac:dyDescent="0.25">
      <c r="A375" s="1">
        <v>374</v>
      </c>
      <c r="B375" s="2" t="s">
        <v>769</v>
      </c>
      <c r="C375" s="2" t="s">
        <v>770</v>
      </c>
      <c r="D375" s="2" t="str">
        <f>VLOOKUP($C375,'[10]for slip'!$F:$BC,3,0)</f>
        <v>Pelaksana</v>
      </c>
      <c r="E375" s="2" t="str">
        <f>VLOOKUP($C375,'[10]for slip'!$F:$BC,4,0)</f>
        <v>Quality Control</v>
      </c>
      <c r="F375" s="2">
        <f>VLOOKUP($C375,'[10]for slip'!$F:$BC,14,0)</f>
        <v>5343083</v>
      </c>
      <c r="G375" s="2">
        <f>VLOOKUP($C375,'[10]for slip'!$F:$BC,15,0)</f>
        <v>0</v>
      </c>
      <c r="H375" s="2">
        <f>VLOOKUP($C375,'[10]for slip'!$F:$BC,16,0)</f>
        <v>0</v>
      </c>
      <c r="I375" s="2">
        <f>VLOOKUP($C375,'[10]for slip'!$F:$BC,17,0)</f>
        <v>0</v>
      </c>
      <c r="J375" s="2">
        <f>VLOOKUP($C375,'[10]for slip'!$F:$BC,27,0)</f>
        <v>0</v>
      </c>
      <c r="K375" s="2">
        <f>VLOOKUP($C375,'[10]for slip'!$F:$BC,31,0)</f>
        <v>0</v>
      </c>
      <c r="L375" s="2">
        <f>VLOOKUP($C375,'[10]for slip'!$F:$BC,35,0)</f>
        <v>0</v>
      </c>
      <c r="M375" s="2">
        <f>VLOOKUP($C375,'[10]for slip'!$F:$BC,36,0)</f>
        <v>0</v>
      </c>
      <c r="N375" s="2">
        <f>VLOOKUP($C375,'[10]for slip'!$F:$BC,37,0)</f>
        <v>0</v>
      </c>
      <c r="O375" s="2">
        <f>VLOOKUP($C375,'[10]for slip'!$F:$BC,38,0)</f>
        <v>0</v>
      </c>
      <c r="P375" s="2">
        <f>VLOOKUP($C375,'[10]for slip'!$F:$BC,39,0)</f>
        <v>38000</v>
      </c>
      <c r="Q375" s="2">
        <f>VLOOKUP($C375,'[10]for slip'!$F:$BC,40,0)</f>
        <v>31700</v>
      </c>
      <c r="R375" s="2">
        <f>VLOOKUP($C375,'[10]for slip'!$F:$BC,41,0)</f>
        <v>0</v>
      </c>
      <c r="S375" s="2">
        <f>VLOOKUP($C375,'[10]for slip'!$F:$BC,42,0)</f>
        <v>0</v>
      </c>
      <c r="T375" s="2">
        <f>VLOOKUP($C375,'[10]for slip'!$F:$BC,43,0)</f>
        <v>53430.83</v>
      </c>
      <c r="U375" s="2">
        <f>VLOOKUP($C375,'[10]for slip'!$F:$BC,44,0)</f>
        <v>106861.66</v>
      </c>
      <c r="V375" s="2">
        <f>VLOOKUP($C375,'[10]for slip'!$F:$BC,45,0)</f>
        <v>53430.83</v>
      </c>
      <c r="W375" s="2">
        <f>VLOOKUP($C375,'[10]for slip'!$F:$BC,48,0)</f>
        <v>0</v>
      </c>
    </row>
    <row r="376" spans="1:23" x14ac:dyDescent="0.25">
      <c r="A376" s="1">
        <v>375</v>
      </c>
      <c r="B376" s="2" t="s">
        <v>771</v>
      </c>
      <c r="C376" s="2" t="s">
        <v>772</v>
      </c>
      <c r="D376" s="2" t="str">
        <f>VLOOKUP($C376,'[10]for slip'!$F:$BC,3,0)</f>
        <v>Pelaksana</v>
      </c>
      <c r="E376" s="2" t="str">
        <f>VLOOKUP($C376,'[10]for slip'!$F:$BC,4,0)</f>
        <v>Quality Control</v>
      </c>
      <c r="F376" s="2">
        <f>VLOOKUP($C376,'[10]for slip'!$F:$BC,14,0)</f>
        <v>5343083</v>
      </c>
      <c r="G376" s="2">
        <f>VLOOKUP($C376,'[10]for slip'!$F:$BC,15,0)</f>
        <v>0</v>
      </c>
      <c r="H376" s="2">
        <f>VLOOKUP($C376,'[10]for slip'!$F:$BC,16,0)</f>
        <v>0</v>
      </c>
      <c r="I376" s="2">
        <f>VLOOKUP($C376,'[10]for slip'!$F:$BC,17,0)</f>
        <v>0</v>
      </c>
      <c r="J376" s="2">
        <f>VLOOKUP($C376,'[10]for slip'!$F:$BC,27,0)</f>
        <v>0</v>
      </c>
      <c r="K376" s="2">
        <f>VLOOKUP($C376,'[10]for slip'!$F:$BC,31,0)</f>
        <v>0</v>
      </c>
      <c r="L376" s="2">
        <f>VLOOKUP($C376,'[10]for slip'!$F:$BC,35,0)</f>
        <v>34354.584590750004</v>
      </c>
      <c r="M376" s="2">
        <f>VLOOKUP($C376,'[10]for slip'!$F:$BC,36,0)</f>
        <v>0</v>
      </c>
      <c r="N376" s="2">
        <f>VLOOKUP($C376,'[10]for slip'!$F:$BC,37,0)</f>
        <v>0</v>
      </c>
      <c r="O376" s="2">
        <f>VLOOKUP($C376,'[10]for slip'!$F:$BC,38,0)</f>
        <v>0</v>
      </c>
      <c r="P376" s="2">
        <f>VLOOKUP($C376,'[10]for slip'!$F:$BC,39,0)</f>
        <v>38000</v>
      </c>
      <c r="Q376" s="2">
        <f>VLOOKUP($C376,'[10]for slip'!$F:$BC,40,0)</f>
        <v>31700</v>
      </c>
      <c r="R376" s="2">
        <f>VLOOKUP($C376,'[10]for slip'!$F:$BC,41,0)</f>
        <v>0</v>
      </c>
      <c r="S376" s="2">
        <f>VLOOKUP($C376,'[10]for slip'!$F:$BC,42,0)</f>
        <v>0</v>
      </c>
      <c r="T376" s="2">
        <f>VLOOKUP($C376,'[10]for slip'!$F:$BC,43,0)</f>
        <v>53430.83</v>
      </c>
      <c r="U376" s="2">
        <f>VLOOKUP($C376,'[10]for slip'!$F:$BC,44,0)</f>
        <v>106861.66</v>
      </c>
      <c r="V376" s="2">
        <f>VLOOKUP($C376,'[10]for slip'!$F:$BC,45,0)</f>
        <v>53430.83</v>
      </c>
      <c r="W376" s="2">
        <f>VLOOKUP($C376,'[10]for slip'!$F:$BC,48,0)</f>
        <v>34354.584590750004</v>
      </c>
    </row>
    <row r="377" spans="1:23" x14ac:dyDescent="0.25">
      <c r="A377" s="1">
        <v>376</v>
      </c>
      <c r="B377" s="2" t="s">
        <v>773</v>
      </c>
      <c r="C377" s="2" t="s">
        <v>774</v>
      </c>
      <c r="D377" s="2" t="str">
        <f>VLOOKUP($C377,'[10]for slip'!$F:$BC,3,0)</f>
        <v>Pelaksana</v>
      </c>
      <c r="E377" s="2" t="str">
        <f>VLOOKUP($C377,'[10]for slip'!$F:$BC,4,0)</f>
        <v>Quality Control</v>
      </c>
      <c r="F377" s="2">
        <f>VLOOKUP($C377,'[10]for slip'!$F:$BC,14,0)</f>
        <v>5343083</v>
      </c>
      <c r="G377" s="2">
        <f>VLOOKUP($C377,'[10]for slip'!$F:$BC,15,0)</f>
        <v>0</v>
      </c>
      <c r="H377" s="2">
        <f>VLOOKUP($C377,'[10]for slip'!$F:$BC,16,0)</f>
        <v>0</v>
      </c>
      <c r="I377" s="2">
        <f>VLOOKUP($C377,'[10]for slip'!$F:$BC,17,0)</f>
        <v>0</v>
      </c>
      <c r="J377" s="2">
        <f>VLOOKUP($C377,'[10]for slip'!$F:$BC,27,0)</f>
        <v>0</v>
      </c>
      <c r="K377" s="2">
        <f>VLOOKUP($C377,'[10]for slip'!$F:$BC,31,0)</f>
        <v>0</v>
      </c>
      <c r="L377" s="2">
        <f>VLOOKUP($C377,'[10]for slip'!$F:$BC,35,0)</f>
        <v>34354.584590750004</v>
      </c>
      <c r="M377" s="2">
        <f>VLOOKUP($C377,'[10]for slip'!$F:$BC,36,0)</f>
        <v>0</v>
      </c>
      <c r="N377" s="2">
        <f>VLOOKUP($C377,'[10]for slip'!$F:$BC,37,0)</f>
        <v>0</v>
      </c>
      <c r="O377" s="2">
        <f>VLOOKUP($C377,'[10]for slip'!$F:$BC,38,0)</f>
        <v>0</v>
      </c>
      <c r="P377" s="2">
        <f>VLOOKUP($C377,'[10]for slip'!$F:$BC,39,0)</f>
        <v>38000</v>
      </c>
      <c r="Q377" s="2">
        <f>VLOOKUP($C377,'[10]for slip'!$F:$BC,40,0)</f>
        <v>31700</v>
      </c>
      <c r="R377" s="2">
        <f>VLOOKUP($C377,'[10]for slip'!$F:$BC,41,0)</f>
        <v>0</v>
      </c>
      <c r="S377" s="2">
        <f>VLOOKUP($C377,'[10]for slip'!$F:$BC,42,0)</f>
        <v>0</v>
      </c>
      <c r="T377" s="2">
        <f>VLOOKUP($C377,'[10]for slip'!$F:$BC,43,0)</f>
        <v>53430.83</v>
      </c>
      <c r="U377" s="2">
        <f>VLOOKUP($C377,'[10]for slip'!$F:$BC,44,0)</f>
        <v>106861.66</v>
      </c>
      <c r="V377" s="2">
        <f>VLOOKUP($C377,'[10]for slip'!$F:$BC,45,0)</f>
        <v>53430.83</v>
      </c>
      <c r="W377" s="2">
        <f>VLOOKUP($C377,'[10]for slip'!$F:$BC,48,0)</f>
        <v>34354.584590750004</v>
      </c>
    </row>
    <row r="378" spans="1:23" x14ac:dyDescent="0.25">
      <c r="A378" s="1">
        <v>377</v>
      </c>
      <c r="B378" s="2" t="s">
        <v>775</v>
      </c>
      <c r="C378" s="2" t="s">
        <v>776</v>
      </c>
      <c r="D378" s="2" t="str">
        <f>VLOOKUP($C378,'[10]for slip'!$F:$BC,3,0)</f>
        <v>Pelaksana</v>
      </c>
      <c r="E378" s="2" t="str">
        <f>VLOOKUP($C378,'[10]for slip'!$F:$BC,4,0)</f>
        <v>Quality Control</v>
      </c>
      <c r="F378" s="2">
        <f>VLOOKUP($C378,'[10]for slip'!$F:$BC,14,0)</f>
        <v>5343083</v>
      </c>
      <c r="G378" s="2">
        <f>VLOOKUP($C378,'[10]for slip'!$F:$BC,15,0)</f>
        <v>0</v>
      </c>
      <c r="H378" s="2">
        <f>VLOOKUP($C378,'[10]for slip'!$F:$BC,16,0)</f>
        <v>0</v>
      </c>
      <c r="I378" s="2">
        <f>VLOOKUP($C378,'[10]for slip'!$F:$BC,17,0)</f>
        <v>0</v>
      </c>
      <c r="J378" s="2">
        <f>VLOOKUP($C378,'[10]for slip'!$F:$BC,27,0)</f>
        <v>0</v>
      </c>
      <c r="K378" s="2">
        <f>VLOOKUP($C378,'[10]for slip'!$F:$BC,31,0)</f>
        <v>0</v>
      </c>
      <c r="L378" s="2">
        <f>VLOOKUP($C378,'[10]for slip'!$F:$BC,35,0)</f>
        <v>0</v>
      </c>
      <c r="M378" s="2">
        <f>VLOOKUP($C378,'[10]for slip'!$F:$BC,36,0)</f>
        <v>0</v>
      </c>
      <c r="N378" s="2">
        <f>VLOOKUP($C378,'[10]for slip'!$F:$BC,37,0)</f>
        <v>0</v>
      </c>
      <c r="O378" s="2">
        <f>VLOOKUP($C378,'[10]for slip'!$F:$BC,38,0)</f>
        <v>0</v>
      </c>
      <c r="P378" s="2">
        <f>VLOOKUP($C378,'[10]for slip'!$F:$BC,39,0)</f>
        <v>0</v>
      </c>
      <c r="Q378" s="2">
        <f>VLOOKUP($C378,'[10]for slip'!$F:$BC,40,0)</f>
        <v>31700</v>
      </c>
      <c r="R378" s="2">
        <f>VLOOKUP($C378,'[10]for slip'!$F:$BC,41,0)</f>
        <v>0</v>
      </c>
      <c r="S378" s="2">
        <f>VLOOKUP($C378,'[10]for slip'!$F:$BC,42,0)</f>
        <v>10000</v>
      </c>
      <c r="T378" s="2">
        <f>VLOOKUP($C378,'[10]for slip'!$F:$BC,43,0)</f>
        <v>53430.83</v>
      </c>
      <c r="U378" s="2">
        <f>VLOOKUP($C378,'[10]for slip'!$F:$BC,44,0)</f>
        <v>106861.66</v>
      </c>
      <c r="V378" s="2">
        <f>VLOOKUP($C378,'[10]for slip'!$F:$BC,45,0)</f>
        <v>53430.83</v>
      </c>
      <c r="W378" s="2">
        <f>VLOOKUP($C378,'[10]for slip'!$F:$BC,48,0)</f>
        <v>0</v>
      </c>
    </row>
    <row r="379" spans="1:23" x14ac:dyDescent="0.25">
      <c r="A379" s="1">
        <v>378</v>
      </c>
      <c r="B379" s="2" t="s">
        <v>777</v>
      </c>
      <c r="C379" s="2" t="s">
        <v>778</v>
      </c>
      <c r="D379" s="2" t="str">
        <f>VLOOKUP($C379,'[10]for slip'!$F:$BC,3,0)</f>
        <v>Pelaksana</v>
      </c>
      <c r="E379" s="2" t="str">
        <f>VLOOKUP($C379,'[10]for slip'!$F:$BC,4,0)</f>
        <v>Quality Control</v>
      </c>
      <c r="F379" s="2">
        <f>VLOOKUP($C379,'[10]for slip'!$F:$BC,14,0)</f>
        <v>5343083</v>
      </c>
      <c r="G379" s="2">
        <f>VLOOKUP($C379,'[10]for slip'!$F:$BC,15,0)</f>
        <v>0</v>
      </c>
      <c r="H379" s="2">
        <f>VLOOKUP($C379,'[10]for slip'!$F:$BC,16,0)</f>
        <v>0</v>
      </c>
      <c r="I379" s="2">
        <f>VLOOKUP($C379,'[10]for slip'!$F:$BC,17,0)</f>
        <v>0</v>
      </c>
      <c r="J379" s="2">
        <f>VLOOKUP($C379,'[10]for slip'!$F:$BC,27,0)</f>
        <v>0</v>
      </c>
      <c r="K379" s="2">
        <f>VLOOKUP($C379,'[10]for slip'!$F:$BC,31,0)</f>
        <v>0</v>
      </c>
      <c r="L379" s="2">
        <f>VLOOKUP($C379,'[10]for slip'!$F:$BC,35,0)</f>
        <v>34354.584590750004</v>
      </c>
      <c r="M379" s="2">
        <f>VLOOKUP($C379,'[10]for slip'!$F:$BC,36,0)</f>
        <v>0</v>
      </c>
      <c r="N379" s="2">
        <f>VLOOKUP($C379,'[10]for slip'!$F:$BC,37,0)</f>
        <v>0</v>
      </c>
      <c r="O379" s="2">
        <f>VLOOKUP($C379,'[10]for slip'!$F:$BC,38,0)</f>
        <v>0</v>
      </c>
      <c r="P379" s="2">
        <f>VLOOKUP($C379,'[10]for slip'!$F:$BC,39,0)</f>
        <v>38000</v>
      </c>
      <c r="Q379" s="2">
        <f>VLOOKUP($C379,'[10]for slip'!$F:$BC,40,0)</f>
        <v>31700</v>
      </c>
      <c r="R379" s="2">
        <f>VLOOKUP($C379,'[10]for slip'!$F:$BC,41,0)</f>
        <v>0</v>
      </c>
      <c r="S379" s="2">
        <f>VLOOKUP($C379,'[10]for slip'!$F:$BC,42,0)</f>
        <v>0</v>
      </c>
      <c r="T379" s="2">
        <f>VLOOKUP($C379,'[10]for slip'!$F:$BC,43,0)</f>
        <v>53430.83</v>
      </c>
      <c r="U379" s="2">
        <f>VLOOKUP($C379,'[10]for slip'!$F:$BC,44,0)</f>
        <v>106861.66</v>
      </c>
      <c r="V379" s="2">
        <f>VLOOKUP($C379,'[10]for slip'!$F:$BC,45,0)</f>
        <v>53430.83</v>
      </c>
      <c r="W379" s="2">
        <f>VLOOKUP($C379,'[10]for slip'!$F:$BC,48,0)</f>
        <v>34354.584590750004</v>
      </c>
    </row>
    <row r="380" spans="1:23" x14ac:dyDescent="0.25">
      <c r="A380" s="1">
        <v>379</v>
      </c>
      <c r="B380" s="2" t="s">
        <v>779</v>
      </c>
      <c r="C380" s="2" t="s">
        <v>780</v>
      </c>
      <c r="D380" s="2" t="str">
        <f>VLOOKUP($C380,'[10]for slip'!$F:$BC,3,0)</f>
        <v>Pelaksana</v>
      </c>
      <c r="E380" s="2" t="str">
        <f>VLOOKUP($C380,'[10]for slip'!$F:$BC,4,0)</f>
        <v>Quality Control</v>
      </c>
      <c r="F380" s="2">
        <f>VLOOKUP($C380,'[10]for slip'!$F:$BC,14,0)</f>
        <v>5343083</v>
      </c>
      <c r="G380" s="2">
        <f>VLOOKUP($C380,'[10]for slip'!$F:$BC,15,0)</f>
        <v>0</v>
      </c>
      <c r="H380" s="2">
        <f>VLOOKUP($C380,'[10]for slip'!$F:$BC,16,0)</f>
        <v>0</v>
      </c>
      <c r="I380" s="2">
        <f>VLOOKUP($C380,'[10]for slip'!$F:$BC,17,0)</f>
        <v>0</v>
      </c>
      <c r="J380" s="2">
        <f>VLOOKUP($C380,'[10]for slip'!$F:$BC,27,0)</f>
        <v>0</v>
      </c>
      <c r="K380" s="2">
        <f>VLOOKUP($C380,'[10]for slip'!$F:$BC,31,0)</f>
        <v>0</v>
      </c>
      <c r="L380" s="2">
        <f>VLOOKUP($C380,'[10]for slip'!$F:$BC,35,0)</f>
        <v>0</v>
      </c>
      <c r="M380" s="2">
        <f>VLOOKUP($C380,'[10]for slip'!$F:$BC,36,0)</f>
        <v>0</v>
      </c>
      <c r="N380" s="2">
        <f>VLOOKUP($C380,'[10]for slip'!$F:$BC,37,0)</f>
        <v>0</v>
      </c>
      <c r="O380" s="2">
        <f>VLOOKUP($C380,'[10]for slip'!$F:$BC,38,0)</f>
        <v>0</v>
      </c>
      <c r="P380" s="2">
        <f>VLOOKUP($C380,'[10]for slip'!$F:$BC,39,0)</f>
        <v>38000</v>
      </c>
      <c r="Q380" s="2">
        <f>VLOOKUP($C380,'[10]for slip'!$F:$BC,40,0)</f>
        <v>31700</v>
      </c>
      <c r="R380" s="2">
        <f>VLOOKUP($C380,'[10]for slip'!$F:$BC,41,0)</f>
        <v>0</v>
      </c>
      <c r="S380" s="2">
        <f>VLOOKUP($C380,'[10]for slip'!$F:$BC,42,0)</f>
        <v>0</v>
      </c>
      <c r="T380" s="2">
        <f>VLOOKUP($C380,'[10]for slip'!$F:$BC,43,0)</f>
        <v>53430.83</v>
      </c>
      <c r="U380" s="2">
        <f>VLOOKUP($C380,'[10]for slip'!$F:$BC,44,0)</f>
        <v>106861.66</v>
      </c>
      <c r="V380" s="2">
        <f>VLOOKUP($C380,'[10]for slip'!$F:$BC,45,0)</f>
        <v>53430.83</v>
      </c>
      <c r="W380" s="2">
        <f>VLOOKUP($C380,'[10]for slip'!$F:$BC,48,0)</f>
        <v>0</v>
      </c>
    </row>
    <row r="381" spans="1:23" x14ac:dyDescent="0.25">
      <c r="A381" s="1">
        <v>380</v>
      </c>
      <c r="B381" s="2" t="s">
        <v>781</v>
      </c>
      <c r="C381" s="2" t="s">
        <v>782</v>
      </c>
      <c r="D381" s="2" t="str">
        <f>VLOOKUP($C381,'[10]for slip'!$F:$BC,3,0)</f>
        <v>Pelaksana</v>
      </c>
      <c r="E381" s="2" t="str">
        <f>VLOOKUP($C381,'[10]for slip'!$F:$BC,4,0)</f>
        <v>Quality Control</v>
      </c>
      <c r="F381" s="2">
        <f>VLOOKUP($C381,'[10]for slip'!$F:$BC,14,0)</f>
        <v>5343083</v>
      </c>
      <c r="G381" s="2">
        <f>VLOOKUP($C381,'[10]for slip'!$F:$BC,15,0)</f>
        <v>0</v>
      </c>
      <c r="H381" s="2">
        <f>VLOOKUP($C381,'[10]for slip'!$F:$BC,16,0)</f>
        <v>0</v>
      </c>
      <c r="I381" s="2">
        <f>VLOOKUP($C381,'[10]for slip'!$F:$BC,17,0)</f>
        <v>0</v>
      </c>
      <c r="J381" s="2">
        <f>VLOOKUP($C381,'[10]for slip'!$F:$BC,27,0)</f>
        <v>0</v>
      </c>
      <c r="K381" s="2">
        <f>VLOOKUP($C381,'[10]for slip'!$F:$BC,31,0)</f>
        <v>0</v>
      </c>
      <c r="L381" s="2">
        <f>VLOOKUP($C381,'[10]for slip'!$F:$BC,35,0)</f>
        <v>15604.584590750002</v>
      </c>
      <c r="M381" s="2">
        <f>VLOOKUP($C381,'[10]for slip'!$F:$BC,36,0)</f>
        <v>0</v>
      </c>
      <c r="N381" s="2">
        <f>VLOOKUP($C381,'[10]for slip'!$F:$BC,37,0)</f>
        <v>0</v>
      </c>
      <c r="O381" s="2">
        <f>VLOOKUP($C381,'[10]for slip'!$F:$BC,38,0)</f>
        <v>0</v>
      </c>
      <c r="P381" s="2">
        <f>VLOOKUP($C381,'[10]for slip'!$F:$BC,39,0)</f>
        <v>38000</v>
      </c>
      <c r="Q381" s="2">
        <f>VLOOKUP($C381,'[10]for slip'!$F:$BC,40,0)</f>
        <v>31700</v>
      </c>
      <c r="R381" s="2">
        <f>VLOOKUP($C381,'[10]for slip'!$F:$BC,41,0)</f>
        <v>0</v>
      </c>
      <c r="S381" s="2">
        <f>VLOOKUP($C381,'[10]for slip'!$F:$BC,42,0)</f>
        <v>0</v>
      </c>
      <c r="T381" s="2">
        <f>VLOOKUP($C381,'[10]for slip'!$F:$BC,43,0)</f>
        <v>53430.83</v>
      </c>
      <c r="U381" s="2">
        <f>VLOOKUP($C381,'[10]for slip'!$F:$BC,44,0)</f>
        <v>106861.66</v>
      </c>
      <c r="V381" s="2">
        <f>VLOOKUP($C381,'[10]for slip'!$F:$BC,45,0)</f>
        <v>53430.83</v>
      </c>
      <c r="W381" s="2">
        <f>VLOOKUP($C381,'[10]for slip'!$F:$BC,48,0)</f>
        <v>15604.584590750002</v>
      </c>
    </row>
    <row r="382" spans="1:23" x14ac:dyDescent="0.25">
      <c r="A382" s="1">
        <v>381</v>
      </c>
      <c r="B382" s="2" t="s">
        <v>783</v>
      </c>
      <c r="C382" s="2" t="s">
        <v>784</v>
      </c>
      <c r="D382" s="2" t="str">
        <f>VLOOKUP($C382,'[10]for slip'!$F:$BC,3,0)</f>
        <v>Pelaksana</v>
      </c>
      <c r="E382" s="2" t="str">
        <f>VLOOKUP($C382,'[10]for slip'!$F:$BC,4,0)</f>
        <v>Quality Control</v>
      </c>
      <c r="F382" s="2">
        <f>VLOOKUP($C382,'[10]for slip'!$F:$BC,14,0)</f>
        <v>5343083</v>
      </c>
      <c r="G382" s="2">
        <f>VLOOKUP($C382,'[10]for slip'!$F:$BC,15,0)</f>
        <v>0</v>
      </c>
      <c r="H382" s="2">
        <f>VLOOKUP($C382,'[10]for slip'!$F:$BC,16,0)</f>
        <v>0</v>
      </c>
      <c r="I382" s="2">
        <f>VLOOKUP($C382,'[10]for slip'!$F:$BC,17,0)</f>
        <v>0</v>
      </c>
      <c r="J382" s="2">
        <f>VLOOKUP($C382,'[10]for slip'!$F:$BC,27,0)</f>
        <v>0</v>
      </c>
      <c r="K382" s="2">
        <f>VLOOKUP($C382,'[10]for slip'!$F:$BC,31,0)</f>
        <v>0</v>
      </c>
      <c r="L382" s="2">
        <f>VLOOKUP($C382,'[10]for slip'!$F:$BC,35,0)</f>
        <v>0</v>
      </c>
      <c r="M382" s="2">
        <f>VLOOKUP($C382,'[10]for slip'!$F:$BC,36,0)</f>
        <v>0</v>
      </c>
      <c r="N382" s="2">
        <f>VLOOKUP($C382,'[10]for slip'!$F:$BC,37,0)</f>
        <v>0</v>
      </c>
      <c r="O382" s="2">
        <f>VLOOKUP($C382,'[10]for slip'!$F:$BC,38,0)</f>
        <v>0</v>
      </c>
      <c r="P382" s="2">
        <f>VLOOKUP($C382,'[10]for slip'!$F:$BC,39,0)</f>
        <v>38000</v>
      </c>
      <c r="Q382" s="2">
        <f>VLOOKUP($C382,'[10]for slip'!$F:$BC,40,0)</f>
        <v>31700</v>
      </c>
      <c r="R382" s="2">
        <f>VLOOKUP($C382,'[10]for slip'!$F:$BC,41,0)</f>
        <v>0</v>
      </c>
      <c r="S382" s="2">
        <f>VLOOKUP($C382,'[10]for slip'!$F:$BC,42,0)</f>
        <v>0</v>
      </c>
      <c r="T382" s="2">
        <f>VLOOKUP($C382,'[10]for slip'!$F:$BC,43,0)</f>
        <v>53430.83</v>
      </c>
      <c r="U382" s="2">
        <f>VLOOKUP($C382,'[10]for slip'!$F:$BC,44,0)</f>
        <v>106861.66</v>
      </c>
      <c r="V382" s="2">
        <f>VLOOKUP($C382,'[10]for slip'!$F:$BC,45,0)</f>
        <v>53430.83</v>
      </c>
      <c r="W382" s="2">
        <f>VLOOKUP($C382,'[10]for slip'!$F:$BC,48,0)</f>
        <v>0</v>
      </c>
    </row>
    <row r="383" spans="1:23" x14ac:dyDescent="0.25">
      <c r="A383" s="1">
        <v>382</v>
      </c>
      <c r="B383" s="2" t="s">
        <v>785</v>
      </c>
      <c r="C383" s="2" t="s">
        <v>786</v>
      </c>
      <c r="D383" s="2" t="str">
        <f>VLOOKUP($C383,'[10]for slip'!$F:$BC,3,0)</f>
        <v>Pelaksana</v>
      </c>
      <c r="E383" s="2" t="str">
        <f>VLOOKUP($C383,'[10]for slip'!$F:$BC,4,0)</f>
        <v>Quality Control</v>
      </c>
      <c r="F383" s="2">
        <f>VLOOKUP($C383,'[10]for slip'!$F:$BC,14,0)</f>
        <v>5343083</v>
      </c>
      <c r="G383" s="2">
        <f>VLOOKUP($C383,'[10]for slip'!$F:$BC,15,0)</f>
        <v>0</v>
      </c>
      <c r="H383" s="2">
        <f>VLOOKUP($C383,'[10]for slip'!$F:$BC,16,0)</f>
        <v>300000</v>
      </c>
      <c r="I383" s="2">
        <f>VLOOKUP($C383,'[10]for slip'!$F:$BC,17,0)</f>
        <v>0</v>
      </c>
      <c r="J383" s="2">
        <f>VLOOKUP($C383,'[10]for slip'!$F:$BC,27,0)</f>
        <v>0</v>
      </c>
      <c r="K383" s="2">
        <f>VLOOKUP($C383,'[10]for slip'!$F:$BC,31,0)</f>
        <v>0</v>
      </c>
      <c r="L383" s="2">
        <f>VLOOKUP($C383,'[10]for slip'!$F:$BC,35,0)</f>
        <v>48346.659590749972</v>
      </c>
      <c r="M383" s="2">
        <f>VLOOKUP($C383,'[10]for slip'!$F:$BC,36,0)</f>
        <v>0</v>
      </c>
      <c r="N383" s="2">
        <f>VLOOKUP($C383,'[10]for slip'!$F:$BC,37,0)</f>
        <v>0</v>
      </c>
      <c r="O383" s="2">
        <f>VLOOKUP($C383,'[10]for slip'!$F:$BC,38,0)</f>
        <v>0</v>
      </c>
      <c r="P383" s="2">
        <f>VLOOKUP($C383,'[10]for slip'!$F:$BC,39,0)</f>
        <v>38000</v>
      </c>
      <c r="Q383" s="2">
        <f>VLOOKUP($C383,'[10]for slip'!$F:$BC,40,0)</f>
        <v>31700</v>
      </c>
      <c r="R383" s="2">
        <f>VLOOKUP($C383,'[10]for slip'!$F:$BC,41,0)</f>
        <v>0</v>
      </c>
      <c r="S383" s="2">
        <f>VLOOKUP($C383,'[10]for slip'!$F:$BC,42,0)</f>
        <v>0</v>
      </c>
      <c r="T383" s="2">
        <f>VLOOKUP($C383,'[10]for slip'!$F:$BC,43,0)</f>
        <v>53430.83</v>
      </c>
      <c r="U383" s="2">
        <f>VLOOKUP($C383,'[10]for slip'!$F:$BC,44,0)</f>
        <v>112861.66</v>
      </c>
      <c r="V383" s="2">
        <f>VLOOKUP($C383,'[10]for slip'!$F:$BC,45,0)</f>
        <v>56430.83</v>
      </c>
      <c r="W383" s="2">
        <f>VLOOKUP($C383,'[10]for slip'!$F:$BC,48,0)</f>
        <v>48346.659590749972</v>
      </c>
    </row>
    <row r="384" spans="1:23" x14ac:dyDescent="0.25">
      <c r="A384" s="1">
        <v>383</v>
      </c>
      <c r="B384" s="2" t="s">
        <v>787</v>
      </c>
      <c r="C384" s="2" t="s">
        <v>788</v>
      </c>
      <c r="D384" s="2" t="str">
        <f>VLOOKUP($C384,'[10]for slip'!$F:$BC,3,0)</f>
        <v>Pelaksana</v>
      </c>
      <c r="E384" s="2" t="str">
        <f>VLOOKUP($C384,'[10]for slip'!$F:$BC,4,0)</f>
        <v>Quality Control</v>
      </c>
      <c r="F384" s="2">
        <f>VLOOKUP($C384,'[10]for slip'!$F:$BC,14,0)</f>
        <v>5343083</v>
      </c>
      <c r="G384" s="2">
        <f>VLOOKUP($C384,'[10]for slip'!$F:$BC,15,0)</f>
        <v>0</v>
      </c>
      <c r="H384" s="2">
        <f>VLOOKUP($C384,'[10]for slip'!$F:$BC,16,0)</f>
        <v>0</v>
      </c>
      <c r="I384" s="2">
        <f>VLOOKUP($C384,'[10]for slip'!$F:$BC,17,0)</f>
        <v>0</v>
      </c>
      <c r="J384" s="2">
        <f>VLOOKUP($C384,'[10]for slip'!$F:$BC,27,0)</f>
        <v>0</v>
      </c>
      <c r="K384" s="2">
        <f>VLOOKUP($C384,'[10]for slip'!$F:$BC,31,0)</f>
        <v>0</v>
      </c>
      <c r="L384" s="2">
        <f>VLOOKUP($C384,'[10]for slip'!$F:$BC,35,0)</f>
        <v>0</v>
      </c>
      <c r="M384" s="2">
        <f>VLOOKUP($C384,'[10]for slip'!$F:$BC,36,0)</f>
        <v>0</v>
      </c>
      <c r="N384" s="2">
        <f>VLOOKUP($C384,'[10]for slip'!$F:$BC,37,0)</f>
        <v>0</v>
      </c>
      <c r="O384" s="2">
        <f>VLOOKUP($C384,'[10]for slip'!$F:$BC,38,0)</f>
        <v>0</v>
      </c>
      <c r="P384" s="2">
        <f>VLOOKUP($C384,'[10]for slip'!$F:$BC,39,0)</f>
        <v>38000</v>
      </c>
      <c r="Q384" s="2">
        <f>VLOOKUP($C384,'[10]for slip'!$F:$BC,40,0)</f>
        <v>31700</v>
      </c>
      <c r="R384" s="2">
        <f>VLOOKUP($C384,'[10]for slip'!$F:$BC,41,0)</f>
        <v>0</v>
      </c>
      <c r="S384" s="2">
        <f>VLOOKUP($C384,'[10]for slip'!$F:$BC,42,0)</f>
        <v>0</v>
      </c>
      <c r="T384" s="2">
        <f>VLOOKUP($C384,'[10]for slip'!$F:$BC,43,0)</f>
        <v>53430.83</v>
      </c>
      <c r="U384" s="2">
        <f>VLOOKUP($C384,'[10]for slip'!$F:$BC,44,0)</f>
        <v>106861.66</v>
      </c>
      <c r="V384" s="2">
        <f>VLOOKUP($C384,'[10]for slip'!$F:$BC,45,0)</f>
        <v>53430.83</v>
      </c>
      <c r="W384" s="2">
        <f>VLOOKUP($C384,'[10]for slip'!$F:$BC,48,0)</f>
        <v>0</v>
      </c>
    </row>
    <row r="385" spans="1:23" x14ac:dyDescent="0.25">
      <c r="A385" s="1">
        <v>384</v>
      </c>
      <c r="B385" s="2" t="s">
        <v>789</v>
      </c>
      <c r="C385" s="2" t="s">
        <v>790</v>
      </c>
      <c r="D385" s="2" t="str">
        <f>VLOOKUP($C385,'[10]for slip'!$F:$BC,3,0)</f>
        <v>Pelaksana</v>
      </c>
      <c r="E385" s="2" t="str">
        <f>VLOOKUP($C385,'[10]for slip'!$F:$BC,4,0)</f>
        <v>Quality Control</v>
      </c>
      <c r="F385" s="2">
        <f>VLOOKUP($C385,'[10]for slip'!$F:$BC,14,0)</f>
        <v>5343083</v>
      </c>
      <c r="G385" s="2">
        <f>VLOOKUP($C385,'[10]for slip'!$F:$BC,15,0)</f>
        <v>0</v>
      </c>
      <c r="H385" s="2">
        <f>VLOOKUP($C385,'[10]for slip'!$F:$BC,16,0)</f>
        <v>0</v>
      </c>
      <c r="I385" s="2">
        <f>VLOOKUP($C385,'[10]for slip'!$F:$BC,17,0)</f>
        <v>0</v>
      </c>
      <c r="J385" s="2">
        <f>VLOOKUP($C385,'[10]for slip'!$F:$BC,27,0)</f>
        <v>0</v>
      </c>
      <c r="K385" s="2">
        <f>VLOOKUP($C385,'[10]for slip'!$F:$BC,31,0)</f>
        <v>0</v>
      </c>
      <c r="L385" s="2">
        <f>VLOOKUP($C385,'[10]for slip'!$F:$BC,35,0)</f>
        <v>34354.584590750004</v>
      </c>
      <c r="M385" s="2">
        <f>VLOOKUP($C385,'[10]for slip'!$F:$BC,36,0)</f>
        <v>0</v>
      </c>
      <c r="N385" s="2">
        <f>VLOOKUP($C385,'[10]for slip'!$F:$BC,37,0)</f>
        <v>0</v>
      </c>
      <c r="O385" s="2">
        <f>VLOOKUP($C385,'[10]for slip'!$F:$BC,38,0)</f>
        <v>0</v>
      </c>
      <c r="P385" s="2">
        <f>VLOOKUP($C385,'[10]for slip'!$F:$BC,39,0)</f>
        <v>38000</v>
      </c>
      <c r="Q385" s="2">
        <f>VLOOKUP($C385,'[10]for slip'!$F:$BC,40,0)</f>
        <v>31700</v>
      </c>
      <c r="R385" s="2">
        <f>VLOOKUP($C385,'[10]for slip'!$F:$BC,41,0)</f>
        <v>0</v>
      </c>
      <c r="S385" s="2">
        <f>VLOOKUP($C385,'[10]for slip'!$F:$BC,42,0)</f>
        <v>0</v>
      </c>
      <c r="T385" s="2">
        <f>VLOOKUP($C385,'[10]for slip'!$F:$BC,43,0)</f>
        <v>53430.83</v>
      </c>
      <c r="U385" s="2">
        <f>VLOOKUP($C385,'[10]for slip'!$F:$BC,44,0)</f>
        <v>106861.66</v>
      </c>
      <c r="V385" s="2">
        <f>VLOOKUP($C385,'[10]for slip'!$F:$BC,45,0)</f>
        <v>53430.83</v>
      </c>
      <c r="W385" s="2">
        <f>VLOOKUP($C385,'[10]for slip'!$F:$BC,48,0)</f>
        <v>34354.584590750004</v>
      </c>
    </row>
    <row r="386" spans="1:23" x14ac:dyDescent="0.25">
      <c r="A386" s="1">
        <v>385</v>
      </c>
      <c r="B386" s="2" t="s">
        <v>791</v>
      </c>
      <c r="C386" s="2" t="s">
        <v>792</v>
      </c>
      <c r="D386" s="2" t="str">
        <f>VLOOKUP($C386,'[10]for slip'!$F:$BC,3,0)</f>
        <v>Pelaksana</v>
      </c>
      <c r="E386" s="2" t="str">
        <f>VLOOKUP($C386,'[10]for slip'!$F:$BC,4,0)</f>
        <v>Quality Control</v>
      </c>
      <c r="F386" s="2">
        <f>VLOOKUP($C386,'[10]for slip'!$F:$BC,14,0)</f>
        <v>5343083</v>
      </c>
      <c r="G386" s="2">
        <f>VLOOKUP($C386,'[10]for slip'!$F:$BC,15,0)</f>
        <v>0</v>
      </c>
      <c r="H386" s="2">
        <f>VLOOKUP($C386,'[10]for slip'!$F:$BC,16,0)</f>
        <v>0</v>
      </c>
      <c r="I386" s="2">
        <f>VLOOKUP($C386,'[10]for slip'!$F:$BC,17,0)</f>
        <v>0</v>
      </c>
      <c r="J386" s="2">
        <f>VLOOKUP($C386,'[10]for slip'!$F:$BC,27,0)</f>
        <v>0</v>
      </c>
      <c r="K386" s="2">
        <f>VLOOKUP($C386,'[10]for slip'!$F:$BC,31,0)</f>
        <v>0</v>
      </c>
      <c r="L386" s="2">
        <f>VLOOKUP($C386,'[10]for slip'!$F:$BC,35,0)</f>
        <v>0</v>
      </c>
      <c r="M386" s="2">
        <f>VLOOKUP($C386,'[10]for slip'!$F:$BC,36,0)</f>
        <v>0</v>
      </c>
      <c r="N386" s="2">
        <f>VLOOKUP($C386,'[10]for slip'!$F:$BC,37,0)</f>
        <v>0</v>
      </c>
      <c r="O386" s="2">
        <f>VLOOKUP($C386,'[10]for slip'!$F:$BC,38,0)</f>
        <v>0</v>
      </c>
      <c r="P386" s="2">
        <f>VLOOKUP($C386,'[10]for slip'!$F:$BC,39,0)</f>
        <v>38000</v>
      </c>
      <c r="Q386" s="2">
        <f>VLOOKUP($C386,'[10]for slip'!$F:$BC,40,0)</f>
        <v>31700</v>
      </c>
      <c r="R386" s="2">
        <f>VLOOKUP($C386,'[10]for slip'!$F:$BC,41,0)</f>
        <v>0</v>
      </c>
      <c r="S386" s="2">
        <f>VLOOKUP($C386,'[10]for slip'!$F:$BC,42,0)</f>
        <v>0</v>
      </c>
      <c r="T386" s="2">
        <f>VLOOKUP($C386,'[10]for slip'!$F:$BC,43,0)</f>
        <v>53430.83</v>
      </c>
      <c r="U386" s="2">
        <f>VLOOKUP($C386,'[10]for slip'!$F:$BC,44,0)</f>
        <v>106861.66</v>
      </c>
      <c r="V386" s="2">
        <f>VLOOKUP($C386,'[10]for slip'!$F:$BC,45,0)</f>
        <v>53430.83</v>
      </c>
      <c r="W386" s="2">
        <f>VLOOKUP($C386,'[10]for slip'!$F:$BC,48,0)</f>
        <v>0</v>
      </c>
    </row>
    <row r="387" spans="1:23" x14ac:dyDescent="0.25">
      <c r="A387" s="1">
        <v>386</v>
      </c>
      <c r="B387" s="2" t="s">
        <v>793</v>
      </c>
      <c r="C387" s="2" t="s">
        <v>794</v>
      </c>
      <c r="D387" s="2" t="str">
        <f>VLOOKUP($C387,'[10]for slip'!$F:$BC,3,0)</f>
        <v>Pelaksana</v>
      </c>
      <c r="E387" s="2" t="str">
        <f>VLOOKUP($C387,'[10]for slip'!$F:$BC,4,0)</f>
        <v>Quality Control</v>
      </c>
      <c r="F387" s="2">
        <f>VLOOKUP($C387,'[10]for slip'!$F:$BC,14,0)</f>
        <v>5343083</v>
      </c>
      <c r="G387" s="2">
        <f>VLOOKUP($C387,'[10]for slip'!$F:$BC,15,0)</f>
        <v>0</v>
      </c>
      <c r="H387" s="2">
        <f>VLOOKUP($C387,'[10]for slip'!$F:$BC,16,0)</f>
        <v>0</v>
      </c>
      <c r="I387" s="2">
        <f>VLOOKUP($C387,'[10]for slip'!$F:$BC,17,0)</f>
        <v>0</v>
      </c>
      <c r="J387" s="2">
        <f>VLOOKUP($C387,'[10]for slip'!$F:$BC,27,0)</f>
        <v>0</v>
      </c>
      <c r="K387" s="2">
        <f>VLOOKUP($C387,'[10]for slip'!$F:$BC,31,0)</f>
        <v>0</v>
      </c>
      <c r="L387" s="2">
        <f>VLOOKUP($C387,'[10]for slip'!$F:$BC,35,0)</f>
        <v>24202.726890749982</v>
      </c>
      <c r="M387" s="2">
        <f>VLOOKUP($C387,'[10]for slip'!$F:$BC,36,0)</f>
        <v>0</v>
      </c>
      <c r="N387" s="2">
        <f>VLOOKUP($C387,'[10]for slip'!$F:$BC,37,0)</f>
        <v>0</v>
      </c>
      <c r="O387" s="2">
        <f>VLOOKUP($C387,'[10]for slip'!$F:$BC,38,0)</f>
        <v>0</v>
      </c>
      <c r="P387" s="2">
        <f>VLOOKUP($C387,'[10]for slip'!$F:$BC,39,0)</f>
        <v>0</v>
      </c>
      <c r="Q387" s="2">
        <f>VLOOKUP($C387,'[10]for slip'!$F:$BC,40,0)</f>
        <v>31700</v>
      </c>
      <c r="R387" s="2">
        <f>VLOOKUP($C387,'[10]for slip'!$F:$BC,41,0)</f>
        <v>0</v>
      </c>
      <c r="S387" s="2">
        <f>VLOOKUP($C387,'[10]for slip'!$F:$BC,42,0)</f>
        <v>0</v>
      </c>
      <c r="T387" s="2">
        <f>VLOOKUP($C387,'[10]for slip'!$F:$BC,43,0)</f>
        <v>0</v>
      </c>
      <c r="U387" s="2">
        <f>VLOOKUP($C387,'[10]for slip'!$F:$BC,44,0)</f>
        <v>106861.66</v>
      </c>
      <c r="V387" s="2">
        <f>VLOOKUP($C387,'[10]for slip'!$F:$BC,45,0)</f>
        <v>53430.83</v>
      </c>
      <c r="W387" s="2">
        <f>VLOOKUP($C387,'[10]for slip'!$F:$BC,48,0)</f>
        <v>24202.726890749982</v>
      </c>
    </row>
    <row r="388" spans="1:23" x14ac:dyDescent="0.25">
      <c r="A388" s="1">
        <v>387</v>
      </c>
      <c r="B388" s="2" t="s">
        <v>795</v>
      </c>
      <c r="C388" s="2" t="s">
        <v>796</v>
      </c>
      <c r="D388" s="2" t="str">
        <f>VLOOKUP($C388,'[10]for slip'!$F:$BC,3,0)</f>
        <v>Pelaksana</v>
      </c>
      <c r="E388" s="2" t="str">
        <f>VLOOKUP($C388,'[10]for slip'!$F:$BC,4,0)</f>
        <v>Quality Control</v>
      </c>
      <c r="F388" s="2">
        <f>VLOOKUP($C388,'[10]for slip'!$F:$BC,14,0)</f>
        <v>5343083</v>
      </c>
      <c r="G388" s="2">
        <f>VLOOKUP($C388,'[10]for slip'!$F:$BC,15,0)</f>
        <v>0</v>
      </c>
      <c r="H388" s="2">
        <f>VLOOKUP($C388,'[10]for slip'!$F:$BC,16,0)</f>
        <v>0</v>
      </c>
      <c r="I388" s="2">
        <f>VLOOKUP($C388,'[10]for slip'!$F:$BC,17,0)</f>
        <v>0</v>
      </c>
      <c r="J388" s="2">
        <f>VLOOKUP($C388,'[10]for slip'!$F:$BC,27,0)</f>
        <v>0</v>
      </c>
      <c r="K388" s="2">
        <f>VLOOKUP($C388,'[10]for slip'!$F:$BC,31,0)</f>
        <v>0</v>
      </c>
      <c r="L388" s="2">
        <f>VLOOKUP($C388,'[10]for slip'!$F:$BC,35,0)</f>
        <v>34354.584590750004</v>
      </c>
      <c r="M388" s="2">
        <f>VLOOKUP($C388,'[10]for slip'!$F:$BC,36,0)</f>
        <v>0</v>
      </c>
      <c r="N388" s="2">
        <f>VLOOKUP($C388,'[10]for slip'!$F:$BC,37,0)</f>
        <v>0</v>
      </c>
      <c r="O388" s="2">
        <f>VLOOKUP($C388,'[10]for slip'!$F:$BC,38,0)</f>
        <v>0</v>
      </c>
      <c r="P388" s="2">
        <f>VLOOKUP($C388,'[10]for slip'!$F:$BC,39,0)</f>
        <v>0</v>
      </c>
      <c r="Q388" s="2">
        <f>VLOOKUP($C388,'[10]for slip'!$F:$BC,40,0)</f>
        <v>31700</v>
      </c>
      <c r="R388" s="2">
        <f>VLOOKUP($C388,'[10]for slip'!$F:$BC,41,0)</f>
        <v>0</v>
      </c>
      <c r="S388" s="2">
        <f>VLOOKUP($C388,'[10]for slip'!$F:$BC,42,0)</f>
        <v>0</v>
      </c>
      <c r="T388" s="2">
        <f>VLOOKUP($C388,'[10]for slip'!$F:$BC,43,0)</f>
        <v>53430.83</v>
      </c>
      <c r="U388" s="2">
        <f>VLOOKUP($C388,'[10]for slip'!$F:$BC,44,0)</f>
        <v>106861.66</v>
      </c>
      <c r="V388" s="2">
        <f>VLOOKUP($C388,'[10]for slip'!$F:$BC,45,0)</f>
        <v>53430.83</v>
      </c>
      <c r="W388" s="2">
        <f>VLOOKUP($C388,'[10]for slip'!$F:$BC,48,0)</f>
        <v>34354.584590750004</v>
      </c>
    </row>
    <row r="389" spans="1:23" x14ac:dyDescent="0.25">
      <c r="A389" s="1">
        <v>388</v>
      </c>
      <c r="B389" s="2" t="s">
        <v>797</v>
      </c>
      <c r="C389" s="2" t="s">
        <v>798</v>
      </c>
      <c r="D389" s="2" t="str">
        <f>VLOOKUP($C389,'[10]for slip'!$F:$BC,3,0)</f>
        <v>Pelaksana</v>
      </c>
      <c r="E389" s="2" t="str">
        <f>VLOOKUP($C389,'[10]for slip'!$F:$BC,4,0)</f>
        <v>Quality Control</v>
      </c>
      <c r="F389" s="2">
        <f>VLOOKUP($C389,'[10]for slip'!$F:$BC,14,0)</f>
        <v>5343083</v>
      </c>
      <c r="G389" s="2">
        <f>VLOOKUP($C389,'[10]for slip'!$F:$BC,15,0)</f>
        <v>0</v>
      </c>
      <c r="H389" s="2">
        <f>VLOOKUP($C389,'[10]for slip'!$F:$BC,16,0)</f>
        <v>0</v>
      </c>
      <c r="I389" s="2">
        <f>VLOOKUP($C389,'[10]for slip'!$F:$BC,17,0)</f>
        <v>0</v>
      </c>
      <c r="J389" s="2">
        <f>VLOOKUP($C389,'[10]for slip'!$F:$BC,27,0)</f>
        <v>0</v>
      </c>
      <c r="K389" s="2">
        <f>VLOOKUP($C389,'[10]for slip'!$F:$BC,31,0)</f>
        <v>0</v>
      </c>
      <c r="L389" s="2">
        <f>VLOOKUP($C389,'[10]for slip'!$F:$BC,35,0)</f>
        <v>41225.501508900001</v>
      </c>
      <c r="M389" s="2">
        <f>VLOOKUP($C389,'[10]for slip'!$F:$BC,36,0)</f>
        <v>0</v>
      </c>
      <c r="N389" s="2">
        <f>VLOOKUP($C389,'[10]for slip'!$F:$BC,37,0)</f>
        <v>0</v>
      </c>
      <c r="O389" s="2">
        <f>VLOOKUP($C389,'[10]for slip'!$F:$BC,38,0)</f>
        <v>0</v>
      </c>
      <c r="P389" s="2">
        <f>VLOOKUP($C389,'[10]for slip'!$F:$BC,39,0)</f>
        <v>0</v>
      </c>
      <c r="Q389" s="2">
        <f>VLOOKUP($C389,'[10]for slip'!$F:$BC,40,0)</f>
        <v>31700</v>
      </c>
      <c r="R389" s="2">
        <f>VLOOKUP($C389,'[10]for slip'!$F:$BC,41,0)</f>
        <v>0</v>
      </c>
      <c r="S389" s="2">
        <f>VLOOKUP($C389,'[10]for slip'!$F:$BC,42,0)</f>
        <v>0</v>
      </c>
      <c r="T389" s="2">
        <f>VLOOKUP($C389,'[10]for slip'!$F:$BC,43,0)</f>
        <v>53430.83</v>
      </c>
      <c r="U389" s="2">
        <f>VLOOKUP($C389,'[10]for slip'!$F:$BC,44,0)</f>
        <v>106861.66</v>
      </c>
      <c r="V389" s="2">
        <f>VLOOKUP($C389,'[10]for slip'!$F:$BC,45,0)</f>
        <v>53430.83</v>
      </c>
      <c r="W389" s="2">
        <f>VLOOKUP($C389,'[10]for slip'!$F:$BC,48,0)</f>
        <v>0</v>
      </c>
    </row>
    <row r="390" spans="1:23" x14ac:dyDescent="0.25">
      <c r="A390" s="1">
        <v>389</v>
      </c>
      <c r="B390" s="2" t="s">
        <v>799</v>
      </c>
      <c r="C390" s="2" t="s">
        <v>800</v>
      </c>
      <c r="D390" s="2" t="str">
        <f>VLOOKUP($C390,'[10]for slip'!$F:$BC,3,0)</f>
        <v>Pelaksana</v>
      </c>
      <c r="E390" s="2" t="str">
        <f>VLOOKUP($C390,'[10]for slip'!$F:$BC,4,0)</f>
        <v>Quality Control</v>
      </c>
      <c r="F390" s="2">
        <f>VLOOKUP($C390,'[10]for slip'!$F:$BC,14,0)</f>
        <v>5343083</v>
      </c>
      <c r="G390" s="2">
        <f>VLOOKUP($C390,'[10]for slip'!$F:$BC,15,0)</f>
        <v>0</v>
      </c>
      <c r="H390" s="2">
        <f>VLOOKUP($C390,'[10]for slip'!$F:$BC,16,0)</f>
        <v>0</v>
      </c>
      <c r="I390" s="2">
        <f>VLOOKUP($C390,'[10]for slip'!$F:$BC,17,0)</f>
        <v>0</v>
      </c>
      <c r="J390" s="2">
        <f>VLOOKUP($C390,'[10]for slip'!$F:$BC,27,0)</f>
        <v>0</v>
      </c>
      <c r="K390" s="2">
        <f>VLOOKUP($C390,'[10]for slip'!$F:$BC,31,0)</f>
        <v>0</v>
      </c>
      <c r="L390" s="2">
        <f>VLOOKUP($C390,'[10]for slip'!$F:$BC,35,0)</f>
        <v>15604.584590750002</v>
      </c>
      <c r="M390" s="2">
        <f>VLOOKUP($C390,'[10]for slip'!$F:$BC,36,0)</f>
        <v>0</v>
      </c>
      <c r="N390" s="2">
        <f>VLOOKUP($C390,'[10]for slip'!$F:$BC,37,0)</f>
        <v>0</v>
      </c>
      <c r="O390" s="2">
        <f>VLOOKUP($C390,'[10]for slip'!$F:$BC,38,0)</f>
        <v>0</v>
      </c>
      <c r="P390" s="2">
        <f>VLOOKUP($C390,'[10]for slip'!$F:$BC,39,0)</f>
        <v>0</v>
      </c>
      <c r="Q390" s="2">
        <f>VLOOKUP($C390,'[10]for slip'!$F:$BC,40,0)</f>
        <v>31700</v>
      </c>
      <c r="R390" s="2">
        <f>VLOOKUP($C390,'[10]for slip'!$F:$BC,41,0)</f>
        <v>0</v>
      </c>
      <c r="S390" s="2">
        <f>VLOOKUP($C390,'[10]for slip'!$F:$BC,42,0)</f>
        <v>0</v>
      </c>
      <c r="T390" s="2">
        <f>VLOOKUP($C390,'[10]for slip'!$F:$BC,43,0)</f>
        <v>53430.83</v>
      </c>
      <c r="U390" s="2">
        <f>VLOOKUP($C390,'[10]for slip'!$F:$BC,44,0)</f>
        <v>106861.66</v>
      </c>
      <c r="V390" s="2">
        <f>VLOOKUP($C390,'[10]for slip'!$F:$BC,45,0)</f>
        <v>53430.83</v>
      </c>
      <c r="W390" s="2">
        <f>VLOOKUP($C390,'[10]for slip'!$F:$BC,48,0)</f>
        <v>15604.584590750002</v>
      </c>
    </row>
    <row r="391" spans="1:23" x14ac:dyDescent="0.25">
      <c r="A391" s="1">
        <v>390</v>
      </c>
      <c r="B391" s="2" t="s">
        <v>801</v>
      </c>
      <c r="C391" s="2" t="s">
        <v>802</v>
      </c>
      <c r="D391" s="2" t="str">
        <f>VLOOKUP($C391,'[10]for slip'!$F:$BC,3,0)</f>
        <v>Pelaksana</v>
      </c>
      <c r="E391" s="2" t="str">
        <f>VLOOKUP($C391,'[10]for slip'!$F:$BC,4,0)</f>
        <v>Quality Control</v>
      </c>
      <c r="F391" s="2">
        <f>VLOOKUP($C391,'[10]for slip'!$F:$BC,14,0)</f>
        <v>5343083</v>
      </c>
      <c r="G391" s="2">
        <f>VLOOKUP($C391,'[10]for slip'!$F:$BC,15,0)</f>
        <v>0</v>
      </c>
      <c r="H391" s="2">
        <f>VLOOKUP($C391,'[10]for slip'!$F:$BC,16,0)</f>
        <v>0</v>
      </c>
      <c r="I391" s="2">
        <f>VLOOKUP($C391,'[10]for slip'!$F:$BC,17,0)</f>
        <v>0</v>
      </c>
      <c r="J391" s="2">
        <f>VLOOKUP($C391,'[10]for slip'!$F:$BC,27,0)</f>
        <v>0</v>
      </c>
      <c r="K391" s="2">
        <f>VLOOKUP($C391,'[10]for slip'!$F:$BC,31,0)</f>
        <v>0</v>
      </c>
      <c r="L391" s="2">
        <f>VLOOKUP($C391,'[10]for slip'!$F:$BC,35,0)</f>
        <v>15604.584590750002</v>
      </c>
      <c r="M391" s="2">
        <f>VLOOKUP($C391,'[10]for slip'!$F:$BC,36,0)</f>
        <v>0</v>
      </c>
      <c r="N391" s="2">
        <f>VLOOKUP($C391,'[10]for slip'!$F:$BC,37,0)</f>
        <v>0</v>
      </c>
      <c r="O391" s="2">
        <f>VLOOKUP($C391,'[10]for slip'!$F:$BC,38,0)</f>
        <v>0</v>
      </c>
      <c r="P391" s="2">
        <f>VLOOKUP($C391,'[10]for slip'!$F:$BC,39,0)</f>
        <v>0</v>
      </c>
      <c r="Q391" s="2">
        <f>VLOOKUP($C391,'[10]for slip'!$F:$BC,40,0)</f>
        <v>31700</v>
      </c>
      <c r="R391" s="2">
        <f>VLOOKUP($C391,'[10]for slip'!$F:$BC,41,0)</f>
        <v>0</v>
      </c>
      <c r="S391" s="2">
        <f>VLOOKUP($C391,'[10]for slip'!$F:$BC,42,0)</f>
        <v>0</v>
      </c>
      <c r="T391" s="2">
        <f>VLOOKUP($C391,'[10]for slip'!$F:$BC,43,0)</f>
        <v>53430.83</v>
      </c>
      <c r="U391" s="2">
        <f>VLOOKUP($C391,'[10]for slip'!$F:$BC,44,0)</f>
        <v>106861.66</v>
      </c>
      <c r="V391" s="2">
        <f>VLOOKUP($C391,'[10]for slip'!$F:$BC,45,0)</f>
        <v>53430.83</v>
      </c>
      <c r="W391" s="2">
        <f>VLOOKUP($C391,'[10]for slip'!$F:$BC,48,0)</f>
        <v>15604.584590750002</v>
      </c>
    </row>
    <row r="392" spans="1:23" x14ac:dyDescent="0.25">
      <c r="A392" s="1">
        <v>391</v>
      </c>
      <c r="B392" s="2" t="s">
        <v>803</v>
      </c>
      <c r="C392" s="2" t="s">
        <v>804</v>
      </c>
      <c r="D392" s="2" t="str">
        <f>VLOOKUP($C392,'[10]for slip'!$F:$BC,3,0)</f>
        <v>Pelaksana</v>
      </c>
      <c r="E392" s="2" t="str">
        <f>VLOOKUP($C392,'[10]for slip'!$F:$BC,4,0)</f>
        <v>Quality Control</v>
      </c>
      <c r="F392" s="2">
        <f>VLOOKUP($C392,'[10]for slip'!$F:$BC,14,0)</f>
        <v>5343083</v>
      </c>
      <c r="G392" s="2">
        <f>VLOOKUP($C392,'[10]for slip'!$F:$BC,15,0)</f>
        <v>0</v>
      </c>
      <c r="H392" s="2">
        <f>VLOOKUP($C392,'[10]for slip'!$F:$BC,16,0)</f>
        <v>0</v>
      </c>
      <c r="I392" s="2">
        <f>VLOOKUP($C392,'[10]for slip'!$F:$BC,17,0)</f>
        <v>0</v>
      </c>
      <c r="J392" s="2">
        <f>VLOOKUP($C392,'[10]for slip'!$F:$BC,27,0)</f>
        <v>0</v>
      </c>
      <c r="K392" s="2">
        <f>VLOOKUP($C392,'[10]for slip'!$F:$BC,31,0)</f>
        <v>0</v>
      </c>
      <c r="L392" s="2">
        <f>VLOOKUP($C392,'[10]for slip'!$F:$BC,35,0)</f>
        <v>34354.584590750004</v>
      </c>
      <c r="M392" s="2">
        <f>VLOOKUP($C392,'[10]for slip'!$F:$BC,36,0)</f>
        <v>0</v>
      </c>
      <c r="N392" s="2">
        <f>VLOOKUP($C392,'[10]for slip'!$F:$BC,37,0)</f>
        <v>0</v>
      </c>
      <c r="O392" s="2">
        <f>VLOOKUP($C392,'[10]for slip'!$F:$BC,38,0)</f>
        <v>0</v>
      </c>
      <c r="P392" s="2">
        <f>VLOOKUP($C392,'[10]for slip'!$F:$BC,39,0)</f>
        <v>0</v>
      </c>
      <c r="Q392" s="2">
        <f>VLOOKUP($C392,'[10]for slip'!$F:$BC,40,0)</f>
        <v>31700</v>
      </c>
      <c r="R392" s="2">
        <f>VLOOKUP($C392,'[10]for slip'!$F:$BC,41,0)</f>
        <v>0</v>
      </c>
      <c r="S392" s="2">
        <f>VLOOKUP($C392,'[10]for slip'!$F:$BC,42,0)</f>
        <v>0</v>
      </c>
      <c r="T392" s="2">
        <f>VLOOKUP($C392,'[10]for slip'!$F:$BC,43,0)</f>
        <v>53430.83</v>
      </c>
      <c r="U392" s="2">
        <f>VLOOKUP($C392,'[10]for slip'!$F:$BC,44,0)</f>
        <v>106861.66</v>
      </c>
      <c r="V392" s="2">
        <f>VLOOKUP($C392,'[10]for slip'!$F:$BC,45,0)</f>
        <v>53430.83</v>
      </c>
      <c r="W392" s="2">
        <f>VLOOKUP($C392,'[10]for slip'!$F:$BC,48,0)</f>
        <v>34354.584590750004</v>
      </c>
    </row>
    <row r="393" spans="1:23" x14ac:dyDescent="0.25">
      <c r="A393" s="1">
        <v>392</v>
      </c>
      <c r="B393" s="2" t="s">
        <v>805</v>
      </c>
      <c r="C393" s="2" t="s">
        <v>806</v>
      </c>
      <c r="D393" s="2" t="str">
        <f>VLOOKUP($C393,'[10]for slip'!$F:$BC,3,0)</f>
        <v>Pelaksana</v>
      </c>
      <c r="E393" s="2" t="str">
        <f>VLOOKUP($C393,'[10]for slip'!$F:$BC,4,0)</f>
        <v>Quality Control</v>
      </c>
      <c r="F393" s="2">
        <f>VLOOKUP($C393,'[10]for slip'!$F:$BC,14,0)</f>
        <v>5343083</v>
      </c>
      <c r="G393" s="2">
        <f>VLOOKUP($C393,'[10]for slip'!$F:$BC,15,0)</f>
        <v>0</v>
      </c>
      <c r="H393" s="2">
        <f>VLOOKUP($C393,'[10]for slip'!$F:$BC,16,0)</f>
        <v>0</v>
      </c>
      <c r="I393" s="2">
        <f>VLOOKUP($C393,'[10]for slip'!$F:$BC,17,0)</f>
        <v>0</v>
      </c>
      <c r="J393" s="2">
        <f>VLOOKUP($C393,'[10]for slip'!$F:$BC,27,0)</f>
        <v>0</v>
      </c>
      <c r="K393" s="2">
        <f>VLOOKUP($C393,'[10]for slip'!$F:$BC,31,0)</f>
        <v>0</v>
      </c>
      <c r="L393" s="2">
        <f>VLOOKUP($C393,'[10]for slip'!$F:$BC,35,0)</f>
        <v>0</v>
      </c>
      <c r="M393" s="2">
        <f>VLOOKUP($C393,'[10]for slip'!$F:$BC,36,0)</f>
        <v>0</v>
      </c>
      <c r="N393" s="2">
        <f>VLOOKUP($C393,'[10]for slip'!$F:$BC,37,0)</f>
        <v>0</v>
      </c>
      <c r="O393" s="2">
        <f>VLOOKUP($C393,'[10]for slip'!$F:$BC,38,0)</f>
        <v>0</v>
      </c>
      <c r="P393" s="2">
        <f>VLOOKUP($C393,'[10]for slip'!$F:$BC,39,0)</f>
        <v>0</v>
      </c>
      <c r="Q393" s="2">
        <f>VLOOKUP($C393,'[10]for slip'!$F:$BC,40,0)</f>
        <v>31700</v>
      </c>
      <c r="R393" s="2">
        <f>VLOOKUP($C393,'[10]for slip'!$F:$BC,41,0)</f>
        <v>0</v>
      </c>
      <c r="S393" s="2">
        <f>VLOOKUP($C393,'[10]for slip'!$F:$BC,42,0)</f>
        <v>0</v>
      </c>
      <c r="T393" s="2">
        <f>VLOOKUP($C393,'[10]for slip'!$F:$BC,43,0)</f>
        <v>53430.83</v>
      </c>
      <c r="U393" s="2">
        <f>VLOOKUP($C393,'[10]for slip'!$F:$BC,44,0)</f>
        <v>106861.66</v>
      </c>
      <c r="V393" s="2">
        <f>VLOOKUP($C393,'[10]for slip'!$F:$BC,45,0)</f>
        <v>53430.83</v>
      </c>
      <c r="W393" s="2">
        <f>VLOOKUP($C393,'[10]for slip'!$F:$BC,48,0)</f>
        <v>0</v>
      </c>
    </row>
    <row r="394" spans="1:23" x14ac:dyDescent="0.25">
      <c r="A394" s="1">
        <v>393</v>
      </c>
      <c r="B394" s="2" t="s">
        <v>807</v>
      </c>
      <c r="C394" s="2" t="s">
        <v>808</v>
      </c>
      <c r="D394" s="2" t="str">
        <f>VLOOKUP($C394,'[10]for slip'!$F:$BC,3,0)</f>
        <v>Pelaksana</v>
      </c>
      <c r="E394" s="2" t="str">
        <f>VLOOKUP($C394,'[10]for slip'!$F:$BC,4,0)</f>
        <v>Quality Control</v>
      </c>
      <c r="F394" s="2">
        <f>VLOOKUP($C394,'[10]for slip'!$F:$BC,14,0)</f>
        <v>5343083</v>
      </c>
      <c r="G394" s="2">
        <f>VLOOKUP($C394,'[10]for slip'!$F:$BC,15,0)</f>
        <v>0</v>
      </c>
      <c r="H394" s="2">
        <f>VLOOKUP($C394,'[10]for slip'!$F:$BC,16,0)</f>
        <v>0</v>
      </c>
      <c r="I394" s="2">
        <f>VLOOKUP($C394,'[10]for slip'!$F:$BC,17,0)</f>
        <v>0</v>
      </c>
      <c r="J394" s="2">
        <f>VLOOKUP($C394,'[10]for slip'!$F:$BC,27,0)</f>
        <v>0</v>
      </c>
      <c r="K394" s="2">
        <f>VLOOKUP($C394,'[10]for slip'!$F:$BC,31,0)</f>
        <v>0</v>
      </c>
      <c r="L394" s="2">
        <f>VLOOKUP($C394,'[10]for slip'!$F:$BC,35,0)</f>
        <v>15604.584590750002</v>
      </c>
      <c r="M394" s="2">
        <f>VLOOKUP($C394,'[10]for slip'!$F:$BC,36,0)</f>
        <v>0</v>
      </c>
      <c r="N394" s="2">
        <f>VLOOKUP($C394,'[10]for slip'!$F:$BC,37,0)</f>
        <v>0</v>
      </c>
      <c r="O394" s="2">
        <f>VLOOKUP($C394,'[10]for slip'!$F:$BC,38,0)</f>
        <v>0</v>
      </c>
      <c r="P394" s="2">
        <f>VLOOKUP($C394,'[10]for slip'!$F:$BC,39,0)</f>
        <v>0</v>
      </c>
      <c r="Q394" s="2">
        <f>VLOOKUP($C394,'[10]for slip'!$F:$BC,40,0)</f>
        <v>31700</v>
      </c>
      <c r="R394" s="2">
        <f>VLOOKUP($C394,'[10]for slip'!$F:$BC,41,0)</f>
        <v>0</v>
      </c>
      <c r="S394" s="2">
        <f>VLOOKUP($C394,'[10]for slip'!$F:$BC,42,0)</f>
        <v>0</v>
      </c>
      <c r="T394" s="2">
        <f>VLOOKUP($C394,'[10]for slip'!$F:$BC,43,0)</f>
        <v>53430.83</v>
      </c>
      <c r="U394" s="2">
        <f>VLOOKUP($C394,'[10]for slip'!$F:$BC,44,0)</f>
        <v>106861.66</v>
      </c>
      <c r="V394" s="2">
        <f>VLOOKUP($C394,'[10]for slip'!$F:$BC,45,0)</f>
        <v>53430.83</v>
      </c>
      <c r="W394" s="2">
        <f>VLOOKUP($C394,'[10]for slip'!$F:$BC,48,0)</f>
        <v>15604.584590750002</v>
      </c>
    </row>
    <row r="395" spans="1:23" x14ac:dyDescent="0.25">
      <c r="A395" s="1">
        <v>394</v>
      </c>
      <c r="B395" s="2" t="s">
        <v>809</v>
      </c>
      <c r="C395" s="2" t="s">
        <v>810</v>
      </c>
      <c r="D395" s="2" t="str">
        <f>VLOOKUP($C395,'[10]for slip'!$F:$BC,3,0)</f>
        <v>Pelaksana</v>
      </c>
      <c r="E395" s="2" t="str">
        <f>VLOOKUP($C395,'[10]for slip'!$F:$BC,4,0)</f>
        <v>Quality Control</v>
      </c>
      <c r="F395" s="2">
        <f>VLOOKUP($C395,'[10]for slip'!$F:$BC,14,0)</f>
        <v>5343083</v>
      </c>
      <c r="G395" s="2">
        <f>VLOOKUP($C395,'[10]for slip'!$F:$BC,15,0)</f>
        <v>0</v>
      </c>
      <c r="H395" s="2">
        <f>VLOOKUP($C395,'[10]for slip'!$F:$BC,16,0)</f>
        <v>0</v>
      </c>
      <c r="I395" s="2">
        <f>VLOOKUP($C395,'[10]for slip'!$F:$BC,17,0)</f>
        <v>0</v>
      </c>
      <c r="J395" s="2">
        <f>VLOOKUP($C395,'[10]for slip'!$F:$BC,27,0)</f>
        <v>0</v>
      </c>
      <c r="K395" s="2">
        <f>VLOOKUP($C395,'[10]for slip'!$F:$BC,31,0)</f>
        <v>0</v>
      </c>
      <c r="L395" s="2">
        <f>VLOOKUP($C395,'[10]for slip'!$F:$BC,35,0)</f>
        <v>34354.584590750004</v>
      </c>
      <c r="M395" s="2">
        <f>VLOOKUP($C395,'[10]for slip'!$F:$BC,36,0)</f>
        <v>0</v>
      </c>
      <c r="N395" s="2">
        <f>VLOOKUP($C395,'[10]for slip'!$F:$BC,37,0)</f>
        <v>0</v>
      </c>
      <c r="O395" s="2">
        <f>VLOOKUP($C395,'[10]for slip'!$F:$BC,38,0)</f>
        <v>0</v>
      </c>
      <c r="P395" s="2">
        <f>VLOOKUP($C395,'[10]for slip'!$F:$BC,39,0)</f>
        <v>0</v>
      </c>
      <c r="Q395" s="2">
        <f>VLOOKUP($C395,'[10]for slip'!$F:$BC,40,0)</f>
        <v>31700</v>
      </c>
      <c r="R395" s="2">
        <f>VLOOKUP($C395,'[10]for slip'!$F:$BC,41,0)</f>
        <v>0</v>
      </c>
      <c r="S395" s="2">
        <f>VLOOKUP($C395,'[10]for slip'!$F:$BC,42,0)</f>
        <v>0</v>
      </c>
      <c r="T395" s="2">
        <f>VLOOKUP($C395,'[10]for slip'!$F:$BC,43,0)</f>
        <v>53430.83</v>
      </c>
      <c r="U395" s="2">
        <f>VLOOKUP($C395,'[10]for slip'!$F:$BC,44,0)</f>
        <v>106861.66</v>
      </c>
      <c r="V395" s="2">
        <f>VLOOKUP($C395,'[10]for slip'!$F:$BC,45,0)</f>
        <v>53430.83</v>
      </c>
      <c r="W395" s="2">
        <f>VLOOKUP($C395,'[10]for slip'!$F:$BC,48,0)</f>
        <v>34354.584590750004</v>
      </c>
    </row>
    <row r="396" spans="1:23" x14ac:dyDescent="0.25">
      <c r="A396" s="1">
        <v>395</v>
      </c>
      <c r="B396" s="2" t="s">
        <v>811</v>
      </c>
      <c r="C396" s="2" t="s">
        <v>812</v>
      </c>
      <c r="D396" s="2" t="str">
        <f>VLOOKUP($C396,'[10]for slip'!$F:$BC,3,0)</f>
        <v>Pelaksana</v>
      </c>
      <c r="E396" s="2" t="str">
        <f>VLOOKUP($C396,'[10]for slip'!$F:$BC,4,0)</f>
        <v>Prod. Stamping</v>
      </c>
      <c r="F396" s="2">
        <f>VLOOKUP($C396,'[10]for slip'!$F:$BC,14,0)</f>
        <v>5343083</v>
      </c>
      <c r="G396" s="2">
        <f>VLOOKUP($C396,'[10]for slip'!$F:$BC,15,0)</f>
        <v>0</v>
      </c>
      <c r="H396" s="2">
        <f>VLOOKUP($C396,'[10]for slip'!$F:$BC,16,0)</f>
        <v>0</v>
      </c>
      <c r="I396" s="2">
        <f>VLOOKUP($C396,'[10]for slip'!$F:$BC,17,0)</f>
        <v>0</v>
      </c>
      <c r="J396" s="2">
        <f>VLOOKUP($C396,'[10]for slip'!$F:$BC,27,0)</f>
        <v>0</v>
      </c>
      <c r="K396" s="2">
        <f>VLOOKUP($C396,'[10]for slip'!$F:$BC,31,0)</f>
        <v>0</v>
      </c>
      <c r="L396" s="2">
        <f>VLOOKUP($C396,'[10]for slip'!$F:$BC,35,0)</f>
        <v>24202.726890749982</v>
      </c>
      <c r="M396" s="2">
        <f>VLOOKUP($C396,'[10]for slip'!$F:$BC,36,0)</f>
        <v>0</v>
      </c>
      <c r="N396" s="2">
        <f>VLOOKUP($C396,'[10]for slip'!$F:$BC,37,0)</f>
        <v>0</v>
      </c>
      <c r="O396" s="2">
        <f>VLOOKUP($C396,'[10]for slip'!$F:$BC,38,0)</f>
        <v>0</v>
      </c>
      <c r="P396" s="2">
        <f>VLOOKUP($C396,'[10]for slip'!$F:$BC,39,0)</f>
        <v>0</v>
      </c>
      <c r="Q396" s="2">
        <f>VLOOKUP($C396,'[10]for slip'!$F:$BC,40,0)</f>
        <v>31700</v>
      </c>
      <c r="R396" s="2">
        <f>VLOOKUP($C396,'[10]for slip'!$F:$BC,41,0)</f>
        <v>0</v>
      </c>
      <c r="S396" s="2">
        <f>VLOOKUP($C396,'[10]for slip'!$F:$BC,42,0)</f>
        <v>0</v>
      </c>
      <c r="T396" s="2">
        <f>VLOOKUP($C396,'[10]for slip'!$F:$BC,43,0)</f>
        <v>0</v>
      </c>
      <c r="U396" s="2">
        <f>VLOOKUP($C396,'[10]for slip'!$F:$BC,44,0)</f>
        <v>106861.66</v>
      </c>
      <c r="V396" s="2">
        <f>VLOOKUP($C396,'[10]for slip'!$F:$BC,45,0)</f>
        <v>53430.83</v>
      </c>
      <c r="W396" s="2">
        <f>VLOOKUP($C396,'[10]for slip'!$F:$BC,48,0)</f>
        <v>24202.726890749982</v>
      </c>
    </row>
    <row r="397" spans="1:23" x14ac:dyDescent="0.25">
      <c r="A397" s="1">
        <v>396</v>
      </c>
      <c r="B397" s="2" t="s">
        <v>813</v>
      </c>
      <c r="C397" s="2" t="s">
        <v>814</v>
      </c>
      <c r="D397" s="2" t="str">
        <f>VLOOKUP($C397,'[10]for slip'!$F:$BC,3,0)</f>
        <v>Pelaksana</v>
      </c>
      <c r="E397" s="2" t="str">
        <f>VLOOKUP($C397,'[10]for slip'!$F:$BC,4,0)</f>
        <v>Quality Control</v>
      </c>
      <c r="F397" s="2">
        <f>VLOOKUP($C397,'[10]for slip'!$F:$BC,14,0)</f>
        <v>5343083</v>
      </c>
      <c r="G397" s="2">
        <f>VLOOKUP($C397,'[10]for slip'!$F:$BC,15,0)</f>
        <v>0</v>
      </c>
      <c r="H397" s="2">
        <f>VLOOKUP($C397,'[10]for slip'!$F:$BC,16,0)</f>
        <v>0</v>
      </c>
      <c r="I397" s="2">
        <f>VLOOKUP($C397,'[10]for slip'!$F:$BC,17,0)</f>
        <v>0</v>
      </c>
      <c r="J397" s="2">
        <f>VLOOKUP($C397,'[10]for slip'!$F:$BC,27,0)</f>
        <v>0</v>
      </c>
      <c r="K397" s="2">
        <f>VLOOKUP($C397,'[10]for slip'!$F:$BC,31,0)</f>
        <v>0</v>
      </c>
      <c r="L397" s="2">
        <f>VLOOKUP($C397,'[10]for slip'!$F:$BC,35,0)</f>
        <v>0</v>
      </c>
      <c r="M397" s="2">
        <f>VLOOKUP($C397,'[10]for slip'!$F:$BC,36,0)</f>
        <v>0</v>
      </c>
      <c r="N397" s="2">
        <f>VLOOKUP($C397,'[10]for slip'!$F:$BC,37,0)</f>
        <v>0</v>
      </c>
      <c r="O397" s="2">
        <f>VLOOKUP($C397,'[10]for slip'!$F:$BC,38,0)</f>
        <v>0</v>
      </c>
      <c r="P397" s="2">
        <f>VLOOKUP($C397,'[10]for slip'!$F:$BC,39,0)</f>
        <v>0</v>
      </c>
      <c r="Q397" s="2">
        <f>VLOOKUP($C397,'[10]for slip'!$F:$BC,40,0)</f>
        <v>31700</v>
      </c>
      <c r="R397" s="2">
        <f>VLOOKUP($C397,'[10]for slip'!$F:$BC,41,0)</f>
        <v>0</v>
      </c>
      <c r="S397" s="2">
        <f>VLOOKUP($C397,'[10]for slip'!$F:$BC,42,0)</f>
        <v>0</v>
      </c>
      <c r="T397" s="2">
        <f>VLOOKUP($C397,'[10]for slip'!$F:$BC,43,0)</f>
        <v>53430.83</v>
      </c>
      <c r="U397" s="2">
        <f>VLOOKUP($C397,'[10]for slip'!$F:$BC,44,0)</f>
        <v>106861.66</v>
      </c>
      <c r="V397" s="2">
        <f>VLOOKUP($C397,'[10]for slip'!$F:$BC,45,0)</f>
        <v>53430.83</v>
      </c>
      <c r="W397" s="2">
        <f>VLOOKUP($C397,'[10]for slip'!$F:$BC,48,0)</f>
        <v>0</v>
      </c>
    </row>
    <row r="398" spans="1:23" x14ac:dyDescent="0.25">
      <c r="A398" s="1">
        <v>397</v>
      </c>
      <c r="B398" s="2" t="s">
        <v>815</v>
      </c>
      <c r="C398" s="2" t="s">
        <v>816</v>
      </c>
      <c r="D398" s="2" t="str">
        <f>VLOOKUP($C398,'[10]for slip'!$F:$BC,3,0)</f>
        <v>Pelaksana</v>
      </c>
      <c r="E398" s="2" t="str">
        <f>VLOOKUP($C398,'[10]for slip'!$F:$BC,4,0)</f>
        <v>Quality Control</v>
      </c>
      <c r="F398" s="2">
        <f>VLOOKUP($C398,'[10]for slip'!$F:$BC,14,0)</f>
        <v>5343083</v>
      </c>
      <c r="G398" s="2">
        <f>VLOOKUP($C398,'[10]for slip'!$F:$BC,15,0)</f>
        <v>0</v>
      </c>
      <c r="H398" s="2">
        <f>VLOOKUP($C398,'[10]for slip'!$F:$BC,16,0)</f>
        <v>0</v>
      </c>
      <c r="I398" s="2">
        <f>VLOOKUP($C398,'[10]for slip'!$F:$BC,17,0)</f>
        <v>0</v>
      </c>
      <c r="J398" s="2">
        <f>VLOOKUP($C398,'[10]for slip'!$F:$BC,27,0)</f>
        <v>0</v>
      </c>
      <c r="K398" s="2">
        <f>VLOOKUP($C398,'[10]for slip'!$F:$BC,31,0)</f>
        <v>0</v>
      </c>
      <c r="L398" s="2">
        <f>VLOOKUP($C398,'[10]for slip'!$F:$BC,35,0)</f>
        <v>34354.584590750004</v>
      </c>
      <c r="M398" s="2">
        <f>VLOOKUP($C398,'[10]for slip'!$F:$BC,36,0)</f>
        <v>0</v>
      </c>
      <c r="N398" s="2">
        <f>VLOOKUP($C398,'[10]for slip'!$F:$BC,37,0)</f>
        <v>0</v>
      </c>
      <c r="O398" s="2">
        <f>VLOOKUP($C398,'[10]for slip'!$F:$BC,38,0)</f>
        <v>0</v>
      </c>
      <c r="P398" s="2">
        <f>VLOOKUP($C398,'[10]for slip'!$F:$BC,39,0)</f>
        <v>0</v>
      </c>
      <c r="Q398" s="2">
        <f>VLOOKUP($C398,'[10]for slip'!$F:$BC,40,0)</f>
        <v>31700</v>
      </c>
      <c r="R398" s="2">
        <f>VLOOKUP($C398,'[10]for slip'!$F:$BC,41,0)</f>
        <v>0</v>
      </c>
      <c r="S398" s="2">
        <f>VLOOKUP($C398,'[10]for slip'!$F:$BC,42,0)</f>
        <v>0</v>
      </c>
      <c r="T398" s="2">
        <f>VLOOKUP($C398,'[10]for slip'!$F:$BC,43,0)</f>
        <v>53430.83</v>
      </c>
      <c r="U398" s="2">
        <f>VLOOKUP($C398,'[10]for slip'!$F:$BC,44,0)</f>
        <v>106861.66</v>
      </c>
      <c r="V398" s="2">
        <f>VLOOKUP($C398,'[10]for slip'!$F:$BC,45,0)</f>
        <v>53430.83</v>
      </c>
      <c r="W398" s="2">
        <f>VLOOKUP($C398,'[10]for slip'!$F:$BC,48,0)</f>
        <v>34354.584590750004</v>
      </c>
    </row>
    <row r="399" spans="1:23" x14ac:dyDescent="0.25">
      <c r="A399" s="1">
        <v>398</v>
      </c>
      <c r="B399" s="2" t="s">
        <v>817</v>
      </c>
      <c r="C399" s="2" t="s">
        <v>818</v>
      </c>
      <c r="D399" s="2" t="str">
        <f>VLOOKUP($C399,'[10]for slip'!$F:$BC,3,0)</f>
        <v>Pelaksana</v>
      </c>
      <c r="E399" s="2" t="str">
        <f>VLOOKUP($C399,'[10]for slip'!$F:$BC,4,0)</f>
        <v>Quality Control</v>
      </c>
      <c r="F399" s="2">
        <f>VLOOKUP($C399,'[10]for slip'!$F:$BC,14,0)</f>
        <v>5343083</v>
      </c>
      <c r="G399" s="2">
        <f>VLOOKUP($C399,'[10]for slip'!$F:$BC,15,0)</f>
        <v>0</v>
      </c>
      <c r="H399" s="2">
        <f>VLOOKUP($C399,'[10]for slip'!$F:$BC,16,0)</f>
        <v>0</v>
      </c>
      <c r="I399" s="2">
        <f>VLOOKUP($C399,'[10]for slip'!$F:$BC,17,0)</f>
        <v>0</v>
      </c>
      <c r="J399" s="2">
        <f>VLOOKUP($C399,'[10]for slip'!$F:$BC,27,0)</f>
        <v>0</v>
      </c>
      <c r="K399" s="2">
        <f>VLOOKUP($C399,'[10]for slip'!$F:$BC,31,0)</f>
        <v>0</v>
      </c>
      <c r="L399" s="2">
        <f>VLOOKUP($C399,'[10]for slip'!$F:$BC,35,0)</f>
        <v>34354.584590750004</v>
      </c>
      <c r="M399" s="2">
        <f>VLOOKUP($C399,'[10]for slip'!$F:$BC,36,0)</f>
        <v>0</v>
      </c>
      <c r="N399" s="2">
        <f>VLOOKUP($C399,'[10]for slip'!$F:$BC,37,0)</f>
        <v>0</v>
      </c>
      <c r="O399" s="2">
        <f>VLOOKUP($C399,'[10]for slip'!$F:$BC,38,0)</f>
        <v>0</v>
      </c>
      <c r="P399" s="2">
        <f>VLOOKUP($C399,'[10]for slip'!$F:$BC,39,0)</f>
        <v>0</v>
      </c>
      <c r="Q399" s="2">
        <f>VLOOKUP($C399,'[10]for slip'!$F:$BC,40,0)</f>
        <v>31700</v>
      </c>
      <c r="R399" s="2">
        <f>VLOOKUP($C399,'[10]for slip'!$F:$BC,41,0)</f>
        <v>0</v>
      </c>
      <c r="S399" s="2">
        <f>VLOOKUP($C399,'[10]for slip'!$F:$BC,42,0)</f>
        <v>0</v>
      </c>
      <c r="T399" s="2">
        <f>VLOOKUP($C399,'[10]for slip'!$F:$BC,43,0)</f>
        <v>53430.83</v>
      </c>
      <c r="U399" s="2">
        <f>VLOOKUP($C399,'[10]for slip'!$F:$BC,44,0)</f>
        <v>106861.66</v>
      </c>
      <c r="V399" s="2">
        <f>VLOOKUP($C399,'[10]for slip'!$F:$BC,45,0)</f>
        <v>53430.83</v>
      </c>
      <c r="W399" s="2">
        <f>VLOOKUP($C399,'[10]for slip'!$F:$BC,48,0)</f>
        <v>34354.584590750004</v>
      </c>
    </row>
    <row r="400" spans="1:23" x14ac:dyDescent="0.25">
      <c r="A400" s="1">
        <v>399</v>
      </c>
      <c r="B400" s="2" t="s">
        <v>819</v>
      </c>
      <c r="C400" s="2" t="s">
        <v>820</v>
      </c>
      <c r="D400" s="2" t="str">
        <f>VLOOKUP($C400,'[10]for slip'!$F:$BC,3,0)</f>
        <v>Pelaksana</v>
      </c>
      <c r="E400" s="2" t="str">
        <f>VLOOKUP($C400,'[10]for slip'!$F:$BC,4,0)</f>
        <v>Quality Control</v>
      </c>
      <c r="F400" s="2">
        <f>VLOOKUP($C400,'[10]for slip'!$F:$BC,14,0)</f>
        <v>5343083</v>
      </c>
      <c r="G400" s="2">
        <f>VLOOKUP($C400,'[10]for slip'!$F:$BC,15,0)</f>
        <v>0</v>
      </c>
      <c r="H400" s="2">
        <f>VLOOKUP($C400,'[10]for slip'!$F:$BC,16,0)</f>
        <v>0</v>
      </c>
      <c r="I400" s="2">
        <f>VLOOKUP($C400,'[10]for slip'!$F:$BC,17,0)</f>
        <v>0</v>
      </c>
      <c r="J400" s="2">
        <f>VLOOKUP($C400,'[10]for slip'!$F:$BC,27,0)</f>
        <v>0</v>
      </c>
      <c r="K400" s="2">
        <f>VLOOKUP($C400,'[10]for slip'!$F:$BC,31,0)</f>
        <v>0</v>
      </c>
      <c r="L400" s="2">
        <f>VLOOKUP($C400,'[10]for slip'!$F:$BC,35,0)</f>
        <v>3899.0095907500017</v>
      </c>
      <c r="M400" s="2">
        <f>VLOOKUP($C400,'[10]for slip'!$F:$BC,36,0)</f>
        <v>0</v>
      </c>
      <c r="N400" s="2">
        <f>VLOOKUP($C400,'[10]for slip'!$F:$BC,37,0)</f>
        <v>3</v>
      </c>
      <c r="O400" s="2">
        <f>VLOOKUP($C400,'[10]for slip'!$F:$BC,38,0)</f>
        <v>641170</v>
      </c>
      <c r="P400" s="2">
        <f>VLOOKUP($C400,'[10]for slip'!$F:$BC,39,0)</f>
        <v>38000</v>
      </c>
      <c r="Q400" s="2">
        <f>VLOOKUP($C400,'[10]for slip'!$F:$BC,40,0)</f>
        <v>31700</v>
      </c>
      <c r="R400" s="2">
        <f>VLOOKUP($C400,'[10]for slip'!$F:$BC,41,0)</f>
        <v>0</v>
      </c>
      <c r="S400" s="2">
        <f>VLOOKUP($C400,'[10]for slip'!$F:$BC,42,0)</f>
        <v>10000</v>
      </c>
      <c r="T400" s="2">
        <f>VLOOKUP($C400,'[10]for slip'!$F:$BC,43,0)</f>
        <v>53430.83</v>
      </c>
      <c r="U400" s="2">
        <f>VLOOKUP($C400,'[10]for slip'!$F:$BC,44,0)</f>
        <v>106861.66</v>
      </c>
      <c r="V400" s="2">
        <f>VLOOKUP($C400,'[10]for slip'!$F:$BC,45,0)</f>
        <v>53430.83</v>
      </c>
      <c r="W400" s="2">
        <f>VLOOKUP($C400,'[10]for slip'!$F:$BC,48,0)</f>
        <v>3899.0095907500017</v>
      </c>
    </row>
    <row r="401" spans="1:23" x14ac:dyDescent="0.25">
      <c r="A401" s="1">
        <v>400</v>
      </c>
      <c r="B401" s="2" t="s">
        <v>821</v>
      </c>
      <c r="C401" s="2" t="s">
        <v>822</v>
      </c>
      <c r="D401" s="2" t="str">
        <f>VLOOKUP($C401,'[10]for slip'!$F:$BC,3,0)</f>
        <v>Pelaksana</v>
      </c>
      <c r="E401" s="2" t="str">
        <f>VLOOKUP($C401,'[10]for slip'!$F:$BC,4,0)</f>
        <v>Quality Control</v>
      </c>
      <c r="F401" s="2">
        <f>VLOOKUP($C401,'[10]for slip'!$F:$BC,14,0)</f>
        <v>5343083</v>
      </c>
      <c r="G401" s="2">
        <f>VLOOKUP($C401,'[10]for slip'!$F:$BC,15,0)</f>
        <v>0</v>
      </c>
      <c r="H401" s="2">
        <f>VLOOKUP($C401,'[10]for slip'!$F:$BC,16,0)</f>
        <v>0</v>
      </c>
      <c r="I401" s="2">
        <f>VLOOKUP($C401,'[10]for slip'!$F:$BC,17,0)</f>
        <v>0</v>
      </c>
      <c r="J401" s="2">
        <f>VLOOKUP($C401,'[10]for slip'!$F:$BC,27,0)</f>
        <v>0</v>
      </c>
      <c r="K401" s="2">
        <f>VLOOKUP($C401,'[10]for slip'!$F:$BC,31,0)</f>
        <v>0</v>
      </c>
      <c r="L401" s="2">
        <f>VLOOKUP($C401,'[10]for slip'!$F:$BC,35,0)</f>
        <v>34354.584590750004</v>
      </c>
      <c r="M401" s="2">
        <f>VLOOKUP($C401,'[10]for slip'!$F:$BC,36,0)</f>
        <v>0</v>
      </c>
      <c r="N401" s="2">
        <f>VLOOKUP($C401,'[10]for slip'!$F:$BC,37,0)</f>
        <v>0</v>
      </c>
      <c r="O401" s="2">
        <f>VLOOKUP($C401,'[10]for slip'!$F:$BC,38,0)</f>
        <v>0</v>
      </c>
      <c r="P401" s="2">
        <f>VLOOKUP($C401,'[10]for slip'!$F:$BC,39,0)</f>
        <v>38000</v>
      </c>
      <c r="Q401" s="2">
        <f>VLOOKUP($C401,'[10]for slip'!$F:$BC,40,0)</f>
        <v>31700</v>
      </c>
      <c r="R401" s="2">
        <f>VLOOKUP($C401,'[10]for slip'!$F:$BC,41,0)</f>
        <v>0</v>
      </c>
      <c r="S401" s="2">
        <f>VLOOKUP($C401,'[10]for slip'!$F:$BC,42,0)</f>
        <v>0</v>
      </c>
      <c r="T401" s="2">
        <f>VLOOKUP($C401,'[10]for slip'!$F:$BC,43,0)</f>
        <v>53430.83</v>
      </c>
      <c r="U401" s="2">
        <f>VLOOKUP($C401,'[10]for slip'!$F:$BC,44,0)</f>
        <v>106861.66</v>
      </c>
      <c r="V401" s="2">
        <f>VLOOKUP($C401,'[10]for slip'!$F:$BC,45,0)</f>
        <v>53430.83</v>
      </c>
      <c r="W401" s="2">
        <f>VLOOKUP($C401,'[10]for slip'!$F:$BC,48,0)</f>
        <v>34354.584590750004</v>
      </c>
    </row>
    <row r="402" spans="1:23" x14ac:dyDescent="0.25">
      <c r="A402" s="1">
        <v>401</v>
      </c>
      <c r="B402" s="2" t="s">
        <v>823</v>
      </c>
      <c r="C402" s="2" t="s">
        <v>824</v>
      </c>
      <c r="D402" s="2" t="str">
        <f>VLOOKUP($C402,'[10]for slip'!$F:$BC,3,0)</f>
        <v>Sect Head</v>
      </c>
      <c r="E402" s="2" t="str">
        <f>VLOOKUP($C402,'[10]for slip'!$F:$BC,4,0)</f>
        <v>Plant Maintenance</v>
      </c>
      <c r="F402" s="2">
        <f>VLOOKUP($C402,'[10]for slip'!$F:$BC,14,0)</f>
        <v>7025000</v>
      </c>
      <c r="G402" s="2">
        <f>VLOOKUP($C402,'[10]for slip'!$F:$BC,15,0)</f>
        <v>1500000</v>
      </c>
      <c r="H402" s="2">
        <f>VLOOKUP($C402,'[10]for slip'!$F:$BC,16,0)</f>
        <v>1000000</v>
      </c>
      <c r="I402" s="2">
        <f>VLOOKUP($C402,'[10]for slip'!$F:$BC,17,0)</f>
        <v>270000</v>
      </c>
      <c r="J402" s="2">
        <f>VLOOKUP($C402,'[10]for slip'!$F:$BC,27,0)</f>
        <v>0</v>
      </c>
      <c r="K402" s="2">
        <f>VLOOKUP($C402,'[10]for slip'!$F:$BC,31,0)</f>
        <v>0</v>
      </c>
      <c r="L402" s="2">
        <f>VLOOKUP($C402,'[10]for slip'!$F:$BC,35,0)</f>
        <v>280070.50833333336</v>
      </c>
      <c r="M402" s="2">
        <f>VLOOKUP($C402,'[10]for slip'!$F:$BC,36,0)</f>
        <v>0</v>
      </c>
      <c r="N402" s="2">
        <f>VLOOKUP($C402,'[10]for slip'!$F:$BC,37,0)</f>
        <v>0</v>
      </c>
      <c r="O402" s="2">
        <f>VLOOKUP($C402,'[10]for slip'!$F:$BC,38,0)</f>
        <v>0</v>
      </c>
      <c r="P402" s="2">
        <f>VLOOKUP($C402,'[10]for slip'!$F:$BC,39,0)</f>
        <v>38000</v>
      </c>
      <c r="Q402" s="2">
        <f>VLOOKUP($C402,'[10]for slip'!$F:$BC,40,0)</f>
        <v>31700</v>
      </c>
      <c r="R402" s="2">
        <f>VLOOKUP($C402,'[10]for slip'!$F:$BC,41,0)</f>
        <v>0</v>
      </c>
      <c r="S402" s="2">
        <f>VLOOKUP($C402,'[10]for slip'!$F:$BC,42,0)</f>
        <v>0</v>
      </c>
      <c r="T402" s="2">
        <f>VLOOKUP($C402,'[10]for slip'!$F:$BC,43,0)</f>
        <v>97950</v>
      </c>
      <c r="U402" s="2">
        <f>VLOOKUP($C402,'[10]for slip'!$F:$BC,44,0)</f>
        <v>195900</v>
      </c>
      <c r="V402" s="2">
        <f>VLOOKUP($C402,'[10]for slip'!$F:$BC,45,0)</f>
        <v>87546</v>
      </c>
      <c r="W402" s="2">
        <f>VLOOKUP($C402,'[10]for slip'!$F:$BC,48,0)</f>
        <v>280070.50833333336</v>
      </c>
    </row>
    <row r="403" spans="1:23" x14ac:dyDescent="0.25">
      <c r="A403" s="1">
        <v>402</v>
      </c>
      <c r="B403" s="2" t="s">
        <v>825</v>
      </c>
      <c r="C403" s="2" t="s">
        <v>826</v>
      </c>
      <c r="D403" s="2" t="str">
        <f>VLOOKUP($C403,'[10]for slip'!$F:$BC,3,0)</f>
        <v>Leader</v>
      </c>
      <c r="E403" s="2" t="str">
        <f>VLOOKUP($C403,'[10]for slip'!$F:$BC,4,0)</f>
        <v>Plant Maintenance</v>
      </c>
      <c r="F403" s="2">
        <f>VLOOKUP($C403,'[10]for slip'!$F:$BC,14,0)</f>
        <v>5343083</v>
      </c>
      <c r="G403" s="2">
        <f>VLOOKUP($C403,'[10]for slip'!$F:$BC,15,0)</f>
        <v>300000</v>
      </c>
      <c r="H403" s="2">
        <f>VLOOKUP($C403,'[10]for slip'!$F:$BC,16,0)</f>
        <v>276098</v>
      </c>
      <c r="I403" s="2">
        <f>VLOOKUP($C403,'[10]for slip'!$F:$BC,17,0)</f>
        <v>0</v>
      </c>
      <c r="J403" s="2">
        <f>VLOOKUP($C403,'[10]for slip'!$F:$BC,27,0)</f>
        <v>0</v>
      </c>
      <c r="K403" s="2">
        <f>VLOOKUP($C403,'[10]for slip'!$F:$BC,31,0)</f>
        <v>0</v>
      </c>
      <c r="L403" s="2">
        <f>VLOOKUP($C403,'[10]for slip'!$F:$BC,35,0)</f>
        <v>0</v>
      </c>
      <c r="M403" s="2">
        <f>VLOOKUP($C403,'[10]for slip'!$F:$BC,36,0)</f>
        <v>0</v>
      </c>
      <c r="N403" s="2">
        <f>VLOOKUP($C403,'[10]for slip'!$F:$BC,37,0)</f>
        <v>0</v>
      </c>
      <c r="O403" s="2">
        <f>VLOOKUP($C403,'[10]for slip'!$F:$BC,38,0)</f>
        <v>0</v>
      </c>
      <c r="P403" s="2">
        <f>VLOOKUP($C403,'[10]for slip'!$F:$BC,39,0)</f>
        <v>38000</v>
      </c>
      <c r="Q403" s="2">
        <f>VLOOKUP($C403,'[10]for slip'!$F:$BC,40,0)</f>
        <v>31700</v>
      </c>
      <c r="R403" s="2">
        <f>VLOOKUP($C403,'[10]for slip'!$F:$BC,41,0)</f>
        <v>0</v>
      </c>
      <c r="S403" s="2">
        <f>VLOOKUP($C403,'[10]for slip'!$F:$BC,42,0)</f>
        <v>10000</v>
      </c>
      <c r="T403" s="2">
        <f>VLOOKUP($C403,'[10]for slip'!$F:$BC,43,0)</f>
        <v>59191.81</v>
      </c>
      <c r="U403" s="2">
        <f>VLOOKUP($C403,'[10]for slip'!$F:$BC,44,0)</f>
        <v>118383.62</v>
      </c>
      <c r="V403" s="2">
        <f>VLOOKUP($C403,'[10]for slip'!$F:$BC,45,0)</f>
        <v>59191.81</v>
      </c>
      <c r="W403" s="2">
        <f>VLOOKUP($C403,'[10]for slip'!$F:$BC,48,0)</f>
        <v>0</v>
      </c>
    </row>
    <row r="404" spans="1:23" x14ac:dyDescent="0.25">
      <c r="A404" s="1">
        <v>403</v>
      </c>
      <c r="B404" s="2" t="s">
        <v>827</v>
      </c>
      <c r="C404" s="2" t="s">
        <v>828</v>
      </c>
      <c r="D404" s="2" t="str">
        <f>VLOOKUP($C404,'[10]for slip'!$F:$BC,3,0)</f>
        <v>Leader</v>
      </c>
      <c r="E404" s="2" t="str">
        <f>VLOOKUP($C404,'[10]for slip'!$F:$BC,4,0)</f>
        <v>Plant Maintenance</v>
      </c>
      <c r="F404" s="2">
        <f>VLOOKUP($C404,'[10]for slip'!$F:$BC,14,0)</f>
        <v>5343083</v>
      </c>
      <c r="G404" s="2">
        <f>VLOOKUP($C404,'[10]for slip'!$F:$BC,15,0)</f>
        <v>300000</v>
      </c>
      <c r="H404" s="2">
        <f>VLOOKUP($C404,'[10]for slip'!$F:$BC,16,0)</f>
        <v>0</v>
      </c>
      <c r="I404" s="2">
        <f>VLOOKUP($C404,'[10]for slip'!$F:$BC,17,0)</f>
        <v>0</v>
      </c>
      <c r="J404" s="2">
        <f>VLOOKUP($C404,'[10]for slip'!$F:$BC,27,0)</f>
        <v>0</v>
      </c>
      <c r="K404" s="2">
        <f>VLOOKUP($C404,'[10]for slip'!$F:$BC,31,0)</f>
        <v>0</v>
      </c>
      <c r="L404" s="2">
        <f>VLOOKUP($C404,'[10]for slip'!$F:$BC,35,0)</f>
        <v>0</v>
      </c>
      <c r="M404" s="2">
        <f>VLOOKUP($C404,'[10]for slip'!$F:$BC,36,0)</f>
        <v>0</v>
      </c>
      <c r="N404" s="2">
        <f>VLOOKUP($C404,'[10]for slip'!$F:$BC,37,0)</f>
        <v>0</v>
      </c>
      <c r="O404" s="2">
        <f>VLOOKUP($C404,'[10]for slip'!$F:$BC,38,0)</f>
        <v>0</v>
      </c>
      <c r="P404" s="2">
        <f>VLOOKUP($C404,'[10]for slip'!$F:$BC,39,0)</f>
        <v>38000</v>
      </c>
      <c r="Q404" s="2">
        <f>VLOOKUP($C404,'[10]for slip'!$F:$BC,40,0)</f>
        <v>31700</v>
      </c>
      <c r="R404" s="2">
        <f>VLOOKUP($C404,'[10]for slip'!$F:$BC,41,0)</f>
        <v>0</v>
      </c>
      <c r="S404" s="2">
        <f>VLOOKUP($C404,'[10]for slip'!$F:$BC,42,0)</f>
        <v>10000</v>
      </c>
      <c r="T404" s="2">
        <f>VLOOKUP($C404,'[10]for slip'!$F:$BC,43,0)</f>
        <v>56430.83</v>
      </c>
      <c r="U404" s="2">
        <f>VLOOKUP($C404,'[10]for slip'!$F:$BC,44,0)</f>
        <v>112861.66</v>
      </c>
      <c r="V404" s="2">
        <f>VLOOKUP($C404,'[10]for slip'!$F:$BC,45,0)</f>
        <v>56430.83</v>
      </c>
      <c r="W404" s="2">
        <f>VLOOKUP($C404,'[10]for slip'!$F:$BC,48,0)</f>
        <v>0</v>
      </c>
    </row>
    <row r="405" spans="1:23" x14ac:dyDescent="0.25">
      <c r="A405" s="1">
        <v>404</v>
      </c>
      <c r="B405" s="2" t="s">
        <v>829</v>
      </c>
      <c r="C405" s="2" t="s">
        <v>830</v>
      </c>
      <c r="D405" s="2" t="str">
        <f>VLOOKUP($C405,'[10]for slip'!$F:$BC,3,0)</f>
        <v>Leader</v>
      </c>
      <c r="E405" s="2" t="str">
        <f>VLOOKUP($C405,'[10]for slip'!$F:$BC,4,0)</f>
        <v>Plant Maintenance</v>
      </c>
      <c r="F405" s="2">
        <f>VLOOKUP($C405,'[10]for slip'!$F:$BC,14,0)</f>
        <v>5343083</v>
      </c>
      <c r="G405" s="2">
        <f>VLOOKUP($C405,'[10]for slip'!$F:$BC,15,0)</f>
        <v>300000</v>
      </c>
      <c r="H405" s="2">
        <f>VLOOKUP($C405,'[10]for slip'!$F:$BC,16,0)</f>
        <v>0</v>
      </c>
      <c r="I405" s="2">
        <f>VLOOKUP($C405,'[10]for slip'!$F:$BC,17,0)</f>
        <v>0</v>
      </c>
      <c r="J405" s="2">
        <f>VLOOKUP($C405,'[10]for slip'!$F:$BC,27,0)</f>
        <v>0</v>
      </c>
      <c r="K405" s="2">
        <f>VLOOKUP($C405,'[10]for slip'!$F:$BC,31,0)</f>
        <v>0</v>
      </c>
      <c r="L405" s="2">
        <f>VLOOKUP($C405,'[10]for slip'!$F:$BC,35,0)</f>
        <v>0</v>
      </c>
      <c r="M405" s="2">
        <f>VLOOKUP($C405,'[10]for slip'!$F:$BC,36,0)</f>
        <v>0</v>
      </c>
      <c r="N405" s="2">
        <f>VLOOKUP($C405,'[10]for slip'!$F:$BC,37,0)</f>
        <v>0</v>
      </c>
      <c r="O405" s="2">
        <f>VLOOKUP($C405,'[10]for slip'!$F:$BC,38,0)</f>
        <v>0</v>
      </c>
      <c r="P405" s="2">
        <f>VLOOKUP($C405,'[10]for slip'!$F:$BC,39,0)</f>
        <v>38000</v>
      </c>
      <c r="Q405" s="2">
        <f>VLOOKUP($C405,'[10]for slip'!$F:$BC,40,0)</f>
        <v>31700</v>
      </c>
      <c r="R405" s="2">
        <f>VLOOKUP($C405,'[10]for slip'!$F:$BC,41,0)</f>
        <v>0</v>
      </c>
      <c r="S405" s="2">
        <f>VLOOKUP($C405,'[10]for slip'!$F:$BC,42,0)</f>
        <v>10000</v>
      </c>
      <c r="T405" s="2">
        <f>VLOOKUP($C405,'[10]for slip'!$F:$BC,43,0)</f>
        <v>56430.83</v>
      </c>
      <c r="U405" s="2">
        <f>VLOOKUP($C405,'[10]for slip'!$F:$BC,44,0)</f>
        <v>112861.66</v>
      </c>
      <c r="V405" s="2">
        <f>VLOOKUP($C405,'[10]for slip'!$F:$BC,45,0)</f>
        <v>56430.83</v>
      </c>
      <c r="W405" s="2">
        <f>VLOOKUP($C405,'[10]for slip'!$F:$BC,48,0)</f>
        <v>0</v>
      </c>
    </row>
    <row r="406" spans="1:23" x14ac:dyDescent="0.25">
      <c r="A406" s="1">
        <v>405</v>
      </c>
      <c r="B406" s="2" t="s">
        <v>831</v>
      </c>
      <c r="C406" s="2" t="s">
        <v>832</v>
      </c>
      <c r="D406" s="2" t="str">
        <f>VLOOKUP($C406,'[10]for slip'!$F:$BC,3,0)</f>
        <v>Leader</v>
      </c>
      <c r="E406" s="2" t="str">
        <f>VLOOKUP($C406,'[10]for slip'!$F:$BC,4,0)</f>
        <v>Plant Maintenance</v>
      </c>
      <c r="F406" s="2">
        <f>VLOOKUP($C406,'[10]for slip'!$F:$BC,14,0)</f>
        <v>5343083</v>
      </c>
      <c r="G406" s="2">
        <f>VLOOKUP($C406,'[10]for slip'!$F:$BC,15,0)</f>
        <v>300000</v>
      </c>
      <c r="H406" s="2">
        <f>VLOOKUP($C406,'[10]for slip'!$F:$BC,16,0)</f>
        <v>0</v>
      </c>
      <c r="I406" s="2">
        <f>VLOOKUP($C406,'[10]for slip'!$F:$BC,17,0)</f>
        <v>196098</v>
      </c>
      <c r="J406" s="2">
        <f>VLOOKUP($C406,'[10]for slip'!$F:$BC,27,0)</f>
        <v>0</v>
      </c>
      <c r="K406" s="2">
        <f>VLOOKUP($C406,'[10]for slip'!$F:$BC,31,0)</f>
        <v>0</v>
      </c>
      <c r="L406" s="2">
        <f>VLOOKUP($C406,'[10]for slip'!$F:$BC,35,0)</f>
        <v>2185.3055352500328</v>
      </c>
      <c r="M406" s="2">
        <f>VLOOKUP($C406,'[10]for slip'!$F:$BC,36,0)</f>
        <v>0</v>
      </c>
      <c r="N406" s="2">
        <f>VLOOKUP($C406,'[10]for slip'!$F:$BC,37,0)</f>
        <v>0</v>
      </c>
      <c r="O406" s="2">
        <f>VLOOKUP($C406,'[10]for slip'!$F:$BC,38,0)</f>
        <v>0</v>
      </c>
      <c r="P406" s="2">
        <f>VLOOKUP($C406,'[10]for slip'!$F:$BC,39,0)</f>
        <v>38000</v>
      </c>
      <c r="Q406" s="2">
        <f>VLOOKUP($C406,'[10]for slip'!$F:$BC,40,0)</f>
        <v>31700</v>
      </c>
      <c r="R406" s="2">
        <f>VLOOKUP($C406,'[10]for slip'!$F:$BC,41,0)</f>
        <v>0</v>
      </c>
      <c r="S406" s="2">
        <f>VLOOKUP($C406,'[10]for slip'!$F:$BC,42,0)</f>
        <v>10000</v>
      </c>
      <c r="T406" s="2">
        <f>VLOOKUP($C406,'[10]for slip'!$F:$BC,43,0)</f>
        <v>58391.81</v>
      </c>
      <c r="U406" s="2">
        <f>VLOOKUP($C406,'[10]for slip'!$F:$BC,44,0)</f>
        <v>116783.62</v>
      </c>
      <c r="V406" s="2">
        <f>VLOOKUP($C406,'[10]for slip'!$F:$BC,45,0)</f>
        <v>58391.81</v>
      </c>
      <c r="W406" s="2">
        <f>VLOOKUP($C406,'[10]for slip'!$F:$BC,48,0)</f>
        <v>2185.3055352500328</v>
      </c>
    </row>
    <row r="407" spans="1:23" x14ac:dyDescent="0.25">
      <c r="A407" s="1">
        <v>406</v>
      </c>
      <c r="B407" s="2" t="s">
        <v>833</v>
      </c>
      <c r="C407" s="2" t="s">
        <v>834</v>
      </c>
      <c r="D407" s="2" t="str">
        <f>VLOOKUP($C407,'[10]for slip'!$F:$BC,3,0)</f>
        <v>Leader</v>
      </c>
      <c r="E407" s="2" t="str">
        <f>VLOOKUP($C407,'[10]for slip'!$F:$BC,4,0)</f>
        <v>Plant Maintenance</v>
      </c>
      <c r="F407" s="2">
        <f>VLOOKUP($C407,'[10]for slip'!$F:$BC,14,0)</f>
        <v>5343083</v>
      </c>
      <c r="G407" s="2">
        <f>VLOOKUP($C407,'[10]for slip'!$F:$BC,15,0)</f>
        <v>0</v>
      </c>
      <c r="H407" s="2">
        <f>VLOOKUP($C407,'[10]for slip'!$F:$BC,16,0)</f>
        <v>0</v>
      </c>
      <c r="I407" s="2">
        <f>VLOOKUP($C407,'[10]for slip'!$F:$BC,17,0)</f>
        <v>0</v>
      </c>
      <c r="J407" s="2">
        <f>VLOOKUP($C407,'[10]for slip'!$F:$BC,27,0)</f>
        <v>0</v>
      </c>
      <c r="K407" s="2">
        <f>VLOOKUP($C407,'[10]for slip'!$F:$BC,31,0)</f>
        <v>0</v>
      </c>
      <c r="L407" s="2">
        <f>VLOOKUP($C407,'[10]for slip'!$F:$BC,35,0)</f>
        <v>0</v>
      </c>
      <c r="M407" s="2">
        <f>VLOOKUP($C407,'[10]for slip'!$F:$BC,36,0)</f>
        <v>0</v>
      </c>
      <c r="N407" s="2">
        <f>VLOOKUP($C407,'[10]for slip'!$F:$BC,37,0)</f>
        <v>0</v>
      </c>
      <c r="O407" s="2">
        <f>VLOOKUP($C407,'[10]for slip'!$F:$BC,38,0)</f>
        <v>0</v>
      </c>
      <c r="P407" s="2">
        <f>VLOOKUP($C407,'[10]for slip'!$F:$BC,39,0)</f>
        <v>38000</v>
      </c>
      <c r="Q407" s="2">
        <f>VLOOKUP($C407,'[10]for slip'!$F:$BC,40,0)</f>
        <v>31700</v>
      </c>
      <c r="R407" s="2">
        <f>VLOOKUP($C407,'[10]for slip'!$F:$BC,41,0)</f>
        <v>0</v>
      </c>
      <c r="S407" s="2">
        <f>VLOOKUP($C407,'[10]for slip'!$F:$BC,42,0)</f>
        <v>10000</v>
      </c>
      <c r="T407" s="2">
        <f>VLOOKUP($C407,'[10]for slip'!$F:$BC,43,0)</f>
        <v>53430.83</v>
      </c>
      <c r="U407" s="2">
        <f>VLOOKUP($C407,'[10]for slip'!$F:$BC,44,0)</f>
        <v>106861.66</v>
      </c>
      <c r="V407" s="2">
        <f>VLOOKUP($C407,'[10]for slip'!$F:$BC,45,0)</f>
        <v>53430.83</v>
      </c>
      <c r="W407" s="2">
        <f>VLOOKUP($C407,'[10]for slip'!$F:$BC,48,0)</f>
        <v>0</v>
      </c>
    </row>
    <row r="408" spans="1:23" x14ac:dyDescent="0.25">
      <c r="A408" s="1">
        <v>407</v>
      </c>
      <c r="B408" s="2" t="s">
        <v>835</v>
      </c>
      <c r="C408" s="2" t="s">
        <v>836</v>
      </c>
      <c r="D408" s="2" t="str">
        <f>VLOOKUP($C408,'[10]for slip'!$F:$BC,3,0)</f>
        <v>Pelaksana</v>
      </c>
      <c r="E408" s="2" t="str">
        <f>VLOOKUP($C408,'[10]for slip'!$F:$BC,4,0)</f>
        <v>Plant Maintenance</v>
      </c>
      <c r="F408" s="2">
        <f>VLOOKUP($C408,'[10]for slip'!$F:$BC,14,0)</f>
        <v>4869604</v>
      </c>
      <c r="G408" s="2">
        <f>VLOOKUP($C408,'[10]for slip'!$F:$BC,15,0)</f>
        <v>0</v>
      </c>
      <c r="H408" s="2">
        <f>VLOOKUP($C408,'[10]for slip'!$F:$BC,16,0)</f>
        <v>785300</v>
      </c>
      <c r="I408" s="2">
        <f>VLOOKUP($C408,'[10]for slip'!$F:$BC,17,0)</f>
        <v>187521</v>
      </c>
      <c r="J408" s="2">
        <f>VLOOKUP($C408,'[10]for slip'!$F:$BC,27,0)</f>
        <v>0</v>
      </c>
      <c r="K408" s="2">
        <f>VLOOKUP($C408,'[10]for slip'!$F:$BC,31,0)</f>
        <v>0</v>
      </c>
      <c r="L408" s="2">
        <f>VLOOKUP($C408,'[10]for slip'!$F:$BC,35,0)</f>
        <v>0</v>
      </c>
      <c r="M408" s="2">
        <f>VLOOKUP($C408,'[10]for slip'!$F:$BC,36,0)</f>
        <v>0</v>
      </c>
      <c r="N408" s="2">
        <f>VLOOKUP($C408,'[10]for slip'!$F:$BC,37,0)</f>
        <v>2</v>
      </c>
      <c r="O408" s="2">
        <f>VLOOKUP($C408,'[10]for slip'!$F:$BC,38,0)</f>
        <v>556421</v>
      </c>
      <c r="P408" s="2">
        <f>VLOOKUP($C408,'[10]for slip'!$F:$BC,39,0)</f>
        <v>38000</v>
      </c>
      <c r="Q408" s="2">
        <f>VLOOKUP($C408,'[10]for slip'!$F:$BC,40,0)</f>
        <v>31700</v>
      </c>
      <c r="R408" s="2">
        <f>VLOOKUP($C408,'[10]for slip'!$F:$BC,41,0)</f>
        <v>0</v>
      </c>
      <c r="S408" s="2">
        <f>VLOOKUP($C408,'[10]for slip'!$F:$BC,42,0)</f>
        <v>0</v>
      </c>
      <c r="T408" s="2">
        <f>VLOOKUP($C408,'[10]for slip'!$F:$BC,43,0)</f>
        <v>58424.25</v>
      </c>
      <c r="U408" s="2">
        <f>VLOOKUP($C408,'[10]for slip'!$F:$BC,44,0)</f>
        <v>116848.5</v>
      </c>
      <c r="V408" s="2">
        <f>VLOOKUP($C408,'[10]for slip'!$F:$BC,45,0)</f>
        <v>58424.25</v>
      </c>
      <c r="W408" s="2">
        <f>VLOOKUP($C408,'[10]for slip'!$F:$BC,48,0)</f>
        <v>0</v>
      </c>
    </row>
    <row r="409" spans="1:23" x14ac:dyDescent="0.25">
      <c r="A409" s="1">
        <v>408</v>
      </c>
      <c r="B409" s="2" t="s">
        <v>837</v>
      </c>
      <c r="C409" s="2" t="s">
        <v>838</v>
      </c>
      <c r="D409" s="2" t="str">
        <f>VLOOKUP($C409,'[10]for slip'!$F:$BC,3,0)</f>
        <v>Pelaksana</v>
      </c>
      <c r="E409" s="2" t="str">
        <f>VLOOKUP($C409,'[10]for slip'!$F:$BC,4,0)</f>
        <v>Plant Maintenance</v>
      </c>
      <c r="F409" s="2">
        <f>VLOOKUP($C409,'[10]for slip'!$F:$BC,14,0)</f>
        <v>5343083</v>
      </c>
      <c r="G409" s="2">
        <f>VLOOKUP($C409,'[10]for slip'!$F:$BC,15,0)</f>
        <v>0</v>
      </c>
      <c r="H409" s="2">
        <f>VLOOKUP($C409,'[10]for slip'!$F:$BC,16,0)</f>
        <v>0</v>
      </c>
      <c r="I409" s="2">
        <f>VLOOKUP($C409,'[10]for slip'!$F:$BC,17,0)</f>
        <v>0</v>
      </c>
      <c r="J409" s="2">
        <f>VLOOKUP($C409,'[10]for slip'!$F:$BC,27,0)</f>
        <v>0</v>
      </c>
      <c r="K409" s="2">
        <f>VLOOKUP($C409,'[10]for slip'!$F:$BC,31,0)</f>
        <v>0</v>
      </c>
      <c r="L409" s="2">
        <f>VLOOKUP($C409,'[10]for slip'!$F:$BC,35,0)</f>
        <v>0</v>
      </c>
      <c r="M409" s="2">
        <f>VLOOKUP($C409,'[10]for slip'!$F:$BC,36,0)</f>
        <v>0</v>
      </c>
      <c r="N409" s="2">
        <f>VLOOKUP($C409,'[10]for slip'!$F:$BC,37,0)</f>
        <v>0</v>
      </c>
      <c r="O409" s="2">
        <f>VLOOKUP($C409,'[10]for slip'!$F:$BC,38,0)</f>
        <v>0</v>
      </c>
      <c r="P409" s="2">
        <f>VLOOKUP($C409,'[10]for slip'!$F:$BC,39,0)</f>
        <v>38000</v>
      </c>
      <c r="Q409" s="2">
        <f>VLOOKUP($C409,'[10]for slip'!$F:$BC,40,0)</f>
        <v>31700</v>
      </c>
      <c r="R409" s="2">
        <f>VLOOKUP($C409,'[10]for slip'!$F:$BC,41,0)</f>
        <v>0</v>
      </c>
      <c r="S409" s="2">
        <f>VLOOKUP($C409,'[10]for slip'!$F:$BC,42,0)</f>
        <v>0</v>
      </c>
      <c r="T409" s="2">
        <f>VLOOKUP($C409,'[10]for slip'!$F:$BC,43,0)</f>
        <v>53430.83</v>
      </c>
      <c r="U409" s="2">
        <f>VLOOKUP($C409,'[10]for slip'!$F:$BC,44,0)</f>
        <v>106861.66</v>
      </c>
      <c r="V409" s="2">
        <f>VLOOKUP($C409,'[10]for slip'!$F:$BC,45,0)</f>
        <v>53430.83</v>
      </c>
      <c r="W409" s="2">
        <f>VLOOKUP($C409,'[10]for slip'!$F:$BC,48,0)</f>
        <v>0</v>
      </c>
    </row>
    <row r="410" spans="1:23" x14ac:dyDescent="0.25">
      <c r="A410" s="1">
        <v>409</v>
      </c>
      <c r="B410" s="2" t="s">
        <v>839</v>
      </c>
      <c r="C410" s="2" t="s">
        <v>840</v>
      </c>
      <c r="D410" s="2" t="str">
        <f>VLOOKUP($C410,'[10]for slip'!$F:$BC,3,0)</f>
        <v>Pelaksana</v>
      </c>
      <c r="E410" s="2" t="str">
        <f>VLOOKUP($C410,'[10]for slip'!$F:$BC,4,0)</f>
        <v>Plant Maintenance</v>
      </c>
      <c r="F410" s="2">
        <f>VLOOKUP($C410,'[10]for slip'!$F:$BC,14,0)</f>
        <v>5343083</v>
      </c>
      <c r="G410" s="2">
        <f>VLOOKUP($C410,'[10]for slip'!$F:$BC,15,0)</f>
        <v>0</v>
      </c>
      <c r="H410" s="2">
        <f>VLOOKUP($C410,'[10]for slip'!$F:$BC,16,0)</f>
        <v>0</v>
      </c>
      <c r="I410" s="2">
        <f>VLOOKUP($C410,'[10]for slip'!$F:$BC,17,0)</f>
        <v>0</v>
      </c>
      <c r="J410" s="2">
        <f>VLOOKUP($C410,'[10]for slip'!$F:$BC,27,0)</f>
        <v>0</v>
      </c>
      <c r="K410" s="2">
        <f>VLOOKUP($C410,'[10]for slip'!$F:$BC,31,0)</f>
        <v>0</v>
      </c>
      <c r="L410" s="2">
        <f>VLOOKUP($C410,'[10]for slip'!$F:$BC,35,0)</f>
        <v>15604.584590750002</v>
      </c>
      <c r="M410" s="2">
        <f>VLOOKUP($C410,'[10]for slip'!$F:$BC,36,0)</f>
        <v>0</v>
      </c>
      <c r="N410" s="2">
        <f>VLOOKUP($C410,'[10]for slip'!$F:$BC,37,0)</f>
        <v>0</v>
      </c>
      <c r="O410" s="2">
        <f>VLOOKUP($C410,'[10]for slip'!$F:$BC,38,0)</f>
        <v>0</v>
      </c>
      <c r="P410" s="2">
        <f>VLOOKUP($C410,'[10]for slip'!$F:$BC,39,0)</f>
        <v>38000</v>
      </c>
      <c r="Q410" s="2">
        <f>VLOOKUP($C410,'[10]for slip'!$F:$BC,40,0)</f>
        <v>31700</v>
      </c>
      <c r="R410" s="2">
        <f>VLOOKUP($C410,'[10]for slip'!$F:$BC,41,0)</f>
        <v>0</v>
      </c>
      <c r="S410" s="2">
        <f>VLOOKUP($C410,'[10]for slip'!$F:$BC,42,0)</f>
        <v>0</v>
      </c>
      <c r="T410" s="2">
        <f>VLOOKUP($C410,'[10]for slip'!$F:$BC,43,0)</f>
        <v>53430.83</v>
      </c>
      <c r="U410" s="2">
        <f>VLOOKUP($C410,'[10]for slip'!$F:$BC,44,0)</f>
        <v>106861.66</v>
      </c>
      <c r="V410" s="2">
        <f>VLOOKUP($C410,'[10]for slip'!$F:$BC,45,0)</f>
        <v>53430.83</v>
      </c>
      <c r="W410" s="2">
        <f>VLOOKUP($C410,'[10]for slip'!$F:$BC,48,0)</f>
        <v>15604.584590750002</v>
      </c>
    </row>
    <row r="411" spans="1:23" x14ac:dyDescent="0.25">
      <c r="A411" s="1">
        <v>410</v>
      </c>
      <c r="B411" s="2" t="s">
        <v>841</v>
      </c>
      <c r="C411" s="2" t="s">
        <v>842</v>
      </c>
      <c r="D411" s="2" t="str">
        <f>VLOOKUP($C411,'[10]for slip'!$F:$BC,3,0)</f>
        <v>Specialist</v>
      </c>
      <c r="E411" s="2" t="str">
        <f>VLOOKUP($C411,'[10]for slip'!$F:$BC,4,0)</f>
        <v>Plant Maintenance</v>
      </c>
      <c r="F411" s="2">
        <f>VLOOKUP($C411,'[10]for slip'!$F:$BC,14,0)</f>
        <v>5343083</v>
      </c>
      <c r="G411" s="2">
        <f>VLOOKUP($C411,'[10]for slip'!$F:$BC,15,0)</f>
        <v>1200000</v>
      </c>
      <c r="H411" s="2">
        <f>VLOOKUP($C411,'[10]for slip'!$F:$BC,16,0)</f>
        <v>0</v>
      </c>
      <c r="I411" s="2">
        <f>VLOOKUP($C411,'[10]for slip'!$F:$BC,17,0)</f>
        <v>0</v>
      </c>
      <c r="J411" s="2">
        <f>VLOOKUP($C411,'[10]for slip'!$F:$BC,27,0)</f>
        <v>0</v>
      </c>
      <c r="K411" s="2">
        <f>VLOOKUP($C411,'[10]for slip'!$F:$BC,31,0)</f>
        <v>0</v>
      </c>
      <c r="L411" s="2">
        <f>VLOOKUP($C411,'[10]for slip'!$F:$BC,35,0)</f>
        <v>90322.884590749934</v>
      </c>
      <c r="M411" s="2">
        <f>VLOOKUP($C411,'[10]for slip'!$F:$BC,36,0)</f>
        <v>0</v>
      </c>
      <c r="N411" s="2">
        <f>VLOOKUP($C411,'[10]for slip'!$F:$BC,37,0)</f>
        <v>0</v>
      </c>
      <c r="O411" s="2">
        <f>VLOOKUP($C411,'[10]for slip'!$F:$BC,38,0)</f>
        <v>0</v>
      </c>
      <c r="P411" s="2">
        <f>VLOOKUP($C411,'[10]for slip'!$F:$BC,39,0)</f>
        <v>38000</v>
      </c>
      <c r="Q411" s="2">
        <f>VLOOKUP($C411,'[10]for slip'!$F:$BC,40,0)</f>
        <v>31700</v>
      </c>
      <c r="R411" s="2">
        <f>VLOOKUP($C411,'[10]for slip'!$F:$BC,41,0)</f>
        <v>0</v>
      </c>
      <c r="S411" s="2">
        <f>VLOOKUP($C411,'[10]for slip'!$F:$BC,42,0)</f>
        <v>0</v>
      </c>
      <c r="T411" s="2">
        <f>VLOOKUP($C411,'[10]for slip'!$F:$BC,43,0)</f>
        <v>53430.83</v>
      </c>
      <c r="U411" s="2">
        <f>VLOOKUP($C411,'[10]for slip'!$F:$BC,44,0)</f>
        <v>130861.66</v>
      </c>
      <c r="V411" s="2">
        <f>VLOOKUP($C411,'[10]for slip'!$F:$BC,45,0)</f>
        <v>65430.83</v>
      </c>
      <c r="W411" s="2">
        <f>VLOOKUP($C411,'[10]for slip'!$F:$BC,48,0)</f>
        <v>90322.884590749934</v>
      </c>
    </row>
    <row r="412" spans="1:23" x14ac:dyDescent="0.25">
      <c r="A412" s="1">
        <v>411</v>
      </c>
      <c r="B412" s="2" t="s">
        <v>843</v>
      </c>
      <c r="C412" s="2" t="s">
        <v>844</v>
      </c>
      <c r="D412" s="2" t="str">
        <f>VLOOKUP($C412,'[10]for slip'!$F:$BC,3,0)</f>
        <v>Pelaksana</v>
      </c>
      <c r="E412" s="2" t="str">
        <f>VLOOKUP($C412,'[10]for slip'!$F:$BC,4,0)</f>
        <v>Plant Maintenance</v>
      </c>
      <c r="F412" s="2">
        <f>VLOOKUP($C412,'[10]for slip'!$F:$BC,14,0)</f>
        <v>5343083</v>
      </c>
      <c r="G412" s="2">
        <f>VLOOKUP($C412,'[10]for slip'!$F:$BC,15,0)</f>
        <v>0</v>
      </c>
      <c r="H412" s="2">
        <f>VLOOKUP($C412,'[10]for slip'!$F:$BC,16,0)</f>
        <v>0</v>
      </c>
      <c r="I412" s="2">
        <f>VLOOKUP($C412,'[10]for slip'!$F:$BC,17,0)</f>
        <v>0</v>
      </c>
      <c r="J412" s="2">
        <f>VLOOKUP($C412,'[10]for slip'!$F:$BC,27,0)</f>
        <v>0</v>
      </c>
      <c r="K412" s="2">
        <f>VLOOKUP($C412,'[10]for slip'!$F:$BC,31,0)</f>
        <v>0</v>
      </c>
      <c r="L412" s="2">
        <f>VLOOKUP($C412,'[10]for slip'!$F:$BC,35,0)</f>
        <v>0</v>
      </c>
      <c r="M412" s="2">
        <f>VLOOKUP($C412,'[10]for slip'!$F:$BC,36,0)</f>
        <v>0</v>
      </c>
      <c r="N412" s="2">
        <f>VLOOKUP($C412,'[10]for slip'!$F:$BC,37,0)</f>
        <v>0</v>
      </c>
      <c r="O412" s="2">
        <f>VLOOKUP($C412,'[10]for slip'!$F:$BC,38,0)</f>
        <v>0</v>
      </c>
      <c r="P412" s="2">
        <f>VLOOKUP($C412,'[10]for slip'!$F:$BC,39,0)</f>
        <v>38000</v>
      </c>
      <c r="Q412" s="2">
        <f>VLOOKUP($C412,'[10]for slip'!$F:$BC,40,0)</f>
        <v>31700</v>
      </c>
      <c r="R412" s="2">
        <f>VLOOKUP($C412,'[10]for slip'!$F:$BC,41,0)</f>
        <v>0</v>
      </c>
      <c r="S412" s="2">
        <f>VLOOKUP($C412,'[10]for slip'!$F:$BC,42,0)</f>
        <v>10000</v>
      </c>
      <c r="T412" s="2">
        <f>VLOOKUP($C412,'[10]for slip'!$F:$BC,43,0)</f>
        <v>53430.83</v>
      </c>
      <c r="U412" s="2">
        <f>VLOOKUP($C412,'[10]for slip'!$F:$BC,44,0)</f>
        <v>106861.66</v>
      </c>
      <c r="V412" s="2">
        <f>VLOOKUP($C412,'[10]for slip'!$F:$BC,45,0)</f>
        <v>53430.83</v>
      </c>
      <c r="W412" s="2">
        <f>VLOOKUP($C412,'[10]for slip'!$F:$BC,48,0)</f>
        <v>0</v>
      </c>
    </row>
    <row r="413" spans="1:23" x14ac:dyDescent="0.25">
      <c r="A413" s="1">
        <v>412</v>
      </c>
      <c r="B413" s="2" t="s">
        <v>845</v>
      </c>
      <c r="C413" s="2" t="s">
        <v>846</v>
      </c>
      <c r="D413" s="2" t="str">
        <f>VLOOKUP($C413,'[10]for slip'!$F:$BC,3,0)</f>
        <v>Pelaksana</v>
      </c>
      <c r="E413" s="2" t="str">
        <f>VLOOKUP($C413,'[10]for slip'!$F:$BC,4,0)</f>
        <v>Plant Maintenance</v>
      </c>
      <c r="F413" s="2">
        <f>VLOOKUP($C413,'[10]for slip'!$F:$BC,14,0)</f>
        <v>5343083</v>
      </c>
      <c r="G413" s="2">
        <f>VLOOKUP($C413,'[10]for slip'!$F:$BC,15,0)</f>
        <v>0</v>
      </c>
      <c r="H413" s="2">
        <f>VLOOKUP($C413,'[10]for slip'!$F:$BC,16,0)</f>
        <v>0</v>
      </c>
      <c r="I413" s="2">
        <f>VLOOKUP($C413,'[10]for slip'!$F:$BC,17,0)</f>
        <v>0</v>
      </c>
      <c r="J413" s="2">
        <f>VLOOKUP($C413,'[10]for slip'!$F:$BC,27,0)</f>
        <v>0</v>
      </c>
      <c r="K413" s="2">
        <f>VLOOKUP($C413,'[10]for slip'!$F:$BC,31,0)</f>
        <v>0</v>
      </c>
      <c r="L413" s="2">
        <f>VLOOKUP($C413,'[10]for slip'!$F:$BC,35,0)</f>
        <v>0</v>
      </c>
      <c r="M413" s="2">
        <f>VLOOKUP($C413,'[10]for slip'!$F:$BC,36,0)</f>
        <v>0</v>
      </c>
      <c r="N413" s="2">
        <f>VLOOKUP($C413,'[10]for slip'!$F:$BC,37,0)</f>
        <v>0</v>
      </c>
      <c r="O413" s="2">
        <f>VLOOKUP($C413,'[10]for slip'!$F:$BC,38,0)</f>
        <v>0</v>
      </c>
      <c r="P413" s="2">
        <f>VLOOKUP($C413,'[10]for slip'!$F:$BC,39,0)</f>
        <v>0</v>
      </c>
      <c r="Q413" s="2">
        <f>VLOOKUP($C413,'[10]for slip'!$F:$BC,40,0)</f>
        <v>31700</v>
      </c>
      <c r="R413" s="2">
        <f>VLOOKUP($C413,'[10]for slip'!$F:$BC,41,0)</f>
        <v>0</v>
      </c>
      <c r="S413" s="2">
        <f>VLOOKUP($C413,'[10]for slip'!$F:$BC,42,0)</f>
        <v>10000</v>
      </c>
      <c r="T413" s="2">
        <f>VLOOKUP($C413,'[10]for slip'!$F:$BC,43,0)</f>
        <v>53430.83</v>
      </c>
      <c r="U413" s="2">
        <f>VLOOKUP($C413,'[10]for slip'!$F:$BC,44,0)</f>
        <v>106861.66</v>
      </c>
      <c r="V413" s="2">
        <f>VLOOKUP($C413,'[10]for slip'!$F:$BC,45,0)</f>
        <v>53430.83</v>
      </c>
      <c r="W413" s="2">
        <f>VLOOKUP($C413,'[10]for slip'!$F:$BC,48,0)</f>
        <v>0</v>
      </c>
    </row>
    <row r="414" spans="1:23" x14ac:dyDescent="0.25">
      <c r="A414" s="1">
        <v>413</v>
      </c>
      <c r="B414" s="2" t="s">
        <v>847</v>
      </c>
      <c r="C414" s="2" t="s">
        <v>848</v>
      </c>
      <c r="D414" s="2" t="str">
        <f>VLOOKUP($C414,'[10]for slip'!$F:$BC,3,0)</f>
        <v>Pelaksana</v>
      </c>
      <c r="E414" s="2" t="str">
        <f>VLOOKUP($C414,'[10]for slip'!$F:$BC,4,0)</f>
        <v>Plant Maintenance</v>
      </c>
      <c r="F414" s="2">
        <f>VLOOKUP($C414,'[10]for slip'!$F:$BC,14,0)</f>
        <v>5343083</v>
      </c>
      <c r="G414" s="2">
        <f>VLOOKUP($C414,'[10]for slip'!$F:$BC,15,0)</f>
        <v>0</v>
      </c>
      <c r="H414" s="2">
        <f>VLOOKUP($C414,'[10]for slip'!$F:$BC,16,0)</f>
        <v>0</v>
      </c>
      <c r="I414" s="2">
        <f>VLOOKUP($C414,'[10]for slip'!$F:$BC,17,0)</f>
        <v>0</v>
      </c>
      <c r="J414" s="2">
        <f>VLOOKUP($C414,'[10]for slip'!$F:$BC,27,0)</f>
        <v>0</v>
      </c>
      <c r="K414" s="2">
        <f>VLOOKUP($C414,'[10]for slip'!$F:$BC,31,0)</f>
        <v>0</v>
      </c>
      <c r="L414" s="2">
        <f>VLOOKUP($C414,'[10]for slip'!$F:$BC,35,0)</f>
        <v>0</v>
      </c>
      <c r="M414" s="2">
        <f>VLOOKUP($C414,'[10]for slip'!$F:$BC,36,0)</f>
        <v>0</v>
      </c>
      <c r="N414" s="2">
        <f>VLOOKUP($C414,'[10]for slip'!$F:$BC,37,0)</f>
        <v>0</v>
      </c>
      <c r="O414" s="2">
        <f>VLOOKUP($C414,'[10]for slip'!$F:$BC,38,0)</f>
        <v>0</v>
      </c>
      <c r="P414" s="2">
        <f>VLOOKUP($C414,'[10]for slip'!$F:$BC,39,0)</f>
        <v>38000</v>
      </c>
      <c r="Q414" s="2">
        <f>VLOOKUP($C414,'[10]for slip'!$F:$BC,40,0)</f>
        <v>31700</v>
      </c>
      <c r="R414" s="2">
        <f>VLOOKUP($C414,'[10]for slip'!$F:$BC,41,0)</f>
        <v>0</v>
      </c>
      <c r="S414" s="2">
        <f>VLOOKUP($C414,'[10]for slip'!$F:$BC,42,0)</f>
        <v>10000</v>
      </c>
      <c r="T414" s="2">
        <f>VLOOKUP($C414,'[10]for slip'!$F:$BC,43,0)</f>
        <v>53430.83</v>
      </c>
      <c r="U414" s="2">
        <f>VLOOKUP($C414,'[10]for slip'!$F:$BC,44,0)</f>
        <v>106861.66</v>
      </c>
      <c r="V414" s="2">
        <f>VLOOKUP($C414,'[10]for slip'!$F:$BC,45,0)</f>
        <v>53430.83</v>
      </c>
      <c r="W414" s="2">
        <f>VLOOKUP($C414,'[10]for slip'!$F:$BC,48,0)</f>
        <v>0</v>
      </c>
    </row>
    <row r="415" spans="1:23" x14ac:dyDescent="0.25">
      <c r="A415" s="1">
        <v>414</v>
      </c>
      <c r="B415" s="2" t="s">
        <v>849</v>
      </c>
      <c r="C415" s="2" t="s">
        <v>850</v>
      </c>
      <c r="D415" s="2" t="str">
        <f>VLOOKUP($C415,'[10]for slip'!$F:$BC,3,0)</f>
        <v>Pelaksana</v>
      </c>
      <c r="E415" s="2" t="str">
        <f>VLOOKUP($C415,'[10]for slip'!$F:$BC,4,0)</f>
        <v>Plant Maintenance</v>
      </c>
      <c r="F415" s="2">
        <f>VLOOKUP($C415,'[10]for slip'!$F:$BC,14,0)</f>
        <v>5343083</v>
      </c>
      <c r="G415" s="2">
        <f>VLOOKUP($C415,'[10]for slip'!$F:$BC,15,0)</f>
        <v>0</v>
      </c>
      <c r="H415" s="2">
        <f>VLOOKUP($C415,'[10]for slip'!$F:$BC,16,0)</f>
        <v>0</v>
      </c>
      <c r="I415" s="2">
        <f>VLOOKUP($C415,'[10]for slip'!$F:$BC,17,0)</f>
        <v>0</v>
      </c>
      <c r="J415" s="2">
        <f>VLOOKUP($C415,'[10]for slip'!$F:$BC,27,0)</f>
        <v>0</v>
      </c>
      <c r="K415" s="2">
        <f>VLOOKUP($C415,'[10]for slip'!$F:$BC,31,0)</f>
        <v>0</v>
      </c>
      <c r="L415" s="2">
        <f>VLOOKUP($C415,'[10]for slip'!$F:$BC,35,0)</f>
        <v>0</v>
      </c>
      <c r="M415" s="2">
        <f>VLOOKUP($C415,'[10]for slip'!$F:$BC,36,0)</f>
        <v>0</v>
      </c>
      <c r="N415" s="2">
        <f>VLOOKUP($C415,'[10]for slip'!$F:$BC,37,0)</f>
        <v>0</v>
      </c>
      <c r="O415" s="2">
        <f>VLOOKUP($C415,'[10]for slip'!$F:$BC,38,0)</f>
        <v>0</v>
      </c>
      <c r="P415" s="2">
        <f>VLOOKUP($C415,'[10]for slip'!$F:$BC,39,0)</f>
        <v>38000</v>
      </c>
      <c r="Q415" s="2">
        <f>VLOOKUP($C415,'[10]for slip'!$F:$BC,40,0)</f>
        <v>31700</v>
      </c>
      <c r="R415" s="2">
        <f>VLOOKUP($C415,'[10]for slip'!$F:$BC,41,0)</f>
        <v>0</v>
      </c>
      <c r="S415" s="2">
        <f>VLOOKUP($C415,'[10]for slip'!$F:$BC,42,0)</f>
        <v>10000</v>
      </c>
      <c r="T415" s="2">
        <f>VLOOKUP($C415,'[10]for slip'!$F:$BC,43,0)</f>
        <v>53430.83</v>
      </c>
      <c r="U415" s="2">
        <f>VLOOKUP($C415,'[10]for slip'!$F:$BC,44,0)</f>
        <v>106861.66</v>
      </c>
      <c r="V415" s="2">
        <f>VLOOKUP($C415,'[10]for slip'!$F:$BC,45,0)</f>
        <v>53430.83</v>
      </c>
      <c r="W415" s="2">
        <f>VLOOKUP($C415,'[10]for slip'!$F:$BC,48,0)</f>
        <v>0</v>
      </c>
    </row>
    <row r="416" spans="1:23" x14ac:dyDescent="0.25">
      <c r="A416" s="1">
        <v>415</v>
      </c>
      <c r="B416" s="2" t="s">
        <v>851</v>
      </c>
      <c r="C416" s="2" t="s">
        <v>852</v>
      </c>
      <c r="D416" s="2" t="str">
        <f>VLOOKUP($C416,'[10]for slip'!$F:$BC,3,0)</f>
        <v>Pelaksana</v>
      </c>
      <c r="E416" s="2" t="str">
        <f>VLOOKUP($C416,'[10]for slip'!$F:$BC,4,0)</f>
        <v>Plant Maintenance</v>
      </c>
      <c r="F416" s="2">
        <f>VLOOKUP($C416,'[10]for slip'!$F:$BC,14,0)</f>
        <v>5343083</v>
      </c>
      <c r="G416" s="2">
        <f>VLOOKUP($C416,'[10]for slip'!$F:$BC,15,0)</f>
        <v>0</v>
      </c>
      <c r="H416" s="2">
        <f>VLOOKUP($C416,'[10]for slip'!$F:$BC,16,0)</f>
        <v>0</v>
      </c>
      <c r="I416" s="2">
        <f>VLOOKUP($C416,'[10]for slip'!$F:$BC,17,0)</f>
        <v>0</v>
      </c>
      <c r="J416" s="2">
        <f>VLOOKUP($C416,'[10]for slip'!$F:$BC,27,0)</f>
        <v>0</v>
      </c>
      <c r="K416" s="2">
        <f>VLOOKUP($C416,'[10]for slip'!$F:$BC,31,0)</f>
        <v>0</v>
      </c>
      <c r="L416" s="2">
        <f>VLOOKUP($C416,'[10]for slip'!$F:$BC,35,0)</f>
        <v>0</v>
      </c>
      <c r="M416" s="2">
        <f>VLOOKUP($C416,'[10]for slip'!$F:$BC,36,0)</f>
        <v>0</v>
      </c>
      <c r="N416" s="2">
        <f>VLOOKUP($C416,'[10]for slip'!$F:$BC,37,0)</f>
        <v>0</v>
      </c>
      <c r="O416" s="2">
        <f>VLOOKUP($C416,'[10]for slip'!$F:$BC,38,0)</f>
        <v>0</v>
      </c>
      <c r="P416" s="2">
        <f>VLOOKUP($C416,'[10]for slip'!$F:$BC,39,0)</f>
        <v>38000</v>
      </c>
      <c r="Q416" s="2">
        <f>VLOOKUP($C416,'[10]for slip'!$F:$BC,40,0)</f>
        <v>31700</v>
      </c>
      <c r="R416" s="2">
        <f>VLOOKUP($C416,'[10]for slip'!$F:$BC,41,0)</f>
        <v>0</v>
      </c>
      <c r="S416" s="2">
        <f>VLOOKUP($C416,'[10]for slip'!$F:$BC,42,0)</f>
        <v>0</v>
      </c>
      <c r="T416" s="2">
        <f>VLOOKUP($C416,'[10]for slip'!$F:$BC,43,0)</f>
        <v>53430.83</v>
      </c>
      <c r="U416" s="2">
        <f>VLOOKUP($C416,'[10]for slip'!$F:$BC,44,0)</f>
        <v>106861.66</v>
      </c>
      <c r="V416" s="2">
        <f>VLOOKUP($C416,'[10]for slip'!$F:$BC,45,0)</f>
        <v>53430.83</v>
      </c>
      <c r="W416" s="2">
        <f>VLOOKUP($C416,'[10]for slip'!$F:$BC,48,0)</f>
        <v>0</v>
      </c>
    </row>
    <row r="417" spans="1:23" x14ac:dyDescent="0.25">
      <c r="A417" s="1">
        <v>416</v>
      </c>
      <c r="B417" s="2" t="s">
        <v>853</v>
      </c>
      <c r="C417" s="2" t="s">
        <v>854</v>
      </c>
      <c r="D417" s="2" t="str">
        <f>VLOOKUP($C417,'[10]for slip'!$F:$BC,3,0)</f>
        <v>Pelaksana</v>
      </c>
      <c r="E417" s="2" t="str">
        <f>VLOOKUP($C417,'[10]for slip'!$F:$BC,4,0)</f>
        <v>Plant Maintenance</v>
      </c>
      <c r="F417" s="2">
        <f>VLOOKUP($C417,'[10]for slip'!$F:$BC,14,0)</f>
        <v>5343083</v>
      </c>
      <c r="G417" s="2">
        <f>VLOOKUP($C417,'[10]for slip'!$F:$BC,15,0)</f>
        <v>0</v>
      </c>
      <c r="H417" s="2">
        <f>VLOOKUP($C417,'[10]for slip'!$F:$BC,16,0)</f>
        <v>0</v>
      </c>
      <c r="I417" s="2">
        <f>VLOOKUP($C417,'[10]for slip'!$F:$BC,17,0)</f>
        <v>0</v>
      </c>
      <c r="J417" s="2">
        <f>VLOOKUP($C417,'[10]for slip'!$F:$BC,27,0)</f>
        <v>0</v>
      </c>
      <c r="K417" s="2">
        <f>VLOOKUP($C417,'[10]for slip'!$F:$BC,31,0)</f>
        <v>0</v>
      </c>
      <c r="L417" s="2">
        <f>VLOOKUP($C417,'[10]for slip'!$F:$BC,35,0)</f>
        <v>15604.584590750002</v>
      </c>
      <c r="M417" s="2">
        <f>VLOOKUP($C417,'[10]for slip'!$F:$BC,36,0)</f>
        <v>0</v>
      </c>
      <c r="N417" s="2">
        <f>VLOOKUP($C417,'[10]for slip'!$F:$BC,37,0)</f>
        <v>0</v>
      </c>
      <c r="O417" s="2">
        <f>VLOOKUP($C417,'[10]for slip'!$F:$BC,38,0)</f>
        <v>0</v>
      </c>
      <c r="P417" s="2">
        <f>VLOOKUP($C417,'[10]for slip'!$F:$BC,39,0)</f>
        <v>38000</v>
      </c>
      <c r="Q417" s="2">
        <f>VLOOKUP($C417,'[10]for slip'!$F:$BC,40,0)</f>
        <v>31700</v>
      </c>
      <c r="R417" s="2">
        <f>VLOOKUP($C417,'[10]for slip'!$F:$BC,41,0)</f>
        <v>0</v>
      </c>
      <c r="S417" s="2">
        <f>VLOOKUP($C417,'[10]for slip'!$F:$BC,42,0)</f>
        <v>10000</v>
      </c>
      <c r="T417" s="2">
        <f>VLOOKUP($C417,'[10]for slip'!$F:$BC,43,0)</f>
        <v>53430.83</v>
      </c>
      <c r="U417" s="2">
        <f>VLOOKUP($C417,'[10]for slip'!$F:$BC,44,0)</f>
        <v>106861.66</v>
      </c>
      <c r="V417" s="2">
        <f>VLOOKUP($C417,'[10]for slip'!$F:$BC,45,0)</f>
        <v>53430.83</v>
      </c>
      <c r="W417" s="2">
        <f>VLOOKUP($C417,'[10]for slip'!$F:$BC,48,0)</f>
        <v>15604.584590750002</v>
      </c>
    </row>
    <row r="418" spans="1:23" x14ac:dyDescent="0.25">
      <c r="A418" s="1">
        <v>417</v>
      </c>
      <c r="B418" s="2" t="s">
        <v>855</v>
      </c>
      <c r="C418" s="2" t="s">
        <v>856</v>
      </c>
      <c r="D418" s="2" t="str">
        <f>VLOOKUP($C418,'[10]for slip'!$F:$BC,3,0)</f>
        <v>Pelaksana</v>
      </c>
      <c r="E418" s="2" t="str">
        <f>VLOOKUP($C418,'[10]for slip'!$F:$BC,4,0)</f>
        <v>Plant Maintenance</v>
      </c>
      <c r="F418" s="2">
        <f>VLOOKUP($C418,'[10]for slip'!$F:$BC,14,0)</f>
        <v>5343083</v>
      </c>
      <c r="G418" s="2">
        <f>VLOOKUP($C418,'[10]for slip'!$F:$BC,15,0)</f>
        <v>0</v>
      </c>
      <c r="H418" s="2">
        <f>VLOOKUP($C418,'[10]for slip'!$F:$BC,16,0)</f>
        <v>0</v>
      </c>
      <c r="I418" s="2">
        <f>VLOOKUP($C418,'[10]for slip'!$F:$BC,17,0)</f>
        <v>0</v>
      </c>
      <c r="J418" s="2">
        <f>VLOOKUP($C418,'[10]for slip'!$F:$BC,27,0)</f>
        <v>0</v>
      </c>
      <c r="K418" s="2">
        <f>VLOOKUP($C418,'[10]for slip'!$F:$BC,31,0)</f>
        <v>0</v>
      </c>
      <c r="L418" s="2">
        <f>VLOOKUP($C418,'[10]for slip'!$F:$BC,35,0)</f>
        <v>0</v>
      </c>
      <c r="M418" s="2">
        <f>VLOOKUP($C418,'[10]for slip'!$F:$BC,36,0)</f>
        <v>0</v>
      </c>
      <c r="N418" s="2">
        <f>VLOOKUP($C418,'[10]for slip'!$F:$BC,37,0)</f>
        <v>0</v>
      </c>
      <c r="O418" s="2">
        <f>VLOOKUP($C418,'[10]for slip'!$F:$BC,38,0)</f>
        <v>0</v>
      </c>
      <c r="P418" s="2">
        <f>VLOOKUP($C418,'[10]for slip'!$F:$BC,39,0)</f>
        <v>0</v>
      </c>
      <c r="Q418" s="2">
        <f>VLOOKUP($C418,'[10]for slip'!$F:$BC,40,0)</f>
        <v>31700</v>
      </c>
      <c r="R418" s="2">
        <f>VLOOKUP($C418,'[10]for slip'!$F:$BC,41,0)</f>
        <v>0</v>
      </c>
      <c r="S418" s="2">
        <f>VLOOKUP($C418,'[10]for slip'!$F:$BC,42,0)</f>
        <v>10000</v>
      </c>
      <c r="T418" s="2">
        <f>VLOOKUP($C418,'[10]for slip'!$F:$BC,43,0)</f>
        <v>53430.83</v>
      </c>
      <c r="U418" s="2">
        <f>VLOOKUP($C418,'[10]for slip'!$F:$BC,44,0)</f>
        <v>106861.66</v>
      </c>
      <c r="V418" s="2">
        <f>VLOOKUP($C418,'[10]for slip'!$F:$BC,45,0)</f>
        <v>53430.83</v>
      </c>
      <c r="W418" s="2">
        <f>VLOOKUP($C418,'[10]for slip'!$F:$BC,48,0)</f>
        <v>0</v>
      </c>
    </row>
    <row r="419" spans="1:23" x14ac:dyDescent="0.25">
      <c r="A419" s="1">
        <v>418</v>
      </c>
      <c r="B419" s="2" t="s">
        <v>857</v>
      </c>
      <c r="C419" s="2" t="s">
        <v>858</v>
      </c>
      <c r="D419" s="2" t="str">
        <f>VLOOKUP($C419,'[10]for slip'!$F:$BC,3,0)</f>
        <v>Specialist</v>
      </c>
      <c r="E419" s="2" t="str">
        <f>VLOOKUP($C419,'[10]for slip'!$F:$BC,4,0)</f>
        <v>Plant Maintenance</v>
      </c>
      <c r="F419" s="2">
        <f>VLOOKUP($C419,'[10]for slip'!$F:$BC,14,0)</f>
        <v>5343083</v>
      </c>
      <c r="G419" s="2">
        <f>VLOOKUP($C419,'[10]for slip'!$F:$BC,15,0)</f>
        <v>500000</v>
      </c>
      <c r="H419" s="2">
        <f>VLOOKUP($C419,'[10]for slip'!$F:$BC,16,0)</f>
        <v>0</v>
      </c>
      <c r="I419" s="2">
        <f>VLOOKUP($C419,'[10]for slip'!$F:$BC,17,0)</f>
        <v>0</v>
      </c>
      <c r="J419" s="2">
        <f>VLOOKUP($C419,'[10]for slip'!$F:$BC,27,0)</f>
        <v>0</v>
      </c>
      <c r="K419" s="2">
        <f>VLOOKUP($C419,'[10]for slip'!$F:$BC,31,0)</f>
        <v>0</v>
      </c>
      <c r="L419" s="2">
        <f>VLOOKUP($C419,'[10]for slip'!$F:$BC,35,0)</f>
        <v>1424.7095907499395</v>
      </c>
      <c r="M419" s="2">
        <f>VLOOKUP($C419,'[10]for slip'!$F:$BC,36,0)</f>
        <v>0</v>
      </c>
      <c r="N419" s="2">
        <f>VLOOKUP($C419,'[10]for slip'!$F:$BC,37,0)</f>
        <v>0</v>
      </c>
      <c r="O419" s="2">
        <f>VLOOKUP($C419,'[10]for slip'!$F:$BC,38,0)</f>
        <v>0</v>
      </c>
      <c r="P419" s="2">
        <f>VLOOKUP($C419,'[10]for slip'!$F:$BC,39,0)</f>
        <v>0</v>
      </c>
      <c r="Q419" s="2">
        <f>VLOOKUP($C419,'[10]for slip'!$F:$BC,40,0)</f>
        <v>31700</v>
      </c>
      <c r="R419" s="2">
        <f>VLOOKUP($C419,'[10]for slip'!$F:$BC,41,0)</f>
        <v>0</v>
      </c>
      <c r="S419" s="2">
        <f>VLOOKUP($C419,'[10]for slip'!$F:$BC,42,0)</f>
        <v>0</v>
      </c>
      <c r="T419" s="2">
        <f>VLOOKUP($C419,'[10]for slip'!$F:$BC,43,0)</f>
        <v>53430.83</v>
      </c>
      <c r="U419" s="2">
        <f>VLOOKUP($C419,'[10]for slip'!$F:$BC,44,0)</f>
        <v>116861.66</v>
      </c>
      <c r="V419" s="2">
        <f>VLOOKUP($C419,'[10]for slip'!$F:$BC,45,0)</f>
        <v>58430.83</v>
      </c>
      <c r="W419" s="2">
        <f>VLOOKUP($C419,'[10]for slip'!$F:$BC,48,0)</f>
        <v>1424.7095907499395</v>
      </c>
    </row>
    <row r="420" spans="1:23" x14ac:dyDescent="0.25">
      <c r="A420" s="1">
        <v>419</v>
      </c>
      <c r="B420" s="2" t="s">
        <v>859</v>
      </c>
      <c r="C420" s="2" t="s">
        <v>860</v>
      </c>
      <c r="D420" s="2" t="str">
        <f>VLOOKUP($C420,'[10]for slip'!$F:$BC,3,0)</f>
        <v>Pelaksana</v>
      </c>
      <c r="E420" s="2" t="str">
        <f>VLOOKUP($C420,'[10]for slip'!$F:$BC,4,0)</f>
        <v>Plant Maintenance</v>
      </c>
      <c r="F420" s="2">
        <f>VLOOKUP($C420,'[10]for slip'!$F:$BC,14,0)</f>
        <v>5343083</v>
      </c>
      <c r="G420" s="2">
        <f>VLOOKUP($C420,'[10]for slip'!$F:$BC,15,0)</f>
        <v>0</v>
      </c>
      <c r="H420" s="2">
        <f>VLOOKUP($C420,'[10]for slip'!$F:$BC,16,0)</f>
        <v>0</v>
      </c>
      <c r="I420" s="2">
        <f>VLOOKUP($C420,'[10]for slip'!$F:$BC,17,0)</f>
        <v>0</v>
      </c>
      <c r="J420" s="2">
        <f>VLOOKUP($C420,'[10]for slip'!$F:$BC,27,0)</f>
        <v>0</v>
      </c>
      <c r="K420" s="2">
        <f>VLOOKUP($C420,'[10]for slip'!$F:$BC,31,0)</f>
        <v>0</v>
      </c>
      <c r="L420" s="2">
        <f>VLOOKUP($C420,'[10]for slip'!$F:$BC,35,0)</f>
        <v>34354.584590750004</v>
      </c>
      <c r="M420" s="2">
        <f>VLOOKUP($C420,'[10]for slip'!$F:$BC,36,0)</f>
        <v>0</v>
      </c>
      <c r="N420" s="2">
        <f>VLOOKUP($C420,'[10]for slip'!$F:$BC,37,0)</f>
        <v>0</v>
      </c>
      <c r="O420" s="2">
        <f>VLOOKUP($C420,'[10]for slip'!$F:$BC,38,0)</f>
        <v>0</v>
      </c>
      <c r="P420" s="2">
        <f>VLOOKUP($C420,'[10]for slip'!$F:$BC,39,0)</f>
        <v>38000</v>
      </c>
      <c r="Q420" s="2">
        <f>VLOOKUP($C420,'[10]for slip'!$F:$BC,40,0)</f>
        <v>31700</v>
      </c>
      <c r="R420" s="2">
        <f>VLOOKUP($C420,'[10]for slip'!$F:$BC,41,0)</f>
        <v>0</v>
      </c>
      <c r="S420" s="2">
        <f>VLOOKUP($C420,'[10]for slip'!$F:$BC,42,0)</f>
        <v>0</v>
      </c>
      <c r="T420" s="2">
        <f>VLOOKUP($C420,'[10]for slip'!$F:$BC,43,0)</f>
        <v>53430.83</v>
      </c>
      <c r="U420" s="2">
        <f>VLOOKUP($C420,'[10]for slip'!$F:$BC,44,0)</f>
        <v>106861.66</v>
      </c>
      <c r="V420" s="2">
        <f>VLOOKUP($C420,'[10]for slip'!$F:$BC,45,0)</f>
        <v>53430.83</v>
      </c>
      <c r="W420" s="2">
        <f>VLOOKUP($C420,'[10]for slip'!$F:$BC,48,0)</f>
        <v>34354.584590750004</v>
      </c>
    </row>
    <row r="421" spans="1:23" x14ac:dyDescent="0.25">
      <c r="A421" s="1">
        <v>420</v>
      </c>
      <c r="B421" s="2" t="s">
        <v>861</v>
      </c>
      <c r="C421" s="2" t="s">
        <v>862</v>
      </c>
      <c r="D421" s="2" t="str">
        <f>VLOOKUP($C421,'[10]for slip'!$F:$BC,3,0)</f>
        <v>Pelaksana</v>
      </c>
      <c r="E421" s="2" t="str">
        <f>VLOOKUP($C421,'[10]for slip'!$F:$BC,4,0)</f>
        <v>Plant Maintenance</v>
      </c>
      <c r="F421" s="2">
        <f>VLOOKUP($C421,'[10]for slip'!$F:$BC,14,0)</f>
        <v>5343083</v>
      </c>
      <c r="G421" s="2">
        <f>VLOOKUP($C421,'[10]for slip'!$F:$BC,15,0)</f>
        <v>0</v>
      </c>
      <c r="H421" s="2">
        <f>VLOOKUP($C421,'[10]for slip'!$F:$BC,16,0)</f>
        <v>0</v>
      </c>
      <c r="I421" s="2">
        <f>VLOOKUP($C421,'[10]for slip'!$F:$BC,17,0)</f>
        <v>0</v>
      </c>
      <c r="J421" s="2">
        <f>VLOOKUP($C421,'[10]for slip'!$F:$BC,27,0)</f>
        <v>0</v>
      </c>
      <c r="K421" s="2">
        <f>VLOOKUP($C421,'[10]for slip'!$F:$BC,31,0)</f>
        <v>0</v>
      </c>
      <c r="L421" s="2">
        <f>VLOOKUP($C421,'[10]for slip'!$F:$BC,35,0)</f>
        <v>34354.584590750004</v>
      </c>
      <c r="M421" s="2">
        <f>VLOOKUP($C421,'[10]for slip'!$F:$BC,36,0)</f>
        <v>0</v>
      </c>
      <c r="N421" s="2">
        <f>VLOOKUP($C421,'[10]for slip'!$F:$BC,37,0)</f>
        <v>0</v>
      </c>
      <c r="O421" s="2">
        <f>VLOOKUP($C421,'[10]for slip'!$F:$BC,38,0)</f>
        <v>0</v>
      </c>
      <c r="P421" s="2">
        <f>VLOOKUP($C421,'[10]for slip'!$F:$BC,39,0)</f>
        <v>38000</v>
      </c>
      <c r="Q421" s="2">
        <f>VLOOKUP($C421,'[10]for slip'!$F:$BC,40,0)</f>
        <v>31700</v>
      </c>
      <c r="R421" s="2">
        <f>VLOOKUP($C421,'[10]for slip'!$F:$BC,41,0)</f>
        <v>0</v>
      </c>
      <c r="S421" s="2">
        <f>VLOOKUP($C421,'[10]for slip'!$F:$BC,42,0)</f>
        <v>10000</v>
      </c>
      <c r="T421" s="2">
        <f>VLOOKUP($C421,'[10]for slip'!$F:$BC,43,0)</f>
        <v>53430.83</v>
      </c>
      <c r="U421" s="2">
        <f>VLOOKUP($C421,'[10]for slip'!$F:$BC,44,0)</f>
        <v>106861.66</v>
      </c>
      <c r="V421" s="2">
        <f>VLOOKUP($C421,'[10]for slip'!$F:$BC,45,0)</f>
        <v>53430.83</v>
      </c>
      <c r="W421" s="2">
        <f>VLOOKUP($C421,'[10]for slip'!$F:$BC,48,0)</f>
        <v>34354.584590750004</v>
      </c>
    </row>
    <row r="422" spans="1:23" x14ac:dyDescent="0.25">
      <c r="A422" s="1">
        <v>421</v>
      </c>
      <c r="B422" s="2" t="s">
        <v>863</v>
      </c>
      <c r="C422" s="2" t="s">
        <v>864</v>
      </c>
      <c r="D422" s="2" t="str">
        <f>VLOOKUP($C422,'[10]for slip'!$F:$BC,3,0)</f>
        <v>Pelaksana</v>
      </c>
      <c r="E422" s="2" t="str">
        <f>VLOOKUP($C422,'[10]for slip'!$F:$BC,4,0)</f>
        <v>Plant Maintenance</v>
      </c>
      <c r="F422" s="2">
        <f>VLOOKUP($C422,'[10]for slip'!$F:$BC,14,0)</f>
        <v>5343083</v>
      </c>
      <c r="G422" s="2">
        <f>VLOOKUP($C422,'[10]for slip'!$F:$BC,15,0)</f>
        <v>0</v>
      </c>
      <c r="H422" s="2">
        <f>VLOOKUP($C422,'[10]for slip'!$F:$BC,16,0)</f>
        <v>0</v>
      </c>
      <c r="I422" s="2">
        <f>VLOOKUP($C422,'[10]for slip'!$F:$BC,17,0)</f>
        <v>0</v>
      </c>
      <c r="J422" s="2">
        <f>VLOOKUP($C422,'[10]for slip'!$F:$BC,27,0)</f>
        <v>0</v>
      </c>
      <c r="K422" s="2">
        <f>VLOOKUP($C422,'[10]for slip'!$F:$BC,31,0)</f>
        <v>0</v>
      </c>
      <c r="L422" s="2">
        <f>VLOOKUP($C422,'[10]for slip'!$F:$BC,35,0)</f>
        <v>34354.584590750004</v>
      </c>
      <c r="M422" s="2">
        <f>VLOOKUP($C422,'[10]for slip'!$F:$BC,36,0)</f>
        <v>0</v>
      </c>
      <c r="N422" s="2">
        <f>VLOOKUP($C422,'[10]for slip'!$F:$BC,37,0)</f>
        <v>0</v>
      </c>
      <c r="O422" s="2">
        <f>VLOOKUP($C422,'[10]for slip'!$F:$BC,38,0)</f>
        <v>0</v>
      </c>
      <c r="P422" s="2">
        <f>VLOOKUP($C422,'[10]for slip'!$F:$BC,39,0)</f>
        <v>38000</v>
      </c>
      <c r="Q422" s="2">
        <f>VLOOKUP($C422,'[10]for slip'!$F:$BC,40,0)</f>
        <v>31700</v>
      </c>
      <c r="R422" s="2">
        <f>VLOOKUP($C422,'[10]for slip'!$F:$BC,41,0)</f>
        <v>0</v>
      </c>
      <c r="S422" s="2">
        <f>VLOOKUP($C422,'[10]for slip'!$F:$BC,42,0)</f>
        <v>10000</v>
      </c>
      <c r="T422" s="2">
        <f>VLOOKUP($C422,'[10]for slip'!$F:$BC,43,0)</f>
        <v>53430.83</v>
      </c>
      <c r="U422" s="2">
        <f>VLOOKUP($C422,'[10]for slip'!$F:$BC,44,0)</f>
        <v>106861.66</v>
      </c>
      <c r="V422" s="2">
        <f>VLOOKUP($C422,'[10]for slip'!$F:$BC,45,0)</f>
        <v>53430.83</v>
      </c>
      <c r="W422" s="2">
        <f>VLOOKUP($C422,'[10]for slip'!$F:$BC,48,0)</f>
        <v>34354.584590750004</v>
      </c>
    </row>
    <row r="423" spans="1:23" x14ac:dyDescent="0.25">
      <c r="A423" s="1">
        <v>422</v>
      </c>
      <c r="B423" s="2" t="s">
        <v>865</v>
      </c>
      <c r="C423" s="2" t="s">
        <v>866</v>
      </c>
      <c r="D423" s="2" t="str">
        <f>VLOOKUP($C423,'[10]for slip'!$F:$BC,3,0)</f>
        <v>Pelaksana</v>
      </c>
      <c r="E423" s="2" t="str">
        <f>VLOOKUP($C423,'[10]for slip'!$F:$BC,4,0)</f>
        <v>Plant Maintenance</v>
      </c>
      <c r="F423" s="2">
        <f>VLOOKUP($C423,'[10]for slip'!$F:$BC,14,0)</f>
        <v>5343083</v>
      </c>
      <c r="G423" s="2">
        <f>VLOOKUP($C423,'[10]for slip'!$F:$BC,15,0)</f>
        <v>0</v>
      </c>
      <c r="H423" s="2">
        <f>VLOOKUP($C423,'[10]for slip'!$F:$BC,16,0)</f>
        <v>0</v>
      </c>
      <c r="I423" s="2">
        <f>VLOOKUP($C423,'[10]for slip'!$F:$BC,17,0)</f>
        <v>0</v>
      </c>
      <c r="J423" s="2">
        <f>VLOOKUP($C423,'[10]for slip'!$F:$BC,27,0)</f>
        <v>0</v>
      </c>
      <c r="K423" s="2">
        <f>VLOOKUP($C423,'[10]for slip'!$F:$BC,31,0)</f>
        <v>0</v>
      </c>
      <c r="L423" s="2">
        <f>VLOOKUP($C423,'[10]for slip'!$F:$BC,35,0)</f>
        <v>34354.584590750004</v>
      </c>
      <c r="M423" s="2">
        <f>VLOOKUP($C423,'[10]for slip'!$F:$BC,36,0)</f>
        <v>0</v>
      </c>
      <c r="N423" s="2">
        <f>VLOOKUP($C423,'[10]for slip'!$F:$BC,37,0)</f>
        <v>0</v>
      </c>
      <c r="O423" s="2">
        <f>VLOOKUP($C423,'[10]for slip'!$F:$BC,38,0)</f>
        <v>0</v>
      </c>
      <c r="P423" s="2">
        <f>VLOOKUP($C423,'[10]for slip'!$F:$BC,39,0)</f>
        <v>38000</v>
      </c>
      <c r="Q423" s="2">
        <f>VLOOKUP($C423,'[10]for slip'!$F:$BC,40,0)</f>
        <v>31700</v>
      </c>
      <c r="R423" s="2">
        <f>VLOOKUP($C423,'[10]for slip'!$F:$BC,41,0)</f>
        <v>0</v>
      </c>
      <c r="S423" s="2">
        <f>VLOOKUP($C423,'[10]for slip'!$F:$BC,42,0)</f>
        <v>0</v>
      </c>
      <c r="T423" s="2">
        <f>VLOOKUP($C423,'[10]for slip'!$F:$BC,43,0)</f>
        <v>53430.83</v>
      </c>
      <c r="U423" s="2">
        <f>VLOOKUP($C423,'[10]for slip'!$F:$BC,44,0)</f>
        <v>106861.66</v>
      </c>
      <c r="V423" s="2">
        <f>VLOOKUP($C423,'[10]for slip'!$F:$BC,45,0)</f>
        <v>53430.83</v>
      </c>
      <c r="W423" s="2">
        <f>VLOOKUP($C423,'[10]for slip'!$F:$BC,48,0)</f>
        <v>34354.584590750004</v>
      </c>
    </row>
    <row r="424" spans="1:23" x14ac:dyDescent="0.25">
      <c r="A424" s="1">
        <v>423</v>
      </c>
      <c r="B424" s="2" t="s">
        <v>867</v>
      </c>
      <c r="C424" s="2" t="s">
        <v>868</v>
      </c>
      <c r="D424" s="2" t="str">
        <f>VLOOKUP($C424,'[10]for slip'!$F:$BC,3,0)</f>
        <v>Pelaksana</v>
      </c>
      <c r="E424" s="2" t="str">
        <f>VLOOKUP($C424,'[10]for slip'!$F:$BC,4,0)</f>
        <v>Plant Maintenance</v>
      </c>
      <c r="F424" s="2">
        <f>VLOOKUP($C424,'[10]for slip'!$F:$BC,14,0)</f>
        <v>5343083</v>
      </c>
      <c r="G424" s="2">
        <f>VLOOKUP($C424,'[10]for slip'!$F:$BC,15,0)</f>
        <v>0</v>
      </c>
      <c r="H424" s="2">
        <f>VLOOKUP($C424,'[10]for slip'!$F:$BC,16,0)</f>
        <v>0</v>
      </c>
      <c r="I424" s="2">
        <f>VLOOKUP($C424,'[10]for slip'!$F:$BC,17,0)</f>
        <v>0</v>
      </c>
      <c r="J424" s="2">
        <f>VLOOKUP($C424,'[10]for slip'!$F:$BC,27,0)</f>
        <v>0</v>
      </c>
      <c r="K424" s="2">
        <f>VLOOKUP($C424,'[10]for slip'!$F:$BC,31,0)</f>
        <v>0</v>
      </c>
      <c r="L424" s="2">
        <f>VLOOKUP($C424,'[10]for slip'!$F:$BC,35,0)</f>
        <v>15604.584590750002</v>
      </c>
      <c r="M424" s="2">
        <f>VLOOKUP($C424,'[10]for slip'!$F:$BC,36,0)</f>
        <v>0</v>
      </c>
      <c r="N424" s="2">
        <f>VLOOKUP($C424,'[10]for slip'!$F:$BC,37,0)</f>
        <v>0</v>
      </c>
      <c r="O424" s="2">
        <f>VLOOKUP($C424,'[10]for slip'!$F:$BC,38,0)</f>
        <v>0</v>
      </c>
      <c r="P424" s="2">
        <f>VLOOKUP($C424,'[10]for slip'!$F:$BC,39,0)</f>
        <v>38000</v>
      </c>
      <c r="Q424" s="2">
        <f>VLOOKUP($C424,'[10]for slip'!$F:$BC,40,0)</f>
        <v>31700</v>
      </c>
      <c r="R424" s="2">
        <f>VLOOKUP($C424,'[10]for slip'!$F:$BC,41,0)</f>
        <v>0</v>
      </c>
      <c r="S424" s="2">
        <f>VLOOKUP($C424,'[10]for slip'!$F:$BC,42,0)</f>
        <v>0</v>
      </c>
      <c r="T424" s="2">
        <f>VLOOKUP($C424,'[10]for slip'!$F:$BC,43,0)</f>
        <v>53430.83</v>
      </c>
      <c r="U424" s="2">
        <f>VLOOKUP($C424,'[10]for slip'!$F:$BC,44,0)</f>
        <v>106861.66</v>
      </c>
      <c r="V424" s="2">
        <f>VLOOKUP($C424,'[10]for slip'!$F:$BC,45,0)</f>
        <v>53430.83</v>
      </c>
      <c r="W424" s="2">
        <f>VLOOKUP($C424,'[10]for slip'!$F:$BC,48,0)</f>
        <v>15604.584590750002</v>
      </c>
    </row>
    <row r="425" spans="1:23" x14ac:dyDescent="0.25">
      <c r="A425" s="1">
        <v>424</v>
      </c>
      <c r="B425" s="2" t="s">
        <v>869</v>
      </c>
      <c r="C425" s="2" t="s">
        <v>870</v>
      </c>
      <c r="D425" s="2" t="str">
        <f>VLOOKUP($C425,'[10]for slip'!$F:$BC,3,0)</f>
        <v>Pelaksana</v>
      </c>
      <c r="E425" s="2" t="str">
        <f>VLOOKUP($C425,'[10]for slip'!$F:$BC,4,0)</f>
        <v>Plant Maintenance</v>
      </c>
      <c r="F425" s="2">
        <f>VLOOKUP($C425,'[10]for slip'!$F:$BC,14,0)</f>
        <v>5343083</v>
      </c>
      <c r="G425" s="2">
        <f>VLOOKUP($C425,'[10]for slip'!$F:$BC,15,0)</f>
        <v>0</v>
      </c>
      <c r="H425" s="2">
        <f>VLOOKUP($C425,'[10]for slip'!$F:$BC,16,0)</f>
        <v>0</v>
      </c>
      <c r="I425" s="2">
        <f>VLOOKUP($C425,'[10]for slip'!$F:$BC,17,0)</f>
        <v>0</v>
      </c>
      <c r="J425" s="2">
        <f>VLOOKUP($C425,'[10]for slip'!$F:$BC,27,0)</f>
        <v>0</v>
      </c>
      <c r="K425" s="2">
        <f>VLOOKUP($C425,'[10]for slip'!$F:$BC,31,0)</f>
        <v>0</v>
      </c>
      <c r="L425" s="2">
        <f>VLOOKUP($C425,'[10]for slip'!$F:$BC,35,0)</f>
        <v>34354.584590750004</v>
      </c>
      <c r="M425" s="2">
        <f>VLOOKUP($C425,'[10]for slip'!$F:$BC,36,0)</f>
        <v>0</v>
      </c>
      <c r="N425" s="2">
        <f>VLOOKUP($C425,'[10]for slip'!$F:$BC,37,0)</f>
        <v>0</v>
      </c>
      <c r="O425" s="2">
        <f>VLOOKUP($C425,'[10]for slip'!$F:$BC,38,0)</f>
        <v>0</v>
      </c>
      <c r="P425" s="2">
        <f>VLOOKUP($C425,'[10]for slip'!$F:$BC,39,0)</f>
        <v>38000</v>
      </c>
      <c r="Q425" s="2">
        <f>VLOOKUP($C425,'[10]for slip'!$F:$BC,40,0)</f>
        <v>31700</v>
      </c>
      <c r="R425" s="2">
        <f>VLOOKUP($C425,'[10]for slip'!$F:$BC,41,0)</f>
        <v>0</v>
      </c>
      <c r="S425" s="2">
        <f>VLOOKUP($C425,'[10]for slip'!$F:$BC,42,0)</f>
        <v>0</v>
      </c>
      <c r="T425" s="2">
        <f>VLOOKUP($C425,'[10]for slip'!$F:$BC,43,0)</f>
        <v>53430.83</v>
      </c>
      <c r="U425" s="2">
        <f>VLOOKUP($C425,'[10]for slip'!$F:$BC,44,0)</f>
        <v>106861.66</v>
      </c>
      <c r="V425" s="2">
        <f>VLOOKUP($C425,'[10]for slip'!$F:$BC,45,0)</f>
        <v>53430.83</v>
      </c>
      <c r="W425" s="2">
        <f>VLOOKUP($C425,'[10]for slip'!$F:$BC,48,0)</f>
        <v>34354.584590750004</v>
      </c>
    </row>
    <row r="426" spans="1:23" x14ac:dyDescent="0.25">
      <c r="A426" s="1">
        <v>425</v>
      </c>
      <c r="B426" s="2" t="s">
        <v>871</v>
      </c>
      <c r="C426" s="2" t="s">
        <v>872</v>
      </c>
      <c r="D426" s="2" t="str">
        <f>VLOOKUP($C426,'[10]for slip'!$F:$BC,3,0)</f>
        <v>Pelaksana</v>
      </c>
      <c r="E426" s="2" t="str">
        <f>VLOOKUP($C426,'[10]for slip'!$F:$BC,4,0)</f>
        <v>Plant Maintenance</v>
      </c>
      <c r="F426" s="2">
        <f>VLOOKUP($C426,'[10]for slip'!$F:$BC,14,0)</f>
        <v>5343083</v>
      </c>
      <c r="G426" s="2">
        <f>VLOOKUP($C426,'[10]for slip'!$F:$BC,15,0)</f>
        <v>0</v>
      </c>
      <c r="H426" s="2">
        <f>VLOOKUP($C426,'[10]for slip'!$F:$BC,16,0)</f>
        <v>0</v>
      </c>
      <c r="I426" s="2">
        <f>VLOOKUP($C426,'[10]for slip'!$F:$BC,17,0)</f>
        <v>0</v>
      </c>
      <c r="J426" s="2">
        <f>VLOOKUP($C426,'[10]for slip'!$F:$BC,27,0)</f>
        <v>0</v>
      </c>
      <c r="K426" s="2">
        <f>VLOOKUP($C426,'[10]for slip'!$F:$BC,31,0)</f>
        <v>0</v>
      </c>
      <c r="L426" s="2">
        <f>VLOOKUP($C426,'[10]for slip'!$F:$BC,35,0)</f>
        <v>34354.584590750004</v>
      </c>
      <c r="M426" s="2">
        <f>VLOOKUP($C426,'[10]for slip'!$F:$BC,36,0)</f>
        <v>0</v>
      </c>
      <c r="N426" s="2">
        <f>VLOOKUP($C426,'[10]for slip'!$F:$BC,37,0)</f>
        <v>0</v>
      </c>
      <c r="O426" s="2">
        <f>VLOOKUP($C426,'[10]for slip'!$F:$BC,38,0)</f>
        <v>0</v>
      </c>
      <c r="P426" s="2">
        <f>VLOOKUP($C426,'[10]for slip'!$F:$BC,39,0)</f>
        <v>38000</v>
      </c>
      <c r="Q426" s="2">
        <f>VLOOKUP($C426,'[10]for slip'!$F:$BC,40,0)</f>
        <v>31700</v>
      </c>
      <c r="R426" s="2">
        <f>VLOOKUP($C426,'[10]for slip'!$F:$BC,41,0)</f>
        <v>0</v>
      </c>
      <c r="S426" s="2">
        <f>VLOOKUP($C426,'[10]for slip'!$F:$BC,42,0)</f>
        <v>0</v>
      </c>
      <c r="T426" s="2">
        <f>VLOOKUP($C426,'[10]for slip'!$F:$BC,43,0)</f>
        <v>53430.83</v>
      </c>
      <c r="U426" s="2">
        <f>VLOOKUP($C426,'[10]for slip'!$F:$BC,44,0)</f>
        <v>106861.66</v>
      </c>
      <c r="V426" s="2">
        <f>VLOOKUP($C426,'[10]for slip'!$F:$BC,45,0)</f>
        <v>53430.83</v>
      </c>
      <c r="W426" s="2">
        <f>VLOOKUP($C426,'[10]for slip'!$F:$BC,48,0)</f>
        <v>34354.584590750004</v>
      </c>
    </row>
    <row r="427" spans="1:23" x14ac:dyDescent="0.25">
      <c r="A427" s="1">
        <v>426</v>
      </c>
      <c r="B427" s="2" t="s">
        <v>873</v>
      </c>
      <c r="C427" s="2" t="s">
        <v>874</v>
      </c>
      <c r="D427" s="2" t="str">
        <f>VLOOKUP($C427,'[10]for slip'!$F:$BC,3,0)</f>
        <v>Pelaksana</v>
      </c>
      <c r="E427" s="2" t="str">
        <f>VLOOKUP($C427,'[10]for slip'!$F:$BC,4,0)</f>
        <v>Plant Maintenance</v>
      </c>
      <c r="F427" s="2">
        <f>VLOOKUP($C427,'[10]for slip'!$F:$BC,14,0)</f>
        <v>5343083</v>
      </c>
      <c r="G427" s="2">
        <f>VLOOKUP($C427,'[10]for slip'!$F:$BC,15,0)</f>
        <v>0</v>
      </c>
      <c r="H427" s="2">
        <f>VLOOKUP($C427,'[10]for slip'!$F:$BC,16,0)</f>
        <v>0</v>
      </c>
      <c r="I427" s="2">
        <f>VLOOKUP($C427,'[10]for slip'!$F:$BC,17,0)</f>
        <v>0</v>
      </c>
      <c r="J427" s="2">
        <f>VLOOKUP($C427,'[10]for slip'!$F:$BC,27,0)</f>
        <v>0</v>
      </c>
      <c r="K427" s="2">
        <f>VLOOKUP($C427,'[10]for slip'!$F:$BC,31,0)</f>
        <v>0</v>
      </c>
      <c r="L427" s="2">
        <f>VLOOKUP($C427,'[10]for slip'!$F:$BC,35,0)</f>
        <v>0</v>
      </c>
      <c r="M427" s="2">
        <f>VLOOKUP($C427,'[10]for slip'!$F:$BC,36,0)</f>
        <v>0</v>
      </c>
      <c r="N427" s="2">
        <f>VLOOKUP($C427,'[10]for slip'!$F:$BC,37,0)</f>
        <v>0</v>
      </c>
      <c r="O427" s="2">
        <f>VLOOKUP($C427,'[10]for slip'!$F:$BC,38,0)</f>
        <v>0</v>
      </c>
      <c r="P427" s="2">
        <f>VLOOKUP($C427,'[10]for slip'!$F:$BC,39,0)</f>
        <v>38000</v>
      </c>
      <c r="Q427" s="2">
        <f>VLOOKUP($C427,'[10]for slip'!$F:$BC,40,0)</f>
        <v>31700</v>
      </c>
      <c r="R427" s="2">
        <f>VLOOKUP($C427,'[10]for slip'!$F:$BC,41,0)</f>
        <v>0</v>
      </c>
      <c r="S427" s="2">
        <f>VLOOKUP($C427,'[10]for slip'!$F:$BC,42,0)</f>
        <v>0</v>
      </c>
      <c r="T427" s="2">
        <f>VLOOKUP($C427,'[10]for slip'!$F:$BC,43,0)</f>
        <v>53430.83</v>
      </c>
      <c r="U427" s="2">
        <f>VLOOKUP($C427,'[10]for slip'!$F:$BC,44,0)</f>
        <v>106861.66</v>
      </c>
      <c r="V427" s="2">
        <f>VLOOKUP($C427,'[10]for slip'!$F:$BC,45,0)</f>
        <v>53430.83</v>
      </c>
      <c r="W427" s="2">
        <f>VLOOKUP($C427,'[10]for slip'!$F:$BC,48,0)</f>
        <v>0</v>
      </c>
    </row>
    <row r="428" spans="1:23" x14ac:dyDescent="0.25">
      <c r="A428" s="1">
        <v>427</v>
      </c>
      <c r="B428" s="2" t="s">
        <v>875</v>
      </c>
      <c r="C428" s="2" t="s">
        <v>876</v>
      </c>
      <c r="D428" s="2" t="str">
        <f>VLOOKUP($C428,'[10]for slip'!$F:$BC,3,0)</f>
        <v>Pelaksana</v>
      </c>
      <c r="E428" s="2" t="str">
        <f>VLOOKUP($C428,'[10]for slip'!$F:$BC,4,0)</f>
        <v>Plant Maintenance</v>
      </c>
      <c r="F428" s="2">
        <f>VLOOKUP($C428,'[10]for slip'!$F:$BC,14,0)</f>
        <v>5343083</v>
      </c>
      <c r="G428" s="2">
        <f>VLOOKUP($C428,'[10]for slip'!$F:$BC,15,0)</f>
        <v>0</v>
      </c>
      <c r="H428" s="2">
        <f>VLOOKUP($C428,'[10]for slip'!$F:$BC,16,0)</f>
        <v>0</v>
      </c>
      <c r="I428" s="2">
        <f>VLOOKUP($C428,'[10]for slip'!$F:$BC,17,0)</f>
        <v>0</v>
      </c>
      <c r="J428" s="2">
        <f>VLOOKUP($C428,'[10]for slip'!$F:$BC,27,0)</f>
        <v>0</v>
      </c>
      <c r="K428" s="2">
        <f>VLOOKUP($C428,'[10]for slip'!$F:$BC,31,0)</f>
        <v>0</v>
      </c>
      <c r="L428" s="2">
        <f>VLOOKUP($C428,'[10]for slip'!$F:$BC,35,0)</f>
        <v>34354.584590750004</v>
      </c>
      <c r="M428" s="2">
        <f>VLOOKUP($C428,'[10]for slip'!$F:$BC,36,0)</f>
        <v>0</v>
      </c>
      <c r="N428" s="2">
        <f>VLOOKUP($C428,'[10]for slip'!$F:$BC,37,0)</f>
        <v>0</v>
      </c>
      <c r="O428" s="2">
        <f>VLOOKUP($C428,'[10]for slip'!$F:$BC,38,0)</f>
        <v>0</v>
      </c>
      <c r="P428" s="2">
        <f>VLOOKUP($C428,'[10]for slip'!$F:$BC,39,0)</f>
        <v>38000</v>
      </c>
      <c r="Q428" s="2">
        <f>VLOOKUP($C428,'[10]for slip'!$F:$BC,40,0)</f>
        <v>31700</v>
      </c>
      <c r="R428" s="2">
        <f>VLOOKUP($C428,'[10]for slip'!$F:$BC,41,0)</f>
        <v>0</v>
      </c>
      <c r="S428" s="2">
        <f>VLOOKUP($C428,'[10]for slip'!$F:$BC,42,0)</f>
        <v>0</v>
      </c>
      <c r="T428" s="2">
        <f>VLOOKUP($C428,'[10]for slip'!$F:$BC,43,0)</f>
        <v>53430.83</v>
      </c>
      <c r="U428" s="2">
        <f>VLOOKUP($C428,'[10]for slip'!$F:$BC,44,0)</f>
        <v>106861.66</v>
      </c>
      <c r="V428" s="2">
        <f>VLOOKUP($C428,'[10]for slip'!$F:$BC,45,0)</f>
        <v>53430.83</v>
      </c>
      <c r="W428" s="2">
        <f>VLOOKUP($C428,'[10]for slip'!$F:$BC,48,0)</f>
        <v>34354.584590750004</v>
      </c>
    </row>
    <row r="429" spans="1:23" x14ac:dyDescent="0.25">
      <c r="A429" s="1">
        <v>428</v>
      </c>
      <c r="B429" s="2" t="s">
        <v>877</v>
      </c>
      <c r="C429" s="2" t="s">
        <v>878</v>
      </c>
      <c r="D429" s="2" t="str">
        <f>VLOOKUP($C429,'[10]for slip'!$F:$BC,3,0)</f>
        <v>Sect Head</v>
      </c>
      <c r="E429" s="2" t="str">
        <f>VLOOKUP($C429,'[10]for slip'!$F:$BC,4,0)</f>
        <v>PPIC</v>
      </c>
      <c r="F429" s="2">
        <f>VLOOKUP($C429,'[10]for slip'!$F:$BC,14,0)</f>
        <v>6941239</v>
      </c>
      <c r="G429" s="2">
        <f>VLOOKUP($C429,'[10]for slip'!$F:$BC,15,0)</f>
        <v>1500000</v>
      </c>
      <c r="H429" s="2">
        <f>VLOOKUP($C429,'[10]for slip'!$F:$BC,16,0)</f>
        <v>0</v>
      </c>
      <c r="I429" s="2">
        <f>VLOOKUP($C429,'[10]for slip'!$F:$BC,17,0)</f>
        <v>288515</v>
      </c>
      <c r="J429" s="2">
        <f>VLOOKUP($C429,'[10]for slip'!$F:$BC,27,0)</f>
        <v>0</v>
      </c>
      <c r="K429" s="2">
        <f>VLOOKUP($C429,'[10]for slip'!$F:$BC,31,0)</f>
        <v>0</v>
      </c>
      <c r="L429" s="2">
        <f>VLOOKUP($C429,'[10]for slip'!$F:$BC,35,0)</f>
        <v>103998.54909850005</v>
      </c>
      <c r="M429" s="2">
        <f>VLOOKUP($C429,'[10]for slip'!$F:$BC,36,0)</f>
        <v>0</v>
      </c>
      <c r="N429" s="2">
        <f>VLOOKUP($C429,'[10]for slip'!$F:$BC,37,0)</f>
        <v>1</v>
      </c>
      <c r="O429" s="2">
        <f>VLOOKUP($C429,'[10]for slip'!$F:$BC,38,0)</f>
        <v>415703</v>
      </c>
      <c r="P429" s="2">
        <f>VLOOKUP($C429,'[10]for slip'!$F:$BC,39,0)</f>
        <v>38000</v>
      </c>
      <c r="Q429" s="2">
        <f>VLOOKUP($C429,'[10]for slip'!$F:$BC,40,0)</f>
        <v>31700</v>
      </c>
      <c r="R429" s="2">
        <f>VLOOKUP($C429,'[10]for slip'!$F:$BC,41,0)</f>
        <v>0</v>
      </c>
      <c r="S429" s="2">
        <f>VLOOKUP($C429,'[10]for slip'!$F:$BC,42,0)</f>
        <v>10000</v>
      </c>
      <c r="T429" s="2">
        <f>VLOOKUP($C429,'[10]for slip'!$F:$BC,43,0)</f>
        <v>87297.540000000008</v>
      </c>
      <c r="U429" s="2">
        <f>VLOOKUP($C429,'[10]for slip'!$F:$BC,44,0)</f>
        <v>174595.08000000002</v>
      </c>
      <c r="V429" s="2">
        <f>VLOOKUP($C429,'[10]for slip'!$F:$BC,45,0)</f>
        <v>87297.540000000008</v>
      </c>
      <c r="W429" s="2">
        <f>VLOOKUP($C429,'[10]for slip'!$F:$BC,48,0)</f>
        <v>103998.54909850005</v>
      </c>
    </row>
    <row r="430" spans="1:23" x14ac:dyDescent="0.25">
      <c r="A430" s="1">
        <v>429</v>
      </c>
      <c r="B430" s="2" t="s">
        <v>879</v>
      </c>
      <c r="C430" s="2" t="s">
        <v>880</v>
      </c>
      <c r="D430" s="2" t="str">
        <f>VLOOKUP($C430,'[10]for slip'!$F:$BC,3,0)</f>
        <v>Sect Head</v>
      </c>
      <c r="E430" s="2" t="str">
        <f>VLOOKUP($C430,'[10]for slip'!$F:$BC,4,0)</f>
        <v>PPIC</v>
      </c>
      <c r="F430" s="2">
        <f>VLOOKUP($C430,'[10]for slip'!$F:$BC,14,0)</f>
        <v>5343083</v>
      </c>
      <c r="G430" s="2">
        <f>VLOOKUP($C430,'[10]for slip'!$F:$BC,15,0)</f>
        <v>750000</v>
      </c>
      <c r="H430" s="2">
        <f>VLOOKUP($C430,'[10]for slip'!$F:$BC,16,0)</f>
        <v>0</v>
      </c>
      <c r="I430" s="2">
        <f>VLOOKUP($C430,'[10]for slip'!$F:$BC,17,0)</f>
        <v>300000</v>
      </c>
      <c r="J430" s="2">
        <f>VLOOKUP($C430,'[10]for slip'!$F:$BC,27,0)</f>
        <v>0</v>
      </c>
      <c r="K430" s="2">
        <f>VLOOKUP($C430,'[10]for slip'!$F:$BC,31,0)</f>
        <v>0</v>
      </c>
      <c r="L430" s="2">
        <f>VLOOKUP($C430,'[10]for slip'!$F:$BC,35,0)</f>
        <v>0</v>
      </c>
      <c r="M430" s="2">
        <f>VLOOKUP($C430,'[10]for slip'!$F:$BC,36,0)</f>
        <v>0</v>
      </c>
      <c r="N430" s="2">
        <f>VLOOKUP($C430,'[10]for slip'!$F:$BC,37,0)</f>
        <v>6</v>
      </c>
      <c r="O430" s="2">
        <f>VLOOKUP($C430,'[10]for slip'!$F:$BC,38,0)</f>
        <v>1826595</v>
      </c>
      <c r="P430" s="2">
        <f>VLOOKUP($C430,'[10]for slip'!$F:$BC,39,0)</f>
        <v>38000</v>
      </c>
      <c r="Q430" s="2">
        <f>VLOOKUP($C430,'[10]for slip'!$F:$BC,40,0)</f>
        <v>31700</v>
      </c>
      <c r="R430" s="2">
        <f>VLOOKUP($C430,'[10]for slip'!$F:$BC,41,0)</f>
        <v>0</v>
      </c>
      <c r="S430" s="2">
        <f>VLOOKUP($C430,'[10]for slip'!$F:$BC,42,0)</f>
        <v>0</v>
      </c>
      <c r="T430" s="2">
        <f>VLOOKUP($C430,'[10]for slip'!$F:$BC,43,0)</f>
        <v>63930.83</v>
      </c>
      <c r="U430" s="2">
        <f>VLOOKUP($C430,'[10]for slip'!$F:$BC,44,0)</f>
        <v>127861.66</v>
      </c>
      <c r="V430" s="2">
        <f>VLOOKUP($C430,'[10]for slip'!$F:$BC,45,0)</f>
        <v>63930.83</v>
      </c>
      <c r="W430" s="2">
        <f>VLOOKUP($C430,'[10]for slip'!$F:$BC,48,0)</f>
        <v>0</v>
      </c>
    </row>
    <row r="431" spans="1:23" x14ac:dyDescent="0.25">
      <c r="A431" s="1">
        <v>430</v>
      </c>
      <c r="B431" s="2" t="s">
        <v>881</v>
      </c>
      <c r="C431" s="2" t="s">
        <v>882</v>
      </c>
      <c r="D431" s="2" t="str">
        <f>VLOOKUP($C431,'[10]for slip'!$F:$BC,3,0)</f>
        <v>Sect Head</v>
      </c>
      <c r="E431" s="2" t="str">
        <f>VLOOKUP($C431,'[10]for slip'!$F:$BC,4,0)</f>
        <v>PPIC</v>
      </c>
      <c r="F431" s="2">
        <f>VLOOKUP($C431,'[10]for slip'!$F:$BC,14,0)</f>
        <v>5343083</v>
      </c>
      <c r="G431" s="2">
        <f>VLOOKUP($C431,'[10]for slip'!$F:$BC,15,0)</f>
        <v>1500000</v>
      </c>
      <c r="H431" s="2">
        <f>VLOOKUP($C431,'[10]for slip'!$F:$BC,16,0)</f>
        <v>0</v>
      </c>
      <c r="I431" s="2">
        <f>VLOOKUP($C431,'[10]for slip'!$F:$BC,17,0)</f>
        <v>213723</v>
      </c>
      <c r="J431" s="2">
        <f>VLOOKUP($C431,'[10]for slip'!$F:$BC,27,0)</f>
        <v>0</v>
      </c>
      <c r="K431" s="2">
        <f>VLOOKUP($C431,'[10]for slip'!$F:$BC,31,0)</f>
        <v>0</v>
      </c>
      <c r="L431" s="2">
        <f>VLOOKUP($C431,'[10]for slip'!$F:$BC,35,0)</f>
        <v>80039.127441500066</v>
      </c>
      <c r="M431" s="2">
        <f>VLOOKUP($C431,'[10]for slip'!$F:$BC,36,0)</f>
        <v>0</v>
      </c>
      <c r="N431" s="2">
        <f>VLOOKUP($C431,'[10]for slip'!$F:$BC,37,0)</f>
        <v>0</v>
      </c>
      <c r="O431" s="2">
        <f>VLOOKUP($C431,'[10]for slip'!$F:$BC,38,0)</f>
        <v>0</v>
      </c>
      <c r="P431" s="2">
        <f>VLOOKUP($C431,'[10]for slip'!$F:$BC,39,0)</f>
        <v>38000</v>
      </c>
      <c r="Q431" s="2">
        <f>VLOOKUP($C431,'[10]for slip'!$F:$BC,40,0)</f>
        <v>31700</v>
      </c>
      <c r="R431" s="2">
        <f>VLOOKUP($C431,'[10]for slip'!$F:$BC,41,0)</f>
        <v>0</v>
      </c>
      <c r="S431" s="2">
        <f>VLOOKUP($C431,'[10]for slip'!$F:$BC,42,0)</f>
        <v>10000</v>
      </c>
      <c r="T431" s="2">
        <f>VLOOKUP($C431,'[10]for slip'!$F:$BC,43,0)</f>
        <v>70568.06</v>
      </c>
      <c r="U431" s="2">
        <f>VLOOKUP($C431,'[10]for slip'!$F:$BC,44,0)</f>
        <v>141136.12</v>
      </c>
      <c r="V431" s="2">
        <f>VLOOKUP($C431,'[10]for slip'!$F:$BC,45,0)</f>
        <v>70568.06</v>
      </c>
      <c r="W431" s="2">
        <f>VLOOKUP($C431,'[10]for slip'!$F:$BC,48,0)</f>
        <v>80039.127441500066</v>
      </c>
    </row>
    <row r="432" spans="1:23" x14ac:dyDescent="0.25">
      <c r="A432" s="1">
        <v>431</v>
      </c>
      <c r="B432" s="2" t="s">
        <v>883</v>
      </c>
      <c r="C432" s="2" t="s">
        <v>884</v>
      </c>
      <c r="D432" s="2" t="str">
        <f>VLOOKUP($C432,'[10]for slip'!$F:$BC,3,0)</f>
        <v>Sect Head</v>
      </c>
      <c r="E432" s="2" t="str">
        <f>VLOOKUP($C432,'[10]for slip'!$F:$BC,4,0)</f>
        <v>PPIC</v>
      </c>
      <c r="F432" s="2">
        <f>VLOOKUP($C432,'[10]for slip'!$F:$BC,14,0)</f>
        <v>5343083</v>
      </c>
      <c r="G432" s="2">
        <f>VLOOKUP($C432,'[10]for slip'!$F:$BC,15,0)</f>
        <v>1500000</v>
      </c>
      <c r="H432" s="2">
        <f>VLOOKUP($C432,'[10]for slip'!$F:$BC,16,0)</f>
        <v>0</v>
      </c>
      <c r="I432" s="2">
        <f>VLOOKUP($C432,'[10]for slip'!$F:$BC,17,0)</f>
        <v>151592</v>
      </c>
      <c r="J432" s="2">
        <f>VLOOKUP($C432,'[10]for slip'!$F:$BC,27,0)</f>
        <v>0</v>
      </c>
      <c r="K432" s="2">
        <f>VLOOKUP($C432,'[10]for slip'!$F:$BC,31,0)</f>
        <v>0</v>
      </c>
      <c r="L432" s="2">
        <f>VLOOKUP($C432,'[10]for slip'!$F:$BC,35,0)</f>
        <v>58273.273168749991</v>
      </c>
      <c r="M432" s="2">
        <f>VLOOKUP($C432,'[10]for slip'!$F:$BC,36,0)</f>
        <v>0</v>
      </c>
      <c r="N432" s="2">
        <f>VLOOKUP($C432,'[10]for slip'!$F:$BC,37,0)</f>
        <v>0</v>
      </c>
      <c r="O432" s="2">
        <f>VLOOKUP($C432,'[10]for slip'!$F:$BC,38,0)</f>
        <v>0</v>
      </c>
      <c r="P432" s="2">
        <f>VLOOKUP($C432,'[10]for slip'!$F:$BC,39,0)</f>
        <v>38000</v>
      </c>
      <c r="Q432" s="2">
        <f>VLOOKUP($C432,'[10]for slip'!$F:$BC,40,0)</f>
        <v>31700</v>
      </c>
      <c r="R432" s="2">
        <f>VLOOKUP($C432,'[10]for slip'!$F:$BC,41,0)</f>
        <v>2591500</v>
      </c>
      <c r="S432" s="2">
        <f>VLOOKUP($C432,'[10]for slip'!$F:$BC,42,0)</f>
        <v>0</v>
      </c>
      <c r="T432" s="2">
        <f>VLOOKUP($C432,'[10]for slip'!$F:$BC,43,0)</f>
        <v>69946.75</v>
      </c>
      <c r="U432" s="2">
        <f>VLOOKUP($C432,'[10]for slip'!$F:$BC,44,0)</f>
        <v>139893.5</v>
      </c>
      <c r="V432" s="2">
        <f>VLOOKUP($C432,'[10]for slip'!$F:$BC,45,0)</f>
        <v>69946.75</v>
      </c>
      <c r="W432" s="2">
        <f>VLOOKUP($C432,'[10]for slip'!$F:$BC,48,0)</f>
        <v>58273.273168749991</v>
      </c>
    </row>
    <row r="433" spans="1:23" x14ac:dyDescent="0.25">
      <c r="A433" s="1">
        <v>432</v>
      </c>
      <c r="B433" s="2" t="s">
        <v>885</v>
      </c>
      <c r="C433" s="2" t="s">
        <v>886</v>
      </c>
      <c r="D433" s="2" t="str">
        <f>VLOOKUP($C433,'[10]for slip'!$F:$BC,3,0)</f>
        <v>Leader</v>
      </c>
      <c r="E433" s="2" t="str">
        <f>VLOOKUP($C433,'[10]for slip'!$F:$BC,4,0)</f>
        <v>PPIC</v>
      </c>
      <c r="F433" s="2">
        <f>VLOOKUP($C433,'[10]for slip'!$F:$BC,14,0)</f>
        <v>5343083</v>
      </c>
      <c r="G433" s="2">
        <f>VLOOKUP($C433,'[10]for slip'!$F:$BC,15,0)</f>
        <v>500000</v>
      </c>
      <c r="H433" s="2">
        <f>VLOOKUP($C433,'[10]for slip'!$F:$BC,16,0)</f>
        <v>0</v>
      </c>
      <c r="I433" s="2">
        <f>VLOOKUP($C433,'[10]for slip'!$F:$BC,17,0)</f>
        <v>215778</v>
      </c>
      <c r="J433" s="2">
        <f>VLOOKUP($C433,'[10]for slip'!$F:$BC,27,0)</f>
        <v>0</v>
      </c>
      <c r="K433" s="2">
        <f>VLOOKUP($C433,'[10]for slip'!$F:$BC,31,0)</f>
        <v>0</v>
      </c>
      <c r="L433" s="2">
        <f>VLOOKUP($C433,'[10]for slip'!$F:$BC,35,0)</f>
        <v>69098.62765525002</v>
      </c>
      <c r="M433" s="2">
        <f>VLOOKUP($C433,'[10]for slip'!$F:$BC,36,0)</f>
        <v>0</v>
      </c>
      <c r="N433" s="2">
        <f>VLOOKUP($C433,'[10]for slip'!$F:$BC,37,0)</f>
        <v>0</v>
      </c>
      <c r="O433" s="2">
        <f>VLOOKUP($C433,'[10]for slip'!$F:$BC,38,0)</f>
        <v>0</v>
      </c>
      <c r="P433" s="2">
        <f>VLOOKUP($C433,'[10]for slip'!$F:$BC,39,0)</f>
        <v>0</v>
      </c>
      <c r="Q433" s="2">
        <f>VLOOKUP($C433,'[10]for slip'!$F:$BC,40,0)</f>
        <v>31700</v>
      </c>
      <c r="R433" s="2">
        <f>VLOOKUP($C433,'[10]for slip'!$F:$BC,41,0)</f>
        <v>0</v>
      </c>
      <c r="S433" s="2">
        <f>VLOOKUP($C433,'[10]for slip'!$F:$BC,42,0)</f>
        <v>0</v>
      </c>
      <c r="T433" s="2">
        <f>VLOOKUP($C433,'[10]for slip'!$F:$BC,43,0)</f>
        <v>60588.61</v>
      </c>
      <c r="U433" s="2">
        <f>VLOOKUP($C433,'[10]for slip'!$F:$BC,44,0)</f>
        <v>121177.22</v>
      </c>
      <c r="V433" s="2">
        <f>VLOOKUP($C433,'[10]for slip'!$F:$BC,45,0)</f>
        <v>60588.61</v>
      </c>
      <c r="W433" s="2">
        <f>VLOOKUP($C433,'[10]for slip'!$F:$BC,48,0)</f>
        <v>69098.62765525002</v>
      </c>
    </row>
    <row r="434" spans="1:23" x14ac:dyDescent="0.25">
      <c r="A434" s="1">
        <v>433</v>
      </c>
      <c r="B434" s="2" t="s">
        <v>887</v>
      </c>
      <c r="C434" s="2" t="s">
        <v>888</v>
      </c>
      <c r="D434" s="2" t="str">
        <f>VLOOKUP($C434,'[10]for slip'!$F:$BC,3,0)</f>
        <v>Leader</v>
      </c>
      <c r="E434" s="2" t="str">
        <f>VLOOKUP($C434,'[10]for slip'!$F:$BC,4,0)</f>
        <v>PPIC</v>
      </c>
      <c r="F434" s="2">
        <f>VLOOKUP($C434,'[10]for slip'!$F:$BC,14,0)</f>
        <v>5343083</v>
      </c>
      <c r="G434" s="2">
        <f>VLOOKUP($C434,'[10]for slip'!$F:$BC,15,0)</f>
        <v>500000</v>
      </c>
      <c r="H434" s="2">
        <f>VLOOKUP($C434,'[10]for slip'!$F:$BC,16,0)</f>
        <v>0</v>
      </c>
      <c r="I434" s="2">
        <f>VLOOKUP($C434,'[10]for slip'!$F:$BC,17,0)</f>
        <v>0</v>
      </c>
      <c r="J434" s="2">
        <f>VLOOKUP($C434,'[10]for slip'!$F:$BC,27,0)</f>
        <v>0</v>
      </c>
      <c r="K434" s="2">
        <f>VLOOKUP($C434,'[10]for slip'!$F:$BC,31,0)</f>
        <v>0</v>
      </c>
      <c r="L434" s="2">
        <f>VLOOKUP($C434,'[10]for slip'!$F:$BC,35,0)</f>
        <v>2374.7095907499393</v>
      </c>
      <c r="M434" s="2">
        <f>VLOOKUP($C434,'[10]for slip'!$F:$BC,36,0)</f>
        <v>0</v>
      </c>
      <c r="N434" s="2">
        <f>VLOOKUP($C434,'[10]for slip'!$F:$BC,37,0)</f>
        <v>0</v>
      </c>
      <c r="O434" s="2">
        <f>VLOOKUP($C434,'[10]for slip'!$F:$BC,38,0)</f>
        <v>0</v>
      </c>
      <c r="P434" s="2">
        <f>VLOOKUP($C434,'[10]for slip'!$F:$BC,39,0)</f>
        <v>0</v>
      </c>
      <c r="Q434" s="2">
        <f>VLOOKUP($C434,'[10]for slip'!$F:$BC,40,0)</f>
        <v>31700</v>
      </c>
      <c r="R434" s="2">
        <f>VLOOKUP($C434,'[10]for slip'!$F:$BC,41,0)</f>
        <v>0</v>
      </c>
      <c r="S434" s="2">
        <f>VLOOKUP($C434,'[10]for slip'!$F:$BC,42,0)</f>
        <v>0</v>
      </c>
      <c r="T434" s="2">
        <f>VLOOKUP($C434,'[10]for slip'!$F:$BC,43,0)</f>
        <v>58430.83</v>
      </c>
      <c r="U434" s="2">
        <f>VLOOKUP($C434,'[10]for slip'!$F:$BC,44,0)</f>
        <v>116861.66</v>
      </c>
      <c r="V434" s="2">
        <f>VLOOKUP($C434,'[10]for slip'!$F:$BC,45,0)</f>
        <v>58430.83</v>
      </c>
      <c r="W434" s="2">
        <f>VLOOKUP($C434,'[10]for slip'!$F:$BC,48,0)</f>
        <v>2374.7095907499393</v>
      </c>
    </row>
    <row r="435" spans="1:23" x14ac:dyDescent="0.25">
      <c r="A435" s="1">
        <v>434</v>
      </c>
      <c r="B435" s="2" t="s">
        <v>889</v>
      </c>
      <c r="C435" s="2" t="s">
        <v>890</v>
      </c>
      <c r="D435" s="2" t="str">
        <f>VLOOKUP($C435,'[10]for slip'!$F:$BC,3,0)</f>
        <v>Leader</v>
      </c>
      <c r="E435" s="2" t="str">
        <f>VLOOKUP($C435,'[10]for slip'!$F:$BC,4,0)</f>
        <v>PPIC</v>
      </c>
      <c r="F435" s="2">
        <f>VLOOKUP($C435,'[10]for slip'!$F:$BC,14,0)</f>
        <v>5343083</v>
      </c>
      <c r="G435" s="2">
        <f>VLOOKUP($C435,'[10]for slip'!$F:$BC,15,0)</f>
        <v>235300</v>
      </c>
      <c r="H435" s="2">
        <f>VLOOKUP($C435,'[10]for slip'!$F:$BC,16,0)</f>
        <v>0</v>
      </c>
      <c r="I435" s="2">
        <f>VLOOKUP($C435,'[10]for slip'!$F:$BC,17,0)</f>
        <v>0</v>
      </c>
      <c r="J435" s="2">
        <f>VLOOKUP($C435,'[10]for slip'!$F:$BC,27,0)</f>
        <v>0</v>
      </c>
      <c r="K435" s="2">
        <f>VLOOKUP($C435,'[10]for slip'!$F:$BC,31,0)</f>
        <v>0</v>
      </c>
      <c r="L435" s="2">
        <f>VLOOKUP($C435,'[10]for slip'!$F:$BC,35,0)</f>
        <v>0</v>
      </c>
      <c r="M435" s="2">
        <f>VLOOKUP($C435,'[10]for slip'!$F:$BC,36,0)</f>
        <v>0</v>
      </c>
      <c r="N435" s="2">
        <f>VLOOKUP($C435,'[10]for slip'!$F:$BC,37,0)</f>
        <v>0</v>
      </c>
      <c r="O435" s="2">
        <f>VLOOKUP($C435,'[10]for slip'!$F:$BC,38,0)</f>
        <v>0</v>
      </c>
      <c r="P435" s="2">
        <f>VLOOKUP($C435,'[10]for slip'!$F:$BC,39,0)</f>
        <v>38000</v>
      </c>
      <c r="Q435" s="2">
        <f>VLOOKUP($C435,'[10]for slip'!$F:$BC,40,0)</f>
        <v>31700</v>
      </c>
      <c r="R435" s="2">
        <f>VLOOKUP($C435,'[10]for slip'!$F:$BC,41,0)</f>
        <v>0</v>
      </c>
      <c r="S435" s="2">
        <f>VLOOKUP($C435,'[10]for slip'!$F:$BC,42,0)</f>
        <v>10000</v>
      </c>
      <c r="T435" s="2">
        <f>VLOOKUP($C435,'[10]for slip'!$F:$BC,43,0)</f>
        <v>55783.83</v>
      </c>
      <c r="U435" s="2">
        <f>VLOOKUP($C435,'[10]for slip'!$F:$BC,44,0)</f>
        <v>111567.66</v>
      </c>
      <c r="V435" s="2">
        <f>VLOOKUP($C435,'[10]for slip'!$F:$BC,45,0)</f>
        <v>55783.83</v>
      </c>
      <c r="W435" s="2">
        <f>VLOOKUP($C435,'[10]for slip'!$F:$BC,48,0)</f>
        <v>0</v>
      </c>
    </row>
    <row r="436" spans="1:23" x14ac:dyDescent="0.25">
      <c r="A436" s="1">
        <v>435</v>
      </c>
      <c r="B436" s="2" t="s">
        <v>891</v>
      </c>
      <c r="C436" s="2" t="s">
        <v>892</v>
      </c>
      <c r="D436" s="2" t="str">
        <f>VLOOKUP($C436,'[10]for slip'!$F:$BC,3,0)</f>
        <v>Leader</v>
      </c>
      <c r="E436" s="2" t="str">
        <f>VLOOKUP($C436,'[10]for slip'!$F:$BC,4,0)</f>
        <v>PPIC</v>
      </c>
      <c r="F436" s="2">
        <f>VLOOKUP($C436,'[10]for slip'!$F:$BC,14,0)</f>
        <v>5343083</v>
      </c>
      <c r="G436" s="2">
        <f>VLOOKUP($C436,'[10]for slip'!$F:$BC,15,0)</f>
        <v>400000</v>
      </c>
      <c r="H436" s="2">
        <f>VLOOKUP($C436,'[10]for slip'!$F:$BC,16,0)</f>
        <v>0</v>
      </c>
      <c r="I436" s="2">
        <f>VLOOKUP($C436,'[10]for slip'!$F:$BC,17,0)</f>
        <v>0</v>
      </c>
      <c r="J436" s="2">
        <f>VLOOKUP($C436,'[10]for slip'!$F:$BC,27,0)</f>
        <v>0</v>
      </c>
      <c r="K436" s="2">
        <f>VLOOKUP($C436,'[10]for slip'!$F:$BC,31,0)</f>
        <v>0</v>
      </c>
      <c r="L436" s="2">
        <f>VLOOKUP($C436,'[10]for slip'!$F:$BC,35,0)</f>
        <v>0</v>
      </c>
      <c r="M436" s="2">
        <f>VLOOKUP($C436,'[10]for slip'!$F:$BC,36,0)</f>
        <v>0</v>
      </c>
      <c r="N436" s="2">
        <f>VLOOKUP($C436,'[10]for slip'!$F:$BC,37,0)</f>
        <v>0</v>
      </c>
      <c r="O436" s="2">
        <f>VLOOKUP($C436,'[10]for slip'!$F:$BC,38,0)</f>
        <v>0</v>
      </c>
      <c r="P436" s="2">
        <f>VLOOKUP($C436,'[10]for slip'!$F:$BC,39,0)</f>
        <v>0</v>
      </c>
      <c r="Q436" s="2">
        <f>VLOOKUP($C436,'[10]for slip'!$F:$BC,40,0)</f>
        <v>31700</v>
      </c>
      <c r="R436" s="2">
        <f>VLOOKUP($C436,'[10]for slip'!$F:$BC,41,0)</f>
        <v>0</v>
      </c>
      <c r="S436" s="2">
        <f>VLOOKUP($C436,'[10]for slip'!$F:$BC,42,0)</f>
        <v>0</v>
      </c>
      <c r="T436" s="2">
        <f>VLOOKUP($C436,'[10]for slip'!$F:$BC,43,0)</f>
        <v>57430.83</v>
      </c>
      <c r="U436" s="2">
        <f>VLOOKUP($C436,'[10]for slip'!$F:$BC,44,0)</f>
        <v>114861.66</v>
      </c>
      <c r="V436" s="2">
        <f>VLOOKUP($C436,'[10]for slip'!$F:$BC,45,0)</f>
        <v>57430.83</v>
      </c>
      <c r="W436" s="2">
        <f>VLOOKUP($C436,'[10]for slip'!$F:$BC,48,0)</f>
        <v>0</v>
      </c>
    </row>
    <row r="437" spans="1:23" x14ac:dyDescent="0.25">
      <c r="A437" s="1">
        <v>436</v>
      </c>
      <c r="B437" s="2" t="s">
        <v>893</v>
      </c>
      <c r="C437" s="2" t="s">
        <v>894</v>
      </c>
      <c r="D437" s="2" t="str">
        <f>VLOOKUP($C437,'[10]for slip'!$F:$BC,3,0)</f>
        <v>Leader</v>
      </c>
      <c r="E437" s="2" t="str">
        <f>VLOOKUP($C437,'[10]for slip'!$F:$BC,4,0)</f>
        <v>PPIC</v>
      </c>
      <c r="F437" s="2">
        <f>VLOOKUP($C437,'[10]for slip'!$F:$BC,14,0)</f>
        <v>5343083</v>
      </c>
      <c r="G437" s="2">
        <f>VLOOKUP($C437,'[10]for slip'!$F:$BC,15,0)</f>
        <v>500000</v>
      </c>
      <c r="H437" s="2">
        <f>VLOOKUP($C437,'[10]for slip'!$F:$BC,16,0)</f>
        <v>256917</v>
      </c>
      <c r="I437" s="2">
        <f>VLOOKUP($C437,'[10]for slip'!$F:$BC,17,0)</f>
        <v>0</v>
      </c>
      <c r="J437" s="2">
        <f>VLOOKUP($C437,'[10]for slip'!$F:$BC,27,0)</f>
        <v>0</v>
      </c>
      <c r="K437" s="2">
        <f>VLOOKUP($C437,'[10]for slip'!$F:$BC,31,0)</f>
        <v>0</v>
      </c>
      <c r="L437" s="2">
        <f>VLOOKUP($C437,'[10]for slip'!$F:$BC,35,0)</f>
        <v>14167.382700000022</v>
      </c>
      <c r="M437" s="2">
        <f>VLOOKUP($C437,'[10]for slip'!$F:$BC,36,0)</f>
        <v>0</v>
      </c>
      <c r="N437" s="2">
        <f>VLOOKUP($C437,'[10]for slip'!$F:$BC,37,0)</f>
        <v>0</v>
      </c>
      <c r="O437" s="2">
        <f>VLOOKUP($C437,'[10]for slip'!$F:$BC,38,0)</f>
        <v>0</v>
      </c>
      <c r="P437" s="2">
        <f>VLOOKUP($C437,'[10]for slip'!$F:$BC,39,0)</f>
        <v>38000</v>
      </c>
      <c r="Q437" s="2">
        <f>VLOOKUP($C437,'[10]for slip'!$F:$BC,40,0)</f>
        <v>31700</v>
      </c>
      <c r="R437" s="2">
        <f>VLOOKUP($C437,'[10]for slip'!$F:$BC,41,0)</f>
        <v>0</v>
      </c>
      <c r="S437" s="2">
        <f>VLOOKUP($C437,'[10]for slip'!$F:$BC,42,0)</f>
        <v>10000</v>
      </c>
      <c r="T437" s="2">
        <f>VLOOKUP($C437,'[10]for slip'!$F:$BC,43,0)</f>
        <v>57430.83</v>
      </c>
      <c r="U437" s="2">
        <f>VLOOKUP($C437,'[10]for slip'!$F:$BC,44,0)</f>
        <v>122000</v>
      </c>
      <c r="V437" s="2">
        <f>VLOOKUP($C437,'[10]for slip'!$F:$BC,45,0)</f>
        <v>61000</v>
      </c>
      <c r="W437" s="2">
        <f>VLOOKUP($C437,'[10]for slip'!$F:$BC,48,0)</f>
        <v>14167.382700000022</v>
      </c>
    </row>
    <row r="438" spans="1:23" x14ac:dyDescent="0.25">
      <c r="A438" s="1">
        <v>437</v>
      </c>
      <c r="B438" s="2" t="s">
        <v>895</v>
      </c>
      <c r="C438" s="2" t="s">
        <v>896</v>
      </c>
      <c r="D438" s="2" t="str">
        <f>VLOOKUP($C438,'[10]for slip'!$F:$BC,3,0)</f>
        <v>Leader</v>
      </c>
      <c r="E438" s="2" t="str">
        <f>VLOOKUP($C438,'[10]for slip'!$F:$BC,4,0)</f>
        <v>PPIC</v>
      </c>
      <c r="F438" s="2">
        <f>VLOOKUP($C438,'[10]for slip'!$F:$BC,14,0)</f>
        <v>5343083</v>
      </c>
      <c r="G438" s="2">
        <f>VLOOKUP($C438,'[10]for slip'!$F:$BC,15,0)</f>
        <v>500000</v>
      </c>
      <c r="H438" s="2">
        <f>VLOOKUP($C438,'[10]for slip'!$F:$BC,16,0)</f>
        <v>656917</v>
      </c>
      <c r="I438" s="2">
        <f>VLOOKUP($C438,'[10]for slip'!$F:$BC,17,0)</f>
        <v>200000</v>
      </c>
      <c r="J438" s="2">
        <f>VLOOKUP($C438,'[10]for slip'!$F:$BC,27,0)</f>
        <v>0</v>
      </c>
      <c r="K438" s="2">
        <f>VLOOKUP($C438,'[10]for slip'!$F:$BC,31,0)</f>
        <v>0</v>
      </c>
      <c r="L438" s="2">
        <f>VLOOKUP($C438,'[10]for slip'!$F:$BC,35,0)</f>
        <v>98211.532700000025</v>
      </c>
      <c r="M438" s="2">
        <f>VLOOKUP($C438,'[10]for slip'!$F:$BC,36,0)</f>
        <v>0</v>
      </c>
      <c r="N438" s="2">
        <f>VLOOKUP($C438,'[10]for slip'!$F:$BC,37,0)</f>
        <v>0</v>
      </c>
      <c r="O438" s="2">
        <f>VLOOKUP($C438,'[10]for slip'!$F:$BC,38,0)</f>
        <v>0</v>
      </c>
      <c r="P438" s="2">
        <f>VLOOKUP($C438,'[10]for slip'!$F:$BC,39,0)</f>
        <v>38000</v>
      </c>
      <c r="Q438" s="2">
        <f>VLOOKUP($C438,'[10]for slip'!$F:$BC,40,0)</f>
        <v>31700</v>
      </c>
      <c r="R438" s="2">
        <f>VLOOKUP($C438,'[10]for slip'!$F:$BC,41,0)</f>
        <v>0</v>
      </c>
      <c r="S438" s="2">
        <f>VLOOKUP($C438,'[10]for slip'!$F:$BC,42,0)</f>
        <v>0</v>
      </c>
      <c r="T438" s="2">
        <f>VLOOKUP($C438,'[10]for slip'!$F:$BC,43,0)</f>
        <v>56430.83</v>
      </c>
      <c r="U438" s="2">
        <f>VLOOKUP($C438,'[10]for slip'!$F:$BC,44,0)</f>
        <v>134000</v>
      </c>
      <c r="V438" s="2">
        <f>VLOOKUP($C438,'[10]for slip'!$F:$BC,45,0)</f>
        <v>67000</v>
      </c>
      <c r="W438" s="2">
        <f>VLOOKUP($C438,'[10]for slip'!$F:$BC,48,0)</f>
        <v>98211.532700000025</v>
      </c>
    </row>
    <row r="439" spans="1:23" x14ac:dyDescent="0.25">
      <c r="A439" s="1">
        <v>438</v>
      </c>
      <c r="B439" s="2" t="s">
        <v>897</v>
      </c>
      <c r="C439" s="2" t="s">
        <v>898</v>
      </c>
      <c r="D439" s="2" t="str">
        <f>VLOOKUP($C439,'[10]for slip'!$F:$BC,3,0)</f>
        <v>Staff</v>
      </c>
      <c r="E439" s="2" t="str">
        <f>VLOOKUP($C439,'[10]for slip'!$F:$BC,4,0)</f>
        <v>PPIC</v>
      </c>
      <c r="F439" s="2">
        <f>VLOOKUP($C439,'[10]for slip'!$F:$BC,14,0)</f>
        <v>5343083</v>
      </c>
      <c r="G439" s="2">
        <f>VLOOKUP($C439,'[10]for slip'!$F:$BC,15,0)</f>
        <v>0</v>
      </c>
      <c r="H439" s="2">
        <f>VLOOKUP($C439,'[10]for slip'!$F:$BC,16,0)</f>
        <v>0</v>
      </c>
      <c r="I439" s="2">
        <f>VLOOKUP($C439,'[10]for slip'!$F:$BC,17,0)</f>
        <v>0</v>
      </c>
      <c r="J439" s="2">
        <f>VLOOKUP($C439,'[10]for slip'!$F:$BC,27,0)</f>
        <v>0</v>
      </c>
      <c r="K439" s="2">
        <f>VLOOKUP($C439,'[10]for slip'!$F:$BC,31,0)</f>
        <v>0</v>
      </c>
      <c r="L439" s="2">
        <f>VLOOKUP($C439,'[10]for slip'!$F:$BC,35,0)</f>
        <v>34354.584590750004</v>
      </c>
      <c r="M439" s="2">
        <f>VLOOKUP($C439,'[10]for slip'!$F:$BC,36,0)</f>
        <v>0</v>
      </c>
      <c r="N439" s="2">
        <f>VLOOKUP($C439,'[10]for slip'!$F:$BC,37,0)</f>
        <v>0</v>
      </c>
      <c r="O439" s="2">
        <f>VLOOKUP($C439,'[10]for slip'!$F:$BC,38,0)</f>
        <v>0</v>
      </c>
      <c r="P439" s="2">
        <f>VLOOKUP($C439,'[10]for slip'!$F:$BC,39,0)</f>
        <v>0</v>
      </c>
      <c r="Q439" s="2">
        <f>VLOOKUP($C439,'[10]for slip'!$F:$BC,40,0)</f>
        <v>31700</v>
      </c>
      <c r="R439" s="2">
        <f>VLOOKUP($C439,'[10]for slip'!$F:$BC,41,0)</f>
        <v>0</v>
      </c>
      <c r="S439" s="2">
        <f>VLOOKUP($C439,'[10]for slip'!$F:$BC,42,0)</f>
        <v>10000</v>
      </c>
      <c r="T439" s="2">
        <f>VLOOKUP($C439,'[10]for slip'!$F:$BC,43,0)</f>
        <v>106861.66</v>
      </c>
      <c r="U439" s="2">
        <f>VLOOKUP($C439,'[10]for slip'!$F:$BC,44,0)</f>
        <v>106861.66</v>
      </c>
      <c r="V439" s="2">
        <f>VLOOKUP($C439,'[10]for slip'!$F:$BC,45,0)</f>
        <v>53430.83</v>
      </c>
      <c r="W439" s="2">
        <f>VLOOKUP($C439,'[10]for slip'!$F:$BC,48,0)</f>
        <v>34354.584590750004</v>
      </c>
    </row>
    <row r="440" spans="1:23" x14ac:dyDescent="0.25">
      <c r="A440" s="1">
        <v>439</v>
      </c>
      <c r="B440" s="2" t="s">
        <v>899</v>
      </c>
      <c r="C440" s="2" t="s">
        <v>900</v>
      </c>
      <c r="D440" s="2" t="str">
        <f>VLOOKUP($C440,'[10]for slip'!$F:$BC,3,0)</f>
        <v>Pelaksana</v>
      </c>
      <c r="E440" s="2" t="str">
        <f>VLOOKUP($C440,'[10]for slip'!$F:$BC,4,0)</f>
        <v>PPIC</v>
      </c>
      <c r="F440" s="2">
        <f>VLOOKUP($C440,'[10]for slip'!$F:$BC,14,0)</f>
        <v>5343083</v>
      </c>
      <c r="G440" s="2">
        <f>VLOOKUP($C440,'[10]for slip'!$F:$BC,15,0)</f>
        <v>0</v>
      </c>
      <c r="H440" s="2">
        <f>VLOOKUP($C440,'[10]for slip'!$F:$BC,16,0)</f>
        <v>0</v>
      </c>
      <c r="I440" s="2">
        <f>VLOOKUP($C440,'[10]for slip'!$F:$BC,17,0)</f>
        <v>0</v>
      </c>
      <c r="J440" s="2">
        <f>VLOOKUP($C440,'[10]for slip'!$F:$BC,27,0)</f>
        <v>0</v>
      </c>
      <c r="K440" s="2">
        <f>VLOOKUP($C440,'[10]for slip'!$F:$BC,31,0)</f>
        <v>0</v>
      </c>
      <c r="L440" s="2">
        <f>VLOOKUP($C440,'[10]for slip'!$F:$BC,35,0)</f>
        <v>34354.584590750004</v>
      </c>
      <c r="M440" s="2">
        <f>VLOOKUP($C440,'[10]for slip'!$F:$BC,36,0)</f>
        <v>0</v>
      </c>
      <c r="N440" s="2">
        <f>VLOOKUP($C440,'[10]for slip'!$F:$BC,37,0)</f>
        <v>0</v>
      </c>
      <c r="O440" s="2">
        <f>VLOOKUP($C440,'[10]for slip'!$F:$BC,38,0)</f>
        <v>0</v>
      </c>
      <c r="P440" s="2">
        <f>VLOOKUP($C440,'[10]for slip'!$F:$BC,39,0)</f>
        <v>38000</v>
      </c>
      <c r="Q440" s="2">
        <f>VLOOKUP($C440,'[10]for slip'!$F:$BC,40,0)</f>
        <v>31700</v>
      </c>
      <c r="R440" s="2">
        <f>VLOOKUP($C440,'[10]for slip'!$F:$BC,41,0)</f>
        <v>0</v>
      </c>
      <c r="S440" s="2">
        <f>VLOOKUP($C440,'[10]for slip'!$F:$BC,42,0)</f>
        <v>0</v>
      </c>
      <c r="T440" s="2">
        <f>VLOOKUP($C440,'[10]for slip'!$F:$BC,43,0)</f>
        <v>53430.83</v>
      </c>
      <c r="U440" s="2">
        <f>VLOOKUP($C440,'[10]for slip'!$F:$BC,44,0)</f>
        <v>106861.66</v>
      </c>
      <c r="V440" s="2">
        <f>VLOOKUP($C440,'[10]for slip'!$F:$BC,45,0)</f>
        <v>53430.83</v>
      </c>
      <c r="W440" s="2">
        <f>VLOOKUP($C440,'[10]for slip'!$F:$BC,48,0)</f>
        <v>34354.584590750004</v>
      </c>
    </row>
    <row r="441" spans="1:23" x14ac:dyDescent="0.25">
      <c r="A441" s="1">
        <v>440</v>
      </c>
      <c r="B441" s="2" t="s">
        <v>901</v>
      </c>
      <c r="C441" s="2" t="s">
        <v>902</v>
      </c>
      <c r="D441" s="2" t="str">
        <f>VLOOKUP($C441,'[10]for slip'!$F:$BC,3,0)</f>
        <v>Pelaksana</v>
      </c>
      <c r="E441" s="2" t="str">
        <f>VLOOKUP($C441,'[10]for slip'!$F:$BC,4,0)</f>
        <v>PPIC</v>
      </c>
      <c r="F441" s="2">
        <f>VLOOKUP($C441,'[10]for slip'!$F:$BC,14,0)</f>
        <v>5343083</v>
      </c>
      <c r="G441" s="2">
        <f>VLOOKUP($C441,'[10]for slip'!$F:$BC,15,0)</f>
        <v>0</v>
      </c>
      <c r="H441" s="2">
        <f>VLOOKUP($C441,'[10]for slip'!$F:$BC,16,0)</f>
        <v>0</v>
      </c>
      <c r="I441" s="2">
        <f>VLOOKUP($C441,'[10]for slip'!$F:$BC,17,0)</f>
        <v>0</v>
      </c>
      <c r="J441" s="2">
        <f>VLOOKUP($C441,'[10]for slip'!$F:$BC,27,0)</f>
        <v>0</v>
      </c>
      <c r="K441" s="2">
        <f>VLOOKUP($C441,'[10]for slip'!$F:$BC,31,0)</f>
        <v>0</v>
      </c>
      <c r="L441" s="2">
        <f>VLOOKUP($C441,'[10]for slip'!$F:$BC,35,0)</f>
        <v>0</v>
      </c>
      <c r="M441" s="2">
        <f>VLOOKUP($C441,'[10]for slip'!$F:$BC,36,0)</f>
        <v>0</v>
      </c>
      <c r="N441" s="2">
        <f>VLOOKUP($C441,'[10]for slip'!$F:$BC,37,0)</f>
        <v>0</v>
      </c>
      <c r="O441" s="2">
        <f>VLOOKUP($C441,'[10]for slip'!$F:$BC,38,0)</f>
        <v>0</v>
      </c>
      <c r="P441" s="2">
        <f>VLOOKUP($C441,'[10]for slip'!$F:$BC,39,0)</f>
        <v>38000</v>
      </c>
      <c r="Q441" s="2">
        <f>VLOOKUP($C441,'[10]for slip'!$F:$BC,40,0)</f>
        <v>31700</v>
      </c>
      <c r="R441" s="2">
        <f>VLOOKUP($C441,'[10]for slip'!$F:$BC,41,0)</f>
        <v>0</v>
      </c>
      <c r="S441" s="2">
        <f>VLOOKUP($C441,'[10]for slip'!$F:$BC,42,0)</f>
        <v>0</v>
      </c>
      <c r="T441" s="2">
        <f>VLOOKUP($C441,'[10]for slip'!$F:$BC,43,0)</f>
        <v>53430.83</v>
      </c>
      <c r="U441" s="2">
        <f>VLOOKUP($C441,'[10]for slip'!$F:$BC,44,0)</f>
        <v>106861.66</v>
      </c>
      <c r="V441" s="2">
        <f>VLOOKUP($C441,'[10]for slip'!$F:$BC,45,0)</f>
        <v>53430.83</v>
      </c>
      <c r="W441" s="2">
        <f>VLOOKUP($C441,'[10]for slip'!$F:$BC,48,0)</f>
        <v>0</v>
      </c>
    </row>
    <row r="442" spans="1:23" x14ac:dyDescent="0.25">
      <c r="A442" s="1">
        <v>441</v>
      </c>
      <c r="B442" s="2" t="s">
        <v>903</v>
      </c>
      <c r="C442" s="2" t="s">
        <v>904</v>
      </c>
      <c r="D442" s="2" t="str">
        <f>VLOOKUP($C442,'[10]for slip'!$F:$BC,3,0)</f>
        <v>Pelaksana</v>
      </c>
      <c r="E442" s="2" t="str">
        <f>VLOOKUP($C442,'[10]for slip'!$F:$BC,4,0)</f>
        <v>PPIC</v>
      </c>
      <c r="F442" s="2">
        <f>VLOOKUP($C442,'[10]for slip'!$F:$BC,14,0)</f>
        <v>5343083</v>
      </c>
      <c r="G442" s="2">
        <f>VLOOKUP($C442,'[10]for slip'!$F:$BC,15,0)</f>
        <v>0</v>
      </c>
      <c r="H442" s="2">
        <f>VLOOKUP($C442,'[10]for slip'!$F:$BC,16,0)</f>
        <v>0</v>
      </c>
      <c r="I442" s="2">
        <f>VLOOKUP($C442,'[10]for slip'!$F:$BC,17,0)</f>
        <v>0</v>
      </c>
      <c r="J442" s="2">
        <f>VLOOKUP($C442,'[10]for slip'!$F:$BC,27,0)</f>
        <v>0</v>
      </c>
      <c r="K442" s="2">
        <f>VLOOKUP($C442,'[10]for slip'!$F:$BC,31,0)</f>
        <v>0</v>
      </c>
      <c r="L442" s="2">
        <f>VLOOKUP($C442,'[10]for slip'!$F:$BC,35,0)</f>
        <v>0</v>
      </c>
      <c r="M442" s="2">
        <f>VLOOKUP($C442,'[10]for slip'!$F:$BC,36,0)</f>
        <v>0</v>
      </c>
      <c r="N442" s="2">
        <f>VLOOKUP($C442,'[10]for slip'!$F:$BC,37,0)</f>
        <v>0</v>
      </c>
      <c r="O442" s="2">
        <f>VLOOKUP($C442,'[10]for slip'!$F:$BC,38,0)</f>
        <v>0</v>
      </c>
      <c r="P442" s="2">
        <f>VLOOKUP($C442,'[10]for slip'!$F:$BC,39,0)</f>
        <v>38000</v>
      </c>
      <c r="Q442" s="2">
        <f>VLOOKUP($C442,'[10]for slip'!$F:$BC,40,0)</f>
        <v>31700</v>
      </c>
      <c r="R442" s="2">
        <f>VLOOKUP($C442,'[10]for slip'!$F:$BC,41,0)</f>
        <v>0</v>
      </c>
      <c r="S442" s="2">
        <f>VLOOKUP($C442,'[10]for slip'!$F:$BC,42,0)</f>
        <v>10000</v>
      </c>
      <c r="T442" s="2">
        <f>VLOOKUP($C442,'[10]for slip'!$F:$BC,43,0)</f>
        <v>53430.83</v>
      </c>
      <c r="U442" s="2">
        <f>VLOOKUP($C442,'[10]for slip'!$F:$BC,44,0)</f>
        <v>106861.66</v>
      </c>
      <c r="V442" s="2">
        <f>VLOOKUP($C442,'[10]for slip'!$F:$BC,45,0)</f>
        <v>53430.83</v>
      </c>
      <c r="W442" s="2">
        <f>VLOOKUP($C442,'[10]for slip'!$F:$BC,48,0)</f>
        <v>0</v>
      </c>
    </row>
    <row r="443" spans="1:23" x14ac:dyDescent="0.25">
      <c r="A443" s="1">
        <v>442</v>
      </c>
      <c r="B443" s="2" t="s">
        <v>905</v>
      </c>
      <c r="C443" s="2" t="s">
        <v>906</v>
      </c>
      <c r="D443" s="2" t="str">
        <f>VLOOKUP($C443,'[10]for slip'!$F:$BC,3,0)</f>
        <v>Pelaksana</v>
      </c>
      <c r="E443" s="2" t="str">
        <f>VLOOKUP($C443,'[10]for slip'!$F:$BC,4,0)</f>
        <v>PPIC</v>
      </c>
      <c r="F443" s="2">
        <f>VLOOKUP($C443,'[10]for slip'!$F:$BC,14,0)</f>
        <v>5343083</v>
      </c>
      <c r="G443" s="2">
        <f>VLOOKUP($C443,'[10]for slip'!$F:$BC,15,0)</f>
        <v>0</v>
      </c>
      <c r="H443" s="2">
        <f>VLOOKUP($C443,'[10]for slip'!$F:$BC,16,0)</f>
        <v>0</v>
      </c>
      <c r="I443" s="2">
        <f>VLOOKUP($C443,'[10]for slip'!$F:$BC,17,0)</f>
        <v>0</v>
      </c>
      <c r="J443" s="2">
        <f>VLOOKUP($C443,'[10]for slip'!$F:$BC,27,0)</f>
        <v>0</v>
      </c>
      <c r="K443" s="2">
        <f>VLOOKUP($C443,'[10]for slip'!$F:$BC,31,0)</f>
        <v>0</v>
      </c>
      <c r="L443" s="2">
        <f>VLOOKUP($C443,'[10]for slip'!$F:$BC,35,0)</f>
        <v>34354.584590750004</v>
      </c>
      <c r="M443" s="2">
        <f>VLOOKUP($C443,'[10]for slip'!$F:$BC,36,0)</f>
        <v>0</v>
      </c>
      <c r="N443" s="2">
        <f>VLOOKUP($C443,'[10]for slip'!$F:$BC,37,0)</f>
        <v>0</v>
      </c>
      <c r="O443" s="2">
        <f>VLOOKUP($C443,'[10]for slip'!$F:$BC,38,0)</f>
        <v>0</v>
      </c>
      <c r="P443" s="2">
        <f>VLOOKUP($C443,'[10]for slip'!$F:$BC,39,0)</f>
        <v>38000</v>
      </c>
      <c r="Q443" s="2">
        <f>VLOOKUP($C443,'[10]for slip'!$F:$BC,40,0)</f>
        <v>31700</v>
      </c>
      <c r="R443" s="2">
        <f>VLOOKUP($C443,'[10]for slip'!$F:$BC,41,0)</f>
        <v>0</v>
      </c>
      <c r="S443" s="2">
        <f>VLOOKUP($C443,'[10]for slip'!$F:$BC,42,0)</f>
        <v>0</v>
      </c>
      <c r="T443" s="2">
        <f>VLOOKUP($C443,'[10]for slip'!$F:$BC,43,0)</f>
        <v>53430.83</v>
      </c>
      <c r="U443" s="2">
        <f>VLOOKUP($C443,'[10]for slip'!$F:$BC,44,0)</f>
        <v>106861.66</v>
      </c>
      <c r="V443" s="2">
        <f>VLOOKUP($C443,'[10]for slip'!$F:$BC,45,0)</f>
        <v>53430.83</v>
      </c>
      <c r="W443" s="2">
        <f>VLOOKUP($C443,'[10]for slip'!$F:$BC,48,0)</f>
        <v>34354.584590750004</v>
      </c>
    </row>
    <row r="444" spans="1:23" x14ac:dyDescent="0.25">
      <c r="A444" s="1">
        <v>443</v>
      </c>
      <c r="B444" s="2" t="s">
        <v>907</v>
      </c>
      <c r="C444" s="2" t="s">
        <v>908</v>
      </c>
      <c r="D444" s="2" t="str">
        <f>VLOOKUP($C444,'[10]for slip'!$F:$BC,3,0)</f>
        <v>Pelaksana</v>
      </c>
      <c r="E444" s="2" t="str">
        <f>VLOOKUP($C444,'[10]for slip'!$F:$BC,4,0)</f>
        <v>PPIC</v>
      </c>
      <c r="F444" s="2">
        <f>VLOOKUP($C444,'[10]for slip'!$F:$BC,14,0)</f>
        <v>5343083</v>
      </c>
      <c r="G444" s="2">
        <f>VLOOKUP($C444,'[10]for slip'!$F:$BC,15,0)</f>
        <v>0</v>
      </c>
      <c r="H444" s="2">
        <f>VLOOKUP($C444,'[10]for slip'!$F:$BC,16,0)</f>
        <v>0</v>
      </c>
      <c r="I444" s="2">
        <f>VLOOKUP($C444,'[10]for slip'!$F:$BC,17,0)</f>
        <v>0</v>
      </c>
      <c r="J444" s="2">
        <f>VLOOKUP($C444,'[10]for slip'!$F:$BC,27,0)</f>
        <v>0</v>
      </c>
      <c r="K444" s="2">
        <f>VLOOKUP($C444,'[10]for slip'!$F:$BC,31,0)</f>
        <v>0</v>
      </c>
      <c r="L444" s="2">
        <f>VLOOKUP($C444,'[10]for slip'!$F:$BC,35,0)</f>
        <v>34354.584590750004</v>
      </c>
      <c r="M444" s="2">
        <f>VLOOKUP($C444,'[10]for slip'!$F:$BC,36,0)</f>
        <v>0</v>
      </c>
      <c r="N444" s="2">
        <f>VLOOKUP($C444,'[10]for slip'!$F:$BC,37,0)</f>
        <v>0</v>
      </c>
      <c r="O444" s="2">
        <f>VLOOKUP($C444,'[10]for slip'!$F:$BC,38,0)</f>
        <v>0</v>
      </c>
      <c r="P444" s="2">
        <f>VLOOKUP($C444,'[10]for slip'!$F:$BC,39,0)</f>
        <v>38000</v>
      </c>
      <c r="Q444" s="2">
        <f>VLOOKUP($C444,'[10]for slip'!$F:$BC,40,0)</f>
        <v>31700</v>
      </c>
      <c r="R444" s="2">
        <f>VLOOKUP($C444,'[10]for slip'!$F:$BC,41,0)</f>
        <v>0</v>
      </c>
      <c r="S444" s="2">
        <f>VLOOKUP($C444,'[10]for slip'!$F:$BC,42,0)</f>
        <v>0</v>
      </c>
      <c r="T444" s="2">
        <f>VLOOKUP($C444,'[10]for slip'!$F:$BC,43,0)</f>
        <v>53430.83</v>
      </c>
      <c r="U444" s="2">
        <f>VLOOKUP($C444,'[10]for slip'!$F:$BC,44,0)</f>
        <v>106861.66</v>
      </c>
      <c r="V444" s="2">
        <f>VLOOKUP($C444,'[10]for slip'!$F:$BC,45,0)</f>
        <v>53430.83</v>
      </c>
      <c r="W444" s="2">
        <f>VLOOKUP($C444,'[10]for slip'!$F:$BC,48,0)</f>
        <v>34354.584590750004</v>
      </c>
    </row>
    <row r="445" spans="1:23" x14ac:dyDescent="0.25">
      <c r="A445" s="1">
        <v>444</v>
      </c>
      <c r="B445" s="2" t="s">
        <v>909</v>
      </c>
      <c r="C445" s="2" t="s">
        <v>910</v>
      </c>
      <c r="D445" s="2" t="str">
        <f>VLOOKUP($C445,'[10]for slip'!$F:$BC,3,0)</f>
        <v>Pelaksana</v>
      </c>
      <c r="E445" s="2" t="str">
        <f>VLOOKUP($C445,'[10]for slip'!$F:$BC,4,0)</f>
        <v>PPIC</v>
      </c>
      <c r="F445" s="2">
        <f>VLOOKUP($C445,'[10]for slip'!$F:$BC,14,0)</f>
        <v>5343083</v>
      </c>
      <c r="G445" s="2">
        <f>VLOOKUP($C445,'[10]for slip'!$F:$BC,15,0)</f>
        <v>0</v>
      </c>
      <c r="H445" s="2">
        <f>VLOOKUP($C445,'[10]for slip'!$F:$BC,16,0)</f>
        <v>0</v>
      </c>
      <c r="I445" s="2">
        <f>VLOOKUP($C445,'[10]for slip'!$F:$BC,17,0)</f>
        <v>0</v>
      </c>
      <c r="J445" s="2">
        <f>VLOOKUP($C445,'[10]for slip'!$F:$BC,27,0)</f>
        <v>0</v>
      </c>
      <c r="K445" s="2">
        <f>VLOOKUP($C445,'[10]for slip'!$F:$BC,31,0)</f>
        <v>0</v>
      </c>
      <c r="L445" s="2">
        <f>VLOOKUP($C445,'[10]for slip'!$F:$BC,35,0)</f>
        <v>34354.584590750004</v>
      </c>
      <c r="M445" s="2">
        <f>VLOOKUP($C445,'[10]for slip'!$F:$BC,36,0)</f>
        <v>0</v>
      </c>
      <c r="N445" s="2">
        <f>VLOOKUP($C445,'[10]for slip'!$F:$BC,37,0)</f>
        <v>0</v>
      </c>
      <c r="O445" s="2">
        <f>VLOOKUP($C445,'[10]for slip'!$F:$BC,38,0)</f>
        <v>0</v>
      </c>
      <c r="P445" s="2">
        <f>VLOOKUP($C445,'[10]for slip'!$F:$BC,39,0)</f>
        <v>38000</v>
      </c>
      <c r="Q445" s="2">
        <f>VLOOKUP($C445,'[10]for slip'!$F:$BC,40,0)</f>
        <v>31700</v>
      </c>
      <c r="R445" s="2">
        <f>VLOOKUP($C445,'[10]for slip'!$F:$BC,41,0)</f>
        <v>0</v>
      </c>
      <c r="S445" s="2">
        <f>VLOOKUP($C445,'[10]for slip'!$F:$BC,42,0)</f>
        <v>10000</v>
      </c>
      <c r="T445" s="2">
        <f>VLOOKUP($C445,'[10]for slip'!$F:$BC,43,0)</f>
        <v>53430.83</v>
      </c>
      <c r="U445" s="2">
        <f>VLOOKUP($C445,'[10]for slip'!$F:$BC,44,0)</f>
        <v>106861.66</v>
      </c>
      <c r="V445" s="2">
        <f>VLOOKUP($C445,'[10]for slip'!$F:$BC,45,0)</f>
        <v>53430.83</v>
      </c>
      <c r="W445" s="2">
        <f>VLOOKUP($C445,'[10]for slip'!$F:$BC,48,0)</f>
        <v>34354.584590750004</v>
      </c>
    </row>
    <row r="446" spans="1:23" x14ac:dyDescent="0.25">
      <c r="A446" s="1">
        <v>445</v>
      </c>
      <c r="B446" s="2" t="s">
        <v>911</v>
      </c>
      <c r="C446" s="2" t="s">
        <v>912</v>
      </c>
      <c r="D446" s="2" t="str">
        <f>VLOOKUP($C446,'[10]for slip'!$F:$BC,3,0)</f>
        <v>Pelaksana</v>
      </c>
      <c r="E446" s="2" t="str">
        <f>VLOOKUP($C446,'[10]for slip'!$F:$BC,4,0)</f>
        <v>PPIC</v>
      </c>
      <c r="F446" s="2">
        <f>VLOOKUP($C446,'[10]for slip'!$F:$BC,14,0)</f>
        <v>5343083</v>
      </c>
      <c r="G446" s="2">
        <f>VLOOKUP($C446,'[10]for slip'!$F:$BC,15,0)</f>
        <v>0</v>
      </c>
      <c r="H446" s="2">
        <f>VLOOKUP($C446,'[10]for slip'!$F:$BC,16,0)</f>
        <v>0</v>
      </c>
      <c r="I446" s="2">
        <f>VLOOKUP($C446,'[10]for slip'!$F:$BC,17,0)</f>
        <v>0</v>
      </c>
      <c r="J446" s="2">
        <f>VLOOKUP($C446,'[10]for slip'!$F:$BC,27,0)</f>
        <v>0</v>
      </c>
      <c r="K446" s="2">
        <f>VLOOKUP($C446,'[10]for slip'!$F:$BC,31,0)</f>
        <v>0</v>
      </c>
      <c r="L446" s="2">
        <f>VLOOKUP($C446,'[10]for slip'!$F:$BC,35,0)</f>
        <v>34354.584590750004</v>
      </c>
      <c r="M446" s="2">
        <f>VLOOKUP($C446,'[10]for slip'!$F:$BC,36,0)</f>
        <v>0</v>
      </c>
      <c r="N446" s="2">
        <f>VLOOKUP($C446,'[10]for slip'!$F:$BC,37,0)</f>
        <v>0</v>
      </c>
      <c r="O446" s="2">
        <f>VLOOKUP($C446,'[10]for slip'!$F:$BC,38,0)</f>
        <v>0</v>
      </c>
      <c r="P446" s="2">
        <f>VLOOKUP($C446,'[10]for slip'!$F:$BC,39,0)</f>
        <v>38000</v>
      </c>
      <c r="Q446" s="2">
        <f>VLOOKUP($C446,'[10]for slip'!$F:$BC,40,0)</f>
        <v>31700</v>
      </c>
      <c r="R446" s="2">
        <f>VLOOKUP($C446,'[10]for slip'!$F:$BC,41,0)</f>
        <v>0</v>
      </c>
      <c r="S446" s="2">
        <f>VLOOKUP($C446,'[10]for slip'!$F:$BC,42,0)</f>
        <v>0</v>
      </c>
      <c r="T446" s="2">
        <f>VLOOKUP($C446,'[10]for slip'!$F:$BC,43,0)</f>
        <v>53430.83</v>
      </c>
      <c r="U446" s="2">
        <f>VLOOKUP($C446,'[10]for slip'!$F:$BC,44,0)</f>
        <v>106861.66</v>
      </c>
      <c r="V446" s="2">
        <f>VLOOKUP($C446,'[10]for slip'!$F:$BC,45,0)</f>
        <v>53430.83</v>
      </c>
      <c r="W446" s="2">
        <f>VLOOKUP($C446,'[10]for slip'!$F:$BC,48,0)</f>
        <v>34354.584590750004</v>
      </c>
    </row>
    <row r="447" spans="1:23" x14ac:dyDescent="0.25">
      <c r="A447" s="1">
        <v>446</v>
      </c>
      <c r="B447" s="2" t="s">
        <v>913</v>
      </c>
      <c r="C447" s="2" t="s">
        <v>914</v>
      </c>
      <c r="D447" s="2" t="str">
        <f>VLOOKUP($C447,'[10]for slip'!$F:$BC,3,0)</f>
        <v>Pelaksana</v>
      </c>
      <c r="E447" s="2" t="str">
        <f>VLOOKUP($C447,'[10]for slip'!$F:$BC,4,0)</f>
        <v>PPIC</v>
      </c>
      <c r="F447" s="2">
        <f>VLOOKUP($C447,'[10]for slip'!$F:$BC,14,0)</f>
        <v>5343083</v>
      </c>
      <c r="G447" s="2">
        <f>VLOOKUP($C447,'[10]for slip'!$F:$BC,15,0)</f>
        <v>0</v>
      </c>
      <c r="H447" s="2">
        <f>VLOOKUP($C447,'[10]for slip'!$F:$BC,16,0)</f>
        <v>0</v>
      </c>
      <c r="I447" s="2">
        <f>VLOOKUP($C447,'[10]for slip'!$F:$BC,17,0)</f>
        <v>0</v>
      </c>
      <c r="J447" s="2">
        <f>VLOOKUP($C447,'[10]for slip'!$F:$BC,27,0)</f>
        <v>0</v>
      </c>
      <c r="K447" s="2">
        <f>VLOOKUP($C447,'[10]for slip'!$F:$BC,31,0)</f>
        <v>0</v>
      </c>
      <c r="L447" s="2">
        <f>VLOOKUP($C447,'[10]for slip'!$F:$BC,35,0)</f>
        <v>15604.584590750002</v>
      </c>
      <c r="M447" s="2">
        <f>VLOOKUP($C447,'[10]for slip'!$F:$BC,36,0)</f>
        <v>0</v>
      </c>
      <c r="N447" s="2">
        <f>VLOOKUP($C447,'[10]for slip'!$F:$BC,37,0)</f>
        <v>0</v>
      </c>
      <c r="O447" s="2">
        <f>VLOOKUP($C447,'[10]for slip'!$F:$BC,38,0)</f>
        <v>0</v>
      </c>
      <c r="P447" s="2">
        <f>VLOOKUP($C447,'[10]for slip'!$F:$BC,39,0)</f>
        <v>38000</v>
      </c>
      <c r="Q447" s="2">
        <f>VLOOKUP($C447,'[10]for slip'!$F:$BC,40,0)</f>
        <v>31700</v>
      </c>
      <c r="R447" s="2">
        <f>VLOOKUP($C447,'[10]for slip'!$F:$BC,41,0)</f>
        <v>0</v>
      </c>
      <c r="S447" s="2">
        <f>VLOOKUP($C447,'[10]for slip'!$F:$BC,42,0)</f>
        <v>10000</v>
      </c>
      <c r="T447" s="2">
        <f>VLOOKUP($C447,'[10]for slip'!$F:$BC,43,0)</f>
        <v>53430.83</v>
      </c>
      <c r="U447" s="2">
        <f>VLOOKUP($C447,'[10]for slip'!$F:$BC,44,0)</f>
        <v>106861.66</v>
      </c>
      <c r="V447" s="2">
        <f>VLOOKUP($C447,'[10]for slip'!$F:$BC,45,0)</f>
        <v>53430.83</v>
      </c>
      <c r="W447" s="2">
        <f>VLOOKUP($C447,'[10]for slip'!$F:$BC,48,0)</f>
        <v>15604.584590750002</v>
      </c>
    </row>
    <row r="448" spans="1:23" x14ac:dyDescent="0.25">
      <c r="A448" s="1">
        <v>447</v>
      </c>
      <c r="B448" s="2" t="s">
        <v>915</v>
      </c>
      <c r="C448" s="2" t="s">
        <v>916</v>
      </c>
      <c r="D448" s="2" t="str">
        <f>VLOOKUP($C448,'[10]for slip'!$F:$BC,3,0)</f>
        <v>Pelaksana</v>
      </c>
      <c r="E448" s="2" t="str">
        <f>VLOOKUP($C448,'[10]for slip'!$F:$BC,4,0)</f>
        <v>PPIC</v>
      </c>
      <c r="F448" s="2">
        <f>VLOOKUP($C448,'[10]for slip'!$F:$BC,14,0)</f>
        <v>5343083</v>
      </c>
      <c r="G448" s="2">
        <f>VLOOKUP($C448,'[10]for slip'!$F:$BC,15,0)</f>
        <v>0</v>
      </c>
      <c r="H448" s="2">
        <f>VLOOKUP($C448,'[10]for slip'!$F:$BC,16,0)</f>
        <v>0</v>
      </c>
      <c r="I448" s="2">
        <f>VLOOKUP($C448,'[10]for slip'!$F:$BC,17,0)</f>
        <v>0</v>
      </c>
      <c r="J448" s="2">
        <f>VLOOKUP($C448,'[10]for slip'!$F:$BC,27,0)</f>
        <v>0</v>
      </c>
      <c r="K448" s="2">
        <f>VLOOKUP($C448,'[10]for slip'!$F:$BC,31,0)</f>
        <v>0</v>
      </c>
      <c r="L448" s="2">
        <f>VLOOKUP($C448,'[10]for slip'!$F:$BC,35,0)</f>
        <v>0</v>
      </c>
      <c r="M448" s="2">
        <f>VLOOKUP($C448,'[10]for slip'!$F:$BC,36,0)</f>
        <v>0</v>
      </c>
      <c r="N448" s="2">
        <f>VLOOKUP($C448,'[10]for slip'!$F:$BC,37,0)</f>
        <v>0</v>
      </c>
      <c r="O448" s="2">
        <f>VLOOKUP($C448,'[10]for slip'!$F:$BC,38,0)</f>
        <v>0</v>
      </c>
      <c r="P448" s="2">
        <f>VLOOKUP($C448,'[10]for slip'!$F:$BC,39,0)</f>
        <v>38000</v>
      </c>
      <c r="Q448" s="2">
        <f>VLOOKUP($C448,'[10]for slip'!$F:$BC,40,0)</f>
        <v>31700</v>
      </c>
      <c r="R448" s="2">
        <f>VLOOKUP($C448,'[10]for slip'!$F:$BC,41,0)</f>
        <v>0</v>
      </c>
      <c r="S448" s="2">
        <f>VLOOKUP($C448,'[10]for slip'!$F:$BC,42,0)</f>
        <v>0</v>
      </c>
      <c r="T448" s="2">
        <f>VLOOKUP($C448,'[10]for slip'!$F:$BC,43,0)</f>
        <v>53430.83</v>
      </c>
      <c r="U448" s="2">
        <f>VLOOKUP($C448,'[10]for slip'!$F:$BC,44,0)</f>
        <v>106861.66</v>
      </c>
      <c r="V448" s="2">
        <f>VLOOKUP($C448,'[10]for slip'!$F:$BC,45,0)</f>
        <v>53430.83</v>
      </c>
      <c r="W448" s="2">
        <f>VLOOKUP($C448,'[10]for slip'!$F:$BC,48,0)</f>
        <v>0</v>
      </c>
    </row>
    <row r="449" spans="1:23" x14ac:dyDescent="0.25">
      <c r="A449" s="1">
        <v>448</v>
      </c>
      <c r="B449" s="2" t="s">
        <v>917</v>
      </c>
      <c r="C449" s="2" t="s">
        <v>918</v>
      </c>
      <c r="D449" s="2" t="str">
        <f>VLOOKUP($C449,'[10]for slip'!$F:$BC,3,0)</f>
        <v>Pelaksana</v>
      </c>
      <c r="E449" s="2" t="str">
        <f>VLOOKUP($C449,'[10]for slip'!$F:$BC,4,0)</f>
        <v>PPIC</v>
      </c>
      <c r="F449" s="2">
        <f>VLOOKUP($C449,'[10]for slip'!$F:$BC,14,0)</f>
        <v>5343083</v>
      </c>
      <c r="G449" s="2">
        <f>VLOOKUP($C449,'[10]for slip'!$F:$BC,15,0)</f>
        <v>0</v>
      </c>
      <c r="H449" s="2">
        <f>VLOOKUP($C449,'[10]for slip'!$F:$BC,16,0)</f>
        <v>0</v>
      </c>
      <c r="I449" s="2">
        <f>VLOOKUP($C449,'[10]for slip'!$F:$BC,17,0)</f>
        <v>0</v>
      </c>
      <c r="J449" s="2">
        <f>VLOOKUP($C449,'[10]for slip'!$F:$BC,27,0)</f>
        <v>0</v>
      </c>
      <c r="K449" s="2">
        <f>VLOOKUP($C449,'[10]for slip'!$F:$BC,31,0)</f>
        <v>0</v>
      </c>
      <c r="L449" s="2">
        <f>VLOOKUP($C449,'[10]for slip'!$F:$BC,35,0)</f>
        <v>15604.584590750002</v>
      </c>
      <c r="M449" s="2">
        <f>VLOOKUP($C449,'[10]for slip'!$F:$BC,36,0)</f>
        <v>0</v>
      </c>
      <c r="N449" s="2">
        <f>VLOOKUP($C449,'[10]for slip'!$F:$BC,37,0)</f>
        <v>0</v>
      </c>
      <c r="O449" s="2">
        <f>VLOOKUP($C449,'[10]for slip'!$F:$BC,38,0)</f>
        <v>0</v>
      </c>
      <c r="P449" s="2">
        <f>VLOOKUP($C449,'[10]for slip'!$F:$BC,39,0)</f>
        <v>38000</v>
      </c>
      <c r="Q449" s="2">
        <f>VLOOKUP($C449,'[10]for slip'!$F:$BC,40,0)</f>
        <v>31700</v>
      </c>
      <c r="R449" s="2">
        <f>VLOOKUP($C449,'[10]for slip'!$F:$BC,41,0)</f>
        <v>0</v>
      </c>
      <c r="S449" s="2">
        <f>VLOOKUP($C449,'[10]for slip'!$F:$BC,42,0)</f>
        <v>0</v>
      </c>
      <c r="T449" s="2">
        <f>VLOOKUP($C449,'[10]for slip'!$F:$BC,43,0)</f>
        <v>53430.83</v>
      </c>
      <c r="U449" s="2">
        <f>VLOOKUP($C449,'[10]for slip'!$F:$BC,44,0)</f>
        <v>106861.66</v>
      </c>
      <c r="V449" s="2">
        <f>VLOOKUP($C449,'[10]for slip'!$F:$BC,45,0)</f>
        <v>53430.83</v>
      </c>
      <c r="W449" s="2">
        <f>VLOOKUP($C449,'[10]for slip'!$F:$BC,48,0)</f>
        <v>15604.584590750002</v>
      </c>
    </row>
    <row r="450" spans="1:23" x14ac:dyDescent="0.25">
      <c r="A450" s="1">
        <v>449</v>
      </c>
      <c r="B450" s="2" t="s">
        <v>919</v>
      </c>
      <c r="C450" s="2" t="s">
        <v>920</v>
      </c>
      <c r="D450" s="2" t="str">
        <f>VLOOKUP($C450,'[10]for slip'!$F:$BC,3,0)</f>
        <v>Pelaksana</v>
      </c>
      <c r="E450" s="2" t="str">
        <f>VLOOKUP($C450,'[10]for slip'!$F:$BC,4,0)</f>
        <v>PPIC</v>
      </c>
      <c r="F450" s="2">
        <f>VLOOKUP($C450,'[10]for slip'!$F:$BC,14,0)</f>
        <v>5343083</v>
      </c>
      <c r="G450" s="2">
        <f>VLOOKUP($C450,'[10]for slip'!$F:$BC,15,0)</f>
        <v>0</v>
      </c>
      <c r="H450" s="2">
        <f>VLOOKUP($C450,'[10]for slip'!$F:$BC,16,0)</f>
        <v>0</v>
      </c>
      <c r="I450" s="2">
        <f>VLOOKUP($C450,'[10]for slip'!$F:$BC,17,0)</f>
        <v>0</v>
      </c>
      <c r="J450" s="2">
        <f>VLOOKUP($C450,'[10]for slip'!$F:$BC,27,0)</f>
        <v>0</v>
      </c>
      <c r="K450" s="2">
        <f>VLOOKUP($C450,'[10]for slip'!$F:$BC,31,0)</f>
        <v>0</v>
      </c>
      <c r="L450" s="2">
        <f>VLOOKUP($C450,'[10]for slip'!$F:$BC,35,0)</f>
        <v>0</v>
      </c>
      <c r="M450" s="2">
        <f>VLOOKUP($C450,'[10]for slip'!$F:$BC,36,0)</f>
        <v>0</v>
      </c>
      <c r="N450" s="2">
        <f>VLOOKUP($C450,'[10]for slip'!$F:$BC,37,0)</f>
        <v>0</v>
      </c>
      <c r="O450" s="2">
        <f>VLOOKUP($C450,'[10]for slip'!$F:$BC,38,0)</f>
        <v>0</v>
      </c>
      <c r="P450" s="2">
        <f>VLOOKUP($C450,'[10]for slip'!$F:$BC,39,0)</f>
        <v>38000</v>
      </c>
      <c r="Q450" s="2">
        <f>VLOOKUP($C450,'[10]for slip'!$F:$BC,40,0)</f>
        <v>31700</v>
      </c>
      <c r="R450" s="2">
        <f>VLOOKUP($C450,'[10]for slip'!$F:$BC,41,0)</f>
        <v>0</v>
      </c>
      <c r="S450" s="2">
        <f>VLOOKUP($C450,'[10]for slip'!$F:$BC,42,0)</f>
        <v>0</v>
      </c>
      <c r="T450" s="2">
        <f>VLOOKUP($C450,'[10]for slip'!$F:$BC,43,0)</f>
        <v>53430.83</v>
      </c>
      <c r="U450" s="2">
        <f>VLOOKUP($C450,'[10]for slip'!$F:$BC,44,0)</f>
        <v>106861.66</v>
      </c>
      <c r="V450" s="2">
        <f>VLOOKUP($C450,'[10]for slip'!$F:$BC,45,0)</f>
        <v>53430.83</v>
      </c>
      <c r="W450" s="2">
        <f>VLOOKUP($C450,'[10]for slip'!$F:$BC,48,0)</f>
        <v>0</v>
      </c>
    </row>
    <row r="451" spans="1:23" x14ac:dyDescent="0.25">
      <c r="A451" s="1">
        <v>450</v>
      </c>
      <c r="B451" s="2" t="s">
        <v>921</v>
      </c>
      <c r="C451" s="2" t="s">
        <v>922</v>
      </c>
      <c r="D451" s="2" t="str">
        <f>VLOOKUP($C451,'[10]for slip'!$F:$BC,3,0)</f>
        <v>Pelaksana</v>
      </c>
      <c r="E451" s="2" t="str">
        <f>VLOOKUP($C451,'[10]for slip'!$F:$BC,4,0)</f>
        <v>PPIC</v>
      </c>
      <c r="F451" s="2">
        <f>VLOOKUP($C451,'[10]for slip'!$F:$BC,14,0)</f>
        <v>5343083</v>
      </c>
      <c r="G451" s="2">
        <f>VLOOKUP($C451,'[10]for slip'!$F:$BC,15,0)</f>
        <v>0</v>
      </c>
      <c r="H451" s="2">
        <f>VLOOKUP($C451,'[10]for slip'!$F:$BC,16,0)</f>
        <v>0</v>
      </c>
      <c r="I451" s="2">
        <f>VLOOKUP($C451,'[10]for slip'!$F:$BC,17,0)</f>
        <v>0</v>
      </c>
      <c r="J451" s="2">
        <f>VLOOKUP($C451,'[10]for slip'!$F:$BC,27,0)</f>
        <v>0</v>
      </c>
      <c r="K451" s="2">
        <f>VLOOKUP($C451,'[10]for slip'!$F:$BC,31,0)</f>
        <v>0</v>
      </c>
      <c r="L451" s="2">
        <f>VLOOKUP($C451,'[10]for slip'!$F:$BC,35,0)</f>
        <v>15604.584590750002</v>
      </c>
      <c r="M451" s="2">
        <f>VLOOKUP($C451,'[10]for slip'!$F:$BC,36,0)</f>
        <v>0</v>
      </c>
      <c r="N451" s="2">
        <f>VLOOKUP($C451,'[10]for slip'!$F:$BC,37,0)</f>
        <v>0</v>
      </c>
      <c r="O451" s="2">
        <f>VLOOKUP($C451,'[10]for slip'!$F:$BC,38,0)</f>
        <v>0</v>
      </c>
      <c r="P451" s="2">
        <f>VLOOKUP($C451,'[10]for slip'!$F:$BC,39,0)</f>
        <v>38000</v>
      </c>
      <c r="Q451" s="2">
        <f>VLOOKUP($C451,'[10]for slip'!$F:$BC,40,0)</f>
        <v>31700</v>
      </c>
      <c r="R451" s="2">
        <f>VLOOKUP($C451,'[10]for slip'!$F:$BC,41,0)</f>
        <v>0</v>
      </c>
      <c r="S451" s="2">
        <f>VLOOKUP($C451,'[10]for slip'!$F:$BC,42,0)</f>
        <v>10000</v>
      </c>
      <c r="T451" s="2">
        <f>VLOOKUP($C451,'[10]for slip'!$F:$BC,43,0)</f>
        <v>53430.83</v>
      </c>
      <c r="U451" s="2">
        <f>VLOOKUP($C451,'[10]for slip'!$F:$BC,44,0)</f>
        <v>106861.66</v>
      </c>
      <c r="V451" s="2">
        <f>VLOOKUP($C451,'[10]for slip'!$F:$BC,45,0)</f>
        <v>53430.83</v>
      </c>
      <c r="W451" s="2">
        <f>VLOOKUP($C451,'[10]for slip'!$F:$BC,48,0)</f>
        <v>15604.584590750002</v>
      </c>
    </row>
    <row r="452" spans="1:23" x14ac:dyDescent="0.25">
      <c r="A452" s="1">
        <v>451</v>
      </c>
      <c r="B452" s="2" t="s">
        <v>923</v>
      </c>
      <c r="C452" s="2" t="s">
        <v>924</v>
      </c>
      <c r="D452" s="2" t="str">
        <f>VLOOKUP($C452,'[10]for slip'!$F:$BC,3,0)</f>
        <v>Pelaksana</v>
      </c>
      <c r="E452" s="2" t="str">
        <f>VLOOKUP($C452,'[10]for slip'!$F:$BC,4,0)</f>
        <v>PPIC</v>
      </c>
      <c r="F452" s="2">
        <f>VLOOKUP($C452,'[10]for slip'!$F:$BC,14,0)</f>
        <v>5343083</v>
      </c>
      <c r="G452" s="2">
        <f>VLOOKUP($C452,'[10]for slip'!$F:$BC,15,0)</f>
        <v>0</v>
      </c>
      <c r="H452" s="2">
        <f>VLOOKUP($C452,'[10]for slip'!$F:$BC,16,0)</f>
        <v>0</v>
      </c>
      <c r="I452" s="2">
        <f>VLOOKUP($C452,'[10]for slip'!$F:$BC,17,0)</f>
        <v>0</v>
      </c>
      <c r="J452" s="2">
        <f>VLOOKUP($C452,'[10]for slip'!$F:$BC,27,0)</f>
        <v>0</v>
      </c>
      <c r="K452" s="2">
        <f>VLOOKUP($C452,'[10]for slip'!$F:$BC,31,0)</f>
        <v>0</v>
      </c>
      <c r="L452" s="2">
        <f>VLOOKUP($C452,'[10]for slip'!$F:$BC,35,0)</f>
        <v>0</v>
      </c>
      <c r="M452" s="2">
        <f>VLOOKUP($C452,'[10]for slip'!$F:$BC,36,0)</f>
        <v>0</v>
      </c>
      <c r="N452" s="2">
        <f>VLOOKUP($C452,'[10]for slip'!$F:$BC,37,0)</f>
        <v>0</v>
      </c>
      <c r="O452" s="2">
        <f>VLOOKUP($C452,'[10]for slip'!$F:$BC,38,0)</f>
        <v>0</v>
      </c>
      <c r="P452" s="2">
        <f>VLOOKUP($C452,'[10]for slip'!$F:$BC,39,0)</f>
        <v>38000</v>
      </c>
      <c r="Q452" s="2">
        <f>VLOOKUP($C452,'[10]for slip'!$F:$BC,40,0)</f>
        <v>31700</v>
      </c>
      <c r="R452" s="2">
        <f>VLOOKUP($C452,'[10]for slip'!$F:$BC,41,0)</f>
        <v>0</v>
      </c>
      <c r="S452" s="2">
        <f>VLOOKUP($C452,'[10]for slip'!$F:$BC,42,0)</f>
        <v>10000</v>
      </c>
      <c r="T452" s="2">
        <f>VLOOKUP($C452,'[10]for slip'!$F:$BC,43,0)</f>
        <v>53430.83</v>
      </c>
      <c r="U452" s="2">
        <f>VLOOKUP($C452,'[10]for slip'!$F:$BC,44,0)</f>
        <v>106861.66</v>
      </c>
      <c r="V452" s="2">
        <f>VLOOKUP($C452,'[10]for slip'!$F:$BC,45,0)</f>
        <v>53430.83</v>
      </c>
      <c r="W452" s="2">
        <f>VLOOKUP($C452,'[10]for slip'!$F:$BC,48,0)</f>
        <v>0</v>
      </c>
    </row>
    <row r="453" spans="1:23" x14ac:dyDescent="0.25">
      <c r="A453" s="1">
        <v>452</v>
      </c>
      <c r="B453" s="2" t="s">
        <v>925</v>
      </c>
      <c r="C453" s="2" t="s">
        <v>926</v>
      </c>
      <c r="D453" s="2" t="str">
        <f>VLOOKUP($C453,'[10]for slip'!$F:$BC,3,0)</f>
        <v>Pelaksana</v>
      </c>
      <c r="E453" s="2" t="str">
        <f>VLOOKUP($C453,'[10]for slip'!$F:$BC,4,0)</f>
        <v>PPIC</v>
      </c>
      <c r="F453" s="2">
        <f>VLOOKUP($C453,'[10]for slip'!$F:$BC,14,0)</f>
        <v>5343083</v>
      </c>
      <c r="G453" s="2">
        <f>VLOOKUP($C453,'[10]for slip'!$F:$BC,15,0)</f>
        <v>0</v>
      </c>
      <c r="H453" s="2">
        <f>VLOOKUP($C453,'[10]for slip'!$F:$BC,16,0)</f>
        <v>0</v>
      </c>
      <c r="I453" s="2">
        <f>VLOOKUP($C453,'[10]for slip'!$F:$BC,17,0)</f>
        <v>0</v>
      </c>
      <c r="J453" s="2">
        <f>VLOOKUP($C453,'[10]for slip'!$F:$BC,27,0)</f>
        <v>0</v>
      </c>
      <c r="K453" s="2">
        <f>VLOOKUP($C453,'[10]for slip'!$F:$BC,31,0)</f>
        <v>0</v>
      </c>
      <c r="L453" s="2">
        <f>VLOOKUP($C453,'[10]for slip'!$F:$BC,35,0)</f>
        <v>0</v>
      </c>
      <c r="M453" s="2">
        <f>VLOOKUP($C453,'[10]for slip'!$F:$BC,36,0)</f>
        <v>0</v>
      </c>
      <c r="N453" s="2">
        <f>VLOOKUP($C453,'[10]for slip'!$F:$BC,37,0)</f>
        <v>0</v>
      </c>
      <c r="O453" s="2">
        <f>VLOOKUP($C453,'[10]for slip'!$F:$BC,38,0)</f>
        <v>0</v>
      </c>
      <c r="P453" s="2">
        <f>VLOOKUP($C453,'[10]for slip'!$F:$BC,39,0)</f>
        <v>38000</v>
      </c>
      <c r="Q453" s="2">
        <f>VLOOKUP($C453,'[10]for slip'!$F:$BC,40,0)</f>
        <v>31700</v>
      </c>
      <c r="R453" s="2">
        <f>VLOOKUP($C453,'[10]for slip'!$F:$BC,41,0)</f>
        <v>0</v>
      </c>
      <c r="S453" s="2">
        <f>VLOOKUP($C453,'[10]for slip'!$F:$BC,42,0)</f>
        <v>0</v>
      </c>
      <c r="T453" s="2">
        <f>VLOOKUP($C453,'[10]for slip'!$F:$BC,43,0)</f>
        <v>53430.83</v>
      </c>
      <c r="U453" s="2">
        <f>VLOOKUP($C453,'[10]for slip'!$F:$BC,44,0)</f>
        <v>106861.66</v>
      </c>
      <c r="V453" s="2">
        <f>VLOOKUP($C453,'[10]for slip'!$F:$BC,45,0)</f>
        <v>53430.83</v>
      </c>
      <c r="W453" s="2">
        <f>VLOOKUP($C453,'[10]for slip'!$F:$BC,48,0)</f>
        <v>0</v>
      </c>
    </row>
    <row r="454" spans="1:23" x14ac:dyDescent="0.25">
      <c r="A454" s="1">
        <v>453</v>
      </c>
      <c r="B454" s="2" t="s">
        <v>927</v>
      </c>
      <c r="C454" s="2" t="s">
        <v>928</v>
      </c>
      <c r="D454" s="2" t="str">
        <f>VLOOKUP($C454,'[10]for slip'!$F:$BC,3,0)</f>
        <v>Leader</v>
      </c>
      <c r="E454" s="2" t="str">
        <f>VLOOKUP($C454,'[10]for slip'!$F:$BC,4,0)</f>
        <v>PPIC</v>
      </c>
      <c r="F454" s="2">
        <f>VLOOKUP($C454,'[10]for slip'!$F:$BC,14,0)</f>
        <v>5343083</v>
      </c>
      <c r="G454" s="2">
        <f>VLOOKUP($C454,'[10]for slip'!$F:$BC,15,0)</f>
        <v>200000</v>
      </c>
      <c r="H454" s="2">
        <f>VLOOKUP($C454,'[10]for slip'!$F:$BC,16,0)</f>
        <v>356917</v>
      </c>
      <c r="I454" s="2">
        <f>VLOOKUP($C454,'[10]for slip'!$F:$BC,17,0)</f>
        <v>0</v>
      </c>
      <c r="J454" s="2">
        <f>VLOOKUP($C454,'[10]for slip'!$F:$BC,27,0)</f>
        <v>0</v>
      </c>
      <c r="K454" s="2">
        <f>VLOOKUP($C454,'[10]for slip'!$F:$BC,31,0)</f>
        <v>0</v>
      </c>
      <c r="L454" s="2">
        <f>VLOOKUP($C454,'[10]for slip'!$F:$BC,35,0)</f>
        <v>60329.332700000028</v>
      </c>
      <c r="M454" s="2">
        <f>VLOOKUP($C454,'[10]for slip'!$F:$BC,36,0)</f>
        <v>0</v>
      </c>
      <c r="N454" s="2">
        <f>VLOOKUP($C454,'[10]for slip'!$F:$BC,37,0)</f>
        <v>0</v>
      </c>
      <c r="O454" s="2">
        <f>VLOOKUP($C454,'[10]for slip'!$F:$BC,38,0)</f>
        <v>0</v>
      </c>
      <c r="P454" s="2">
        <f>VLOOKUP($C454,'[10]for slip'!$F:$BC,39,0)</f>
        <v>38000</v>
      </c>
      <c r="Q454" s="2">
        <f>VLOOKUP($C454,'[10]for slip'!$F:$BC,40,0)</f>
        <v>31700</v>
      </c>
      <c r="R454" s="2">
        <f>VLOOKUP($C454,'[10]for slip'!$F:$BC,41,0)</f>
        <v>0</v>
      </c>
      <c r="S454" s="2">
        <f>VLOOKUP($C454,'[10]for slip'!$F:$BC,42,0)</f>
        <v>0</v>
      </c>
      <c r="T454" s="2">
        <f>VLOOKUP($C454,'[10]for slip'!$F:$BC,43,0)</f>
        <v>53430.83</v>
      </c>
      <c r="U454" s="2">
        <f>VLOOKUP($C454,'[10]for slip'!$F:$BC,44,0)</f>
        <v>118000</v>
      </c>
      <c r="V454" s="2">
        <f>VLOOKUP($C454,'[10]for slip'!$F:$BC,45,0)</f>
        <v>59000</v>
      </c>
      <c r="W454" s="2">
        <f>VLOOKUP($C454,'[10]for slip'!$F:$BC,48,0)</f>
        <v>60329.332700000028</v>
      </c>
    </row>
    <row r="455" spans="1:23" x14ac:dyDescent="0.25">
      <c r="A455" s="1">
        <v>454</v>
      </c>
      <c r="B455" s="2" t="s">
        <v>929</v>
      </c>
      <c r="C455" s="2" t="s">
        <v>930</v>
      </c>
      <c r="D455" s="2" t="str">
        <f>VLOOKUP($C455,'[10]for slip'!$F:$BC,3,0)</f>
        <v>Pelaksana</v>
      </c>
      <c r="E455" s="2" t="str">
        <f>VLOOKUP($C455,'[10]for slip'!$F:$BC,4,0)</f>
        <v>PPIC</v>
      </c>
      <c r="F455" s="2">
        <f>VLOOKUP($C455,'[10]for slip'!$F:$BC,14,0)</f>
        <v>5343083</v>
      </c>
      <c r="G455" s="2">
        <f>VLOOKUP($C455,'[10]for slip'!$F:$BC,15,0)</f>
        <v>0</v>
      </c>
      <c r="H455" s="2">
        <f>VLOOKUP($C455,'[10]for slip'!$F:$BC,16,0)</f>
        <v>0</v>
      </c>
      <c r="I455" s="2">
        <f>VLOOKUP($C455,'[10]for slip'!$F:$BC,17,0)</f>
        <v>0</v>
      </c>
      <c r="J455" s="2">
        <f>VLOOKUP($C455,'[10]for slip'!$F:$BC,27,0)</f>
        <v>0</v>
      </c>
      <c r="K455" s="2">
        <f>VLOOKUP($C455,'[10]for slip'!$F:$BC,31,0)</f>
        <v>0</v>
      </c>
      <c r="L455" s="2">
        <f>VLOOKUP($C455,'[10]for slip'!$F:$BC,35,0)</f>
        <v>0</v>
      </c>
      <c r="M455" s="2">
        <f>VLOOKUP($C455,'[10]for slip'!$F:$BC,36,0)</f>
        <v>0</v>
      </c>
      <c r="N455" s="2">
        <f>VLOOKUP($C455,'[10]for slip'!$F:$BC,37,0)</f>
        <v>0</v>
      </c>
      <c r="O455" s="2">
        <f>VLOOKUP($C455,'[10]for slip'!$F:$BC,38,0)</f>
        <v>0</v>
      </c>
      <c r="P455" s="2">
        <f>VLOOKUP($C455,'[10]for slip'!$F:$BC,39,0)</f>
        <v>38000</v>
      </c>
      <c r="Q455" s="2">
        <f>VLOOKUP($C455,'[10]for slip'!$F:$BC,40,0)</f>
        <v>31700</v>
      </c>
      <c r="R455" s="2">
        <f>VLOOKUP($C455,'[10]for slip'!$F:$BC,41,0)</f>
        <v>0</v>
      </c>
      <c r="S455" s="2">
        <f>VLOOKUP($C455,'[10]for slip'!$F:$BC,42,0)</f>
        <v>10000</v>
      </c>
      <c r="T455" s="2">
        <f>VLOOKUP($C455,'[10]for slip'!$F:$BC,43,0)</f>
        <v>53430.83</v>
      </c>
      <c r="U455" s="2">
        <f>VLOOKUP($C455,'[10]for slip'!$F:$BC,44,0)</f>
        <v>106861.66</v>
      </c>
      <c r="V455" s="2">
        <f>VLOOKUP($C455,'[10]for slip'!$F:$BC,45,0)</f>
        <v>53430.83</v>
      </c>
      <c r="W455" s="2">
        <f>VLOOKUP($C455,'[10]for slip'!$F:$BC,48,0)</f>
        <v>0</v>
      </c>
    </row>
    <row r="456" spans="1:23" x14ac:dyDescent="0.25">
      <c r="A456" s="1">
        <v>455</v>
      </c>
      <c r="B456" s="2" t="s">
        <v>931</v>
      </c>
      <c r="C456" s="2" t="s">
        <v>932</v>
      </c>
      <c r="D456" s="2" t="str">
        <f>VLOOKUP($C456,'[10]for slip'!$F:$BC,3,0)</f>
        <v>Pelaksana</v>
      </c>
      <c r="E456" s="2" t="str">
        <f>VLOOKUP($C456,'[10]for slip'!$F:$BC,4,0)</f>
        <v>PPIC</v>
      </c>
      <c r="F456" s="2">
        <f>VLOOKUP($C456,'[10]for slip'!$F:$BC,14,0)</f>
        <v>5343083</v>
      </c>
      <c r="G456" s="2">
        <f>VLOOKUP($C456,'[10]for slip'!$F:$BC,15,0)</f>
        <v>0</v>
      </c>
      <c r="H456" s="2">
        <f>VLOOKUP($C456,'[10]for slip'!$F:$BC,16,0)</f>
        <v>0</v>
      </c>
      <c r="I456" s="2">
        <f>VLOOKUP($C456,'[10]for slip'!$F:$BC,17,0)</f>
        <v>0</v>
      </c>
      <c r="J456" s="2">
        <f>VLOOKUP($C456,'[10]for slip'!$F:$BC,27,0)</f>
        <v>0</v>
      </c>
      <c r="K456" s="2">
        <f>VLOOKUP($C456,'[10]for slip'!$F:$BC,31,0)</f>
        <v>0</v>
      </c>
      <c r="L456" s="2">
        <f>VLOOKUP($C456,'[10]for slip'!$F:$BC,35,0)</f>
        <v>0</v>
      </c>
      <c r="M456" s="2">
        <f>VLOOKUP($C456,'[10]for slip'!$F:$BC,36,0)</f>
        <v>0</v>
      </c>
      <c r="N456" s="2">
        <f>VLOOKUP($C456,'[10]for slip'!$F:$BC,37,0)</f>
        <v>0</v>
      </c>
      <c r="O456" s="2">
        <f>VLOOKUP($C456,'[10]for slip'!$F:$BC,38,0)</f>
        <v>0</v>
      </c>
      <c r="P456" s="2">
        <f>VLOOKUP($C456,'[10]for slip'!$F:$BC,39,0)</f>
        <v>38000</v>
      </c>
      <c r="Q456" s="2">
        <f>VLOOKUP($C456,'[10]for slip'!$F:$BC,40,0)</f>
        <v>31700</v>
      </c>
      <c r="R456" s="2">
        <f>VLOOKUP($C456,'[10]for slip'!$F:$BC,41,0)</f>
        <v>0</v>
      </c>
      <c r="S456" s="2">
        <f>VLOOKUP($C456,'[10]for slip'!$F:$BC,42,0)</f>
        <v>10000</v>
      </c>
      <c r="T456" s="2">
        <f>VLOOKUP($C456,'[10]for slip'!$F:$BC,43,0)</f>
        <v>53430.83</v>
      </c>
      <c r="U456" s="2">
        <f>VLOOKUP($C456,'[10]for slip'!$F:$BC,44,0)</f>
        <v>106861.66</v>
      </c>
      <c r="V456" s="2">
        <f>VLOOKUP($C456,'[10]for slip'!$F:$BC,45,0)</f>
        <v>53430.83</v>
      </c>
      <c r="W456" s="2">
        <f>VLOOKUP($C456,'[10]for slip'!$F:$BC,48,0)</f>
        <v>0</v>
      </c>
    </row>
    <row r="457" spans="1:23" x14ac:dyDescent="0.25">
      <c r="A457" s="1">
        <v>456</v>
      </c>
      <c r="B457" s="2" t="s">
        <v>933</v>
      </c>
      <c r="C457" s="2" t="s">
        <v>934</v>
      </c>
      <c r="D457" s="2" t="str">
        <f>VLOOKUP($C457,'[10]for slip'!$F:$BC,3,0)</f>
        <v>Pelaksana</v>
      </c>
      <c r="E457" s="2" t="str">
        <f>VLOOKUP($C457,'[10]for slip'!$F:$BC,4,0)</f>
        <v>PPIC</v>
      </c>
      <c r="F457" s="2">
        <f>VLOOKUP($C457,'[10]for slip'!$F:$BC,14,0)</f>
        <v>5343083</v>
      </c>
      <c r="G457" s="2">
        <f>VLOOKUP($C457,'[10]for slip'!$F:$BC,15,0)</f>
        <v>0</v>
      </c>
      <c r="H457" s="2">
        <f>VLOOKUP($C457,'[10]for slip'!$F:$BC,16,0)</f>
        <v>0</v>
      </c>
      <c r="I457" s="2">
        <f>VLOOKUP($C457,'[10]for slip'!$F:$BC,17,0)</f>
        <v>0</v>
      </c>
      <c r="J457" s="2">
        <f>VLOOKUP($C457,'[10]for slip'!$F:$BC,27,0)</f>
        <v>0</v>
      </c>
      <c r="K457" s="2">
        <f>VLOOKUP($C457,'[10]for slip'!$F:$BC,31,0)</f>
        <v>0</v>
      </c>
      <c r="L457" s="2">
        <f>VLOOKUP($C457,'[10]for slip'!$F:$BC,35,0)</f>
        <v>0</v>
      </c>
      <c r="M457" s="2">
        <f>VLOOKUP($C457,'[10]for slip'!$F:$BC,36,0)</f>
        <v>0</v>
      </c>
      <c r="N457" s="2">
        <f>VLOOKUP($C457,'[10]for slip'!$F:$BC,37,0)</f>
        <v>0</v>
      </c>
      <c r="O457" s="2">
        <f>VLOOKUP($C457,'[10]for slip'!$F:$BC,38,0)</f>
        <v>0</v>
      </c>
      <c r="P457" s="2">
        <f>VLOOKUP($C457,'[10]for slip'!$F:$BC,39,0)</f>
        <v>38000</v>
      </c>
      <c r="Q457" s="2">
        <f>VLOOKUP($C457,'[10]for slip'!$F:$BC,40,0)</f>
        <v>31700</v>
      </c>
      <c r="R457" s="2">
        <f>VLOOKUP($C457,'[10]for slip'!$F:$BC,41,0)</f>
        <v>0</v>
      </c>
      <c r="S457" s="2">
        <f>VLOOKUP($C457,'[10]for slip'!$F:$BC,42,0)</f>
        <v>10000</v>
      </c>
      <c r="T457" s="2">
        <f>VLOOKUP($C457,'[10]for slip'!$F:$BC,43,0)</f>
        <v>53430.83</v>
      </c>
      <c r="U457" s="2">
        <f>VLOOKUP($C457,'[10]for slip'!$F:$BC,44,0)</f>
        <v>106861.66</v>
      </c>
      <c r="V457" s="2">
        <f>VLOOKUP($C457,'[10]for slip'!$F:$BC,45,0)</f>
        <v>53430.83</v>
      </c>
      <c r="W457" s="2">
        <f>VLOOKUP($C457,'[10]for slip'!$F:$BC,48,0)</f>
        <v>0</v>
      </c>
    </row>
    <row r="458" spans="1:23" x14ac:dyDescent="0.25">
      <c r="A458" s="1">
        <v>457</v>
      </c>
      <c r="B458" s="2" t="s">
        <v>935</v>
      </c>
      <c r="C458" s="2" t="s">
        <v>936</v>
      </c>
      <c r="D458" s="2" t="str">
        <f>VLOOKUP($C458,'[10]for slip'!$F:$BC,3,0)</f>
        <v>Pelaksana</v>
      </c>
      <c r="E458" s="2" t="str">
        <f>VLOOKUP($C458,'[10]for slip'!$F:$BC,4,0)</f>
        <v>PPIC</v>
      </c>
      <c r="F458" s="2">
        <f>VLOOKUP($C458,'[10]for slip'!$F:$BC,14,0)</f>
        <v>5343083</v>
      </c>
      <c r="G458" s="2">
        <f>VLOOKUP($C458,'[10]for slip'!$F:$BC,15,0)</f>
        <v>0</v>
      </c>
      <c r="H458" s="2">
        <f>VLOOKUP($C458,'[10]for slip'!$F:$BC,16,0)</f>
        <v>200000</v>
      </c>
      <c r="I458" s="2">
        <f>VLOOKUP($C458,'[10]for slip'!$F:$BC,17,0)</f>
        <v>0</v>
      </c>
      <c r="J458" s="2">
        <f>VLOOKUP($C458,'[10]for slip'!$F:$BC,27,0)</f>
        <v>0</v>
      </c>
      <c r="K458" s="2">
        <f>VLOOKUP($C458,'[10]for slip'!$F:$BC,31,0)</f>
        <v>0</v>
      </c>
      <c r="L458" s="2">
        <f>VLOOKUP($C458,'[10]for slip'!$F:$BC,35,0)</f>
        <v>44062.634590749971</v>
      </c>
      <c r="M458" s="2">
        <f>VLOOKUP($C458,'[10]for slip'!$F:$BC,36,0)</f>
        <v>0</v>
      </c>
      <c r="N458" s="2">
        <f>VLOOKUP($C458,'[10]for slip'!$F:$BC,37,0)</f>
        <v>0</v>
      </c>
      <c r="O458" s="2">
        <f>VLOOKUP($C458,'[10]for slip'!$F:$BC,38,0)</f>
        <v>0</v>
      </c>
      <c r="P458" s="2">
        <f>VLOOKUP($C458,'[10]for slip'!$F:$BC,39,0)</f>
        <v>38000</v>
      </c>
      <c r="Q458" s="2">
        <f>VLOOKUP($C458,'[10]for slip'!$F:$BC,40,0)</f>
        <v>31700</v>
      </c>
      <c r="R458" s="2">
        <f>VLOOKUP($C458,'[10]for slip'!$F:$BC,41,0)</f>
        <v>0</v>
      </c>
      <c r="S458" s="2">
        <f>VLOOKUP($C458,'[10]for slip'!$F:$BC,42,0)</f>
        <v>0</v>
      </c>
      <c r="T458" s="2">
        <f>VLOOKUP($C458,'[10]for slip'!$F:$BC,43,0)</f>
        <v>55430.83</v>
      </c>
      <c r="U458" s="2">
        <f>VLOOKUP($C458,'[10]for slip'!$F:$BC,44,0)</f>
        <v>110861.66</v>
      </c>
      <c r="V458" s="2">
        <f>VLOOKUP($C458,'[10]for slip'!$F:$BC,45,0)</f>
        <v>55430.83</v>
      </c>
      <c r="W458" s="2">
        <f>VLOOKUP($C458,'[10]for slip'!$F:$BC,48,0)</f>
        <v>44062.634590749971</v>
      </c>
    </row>
    <row r="459" spans="1:23" x14ac:dyDescent="0.25">
      <c r="A459" s="1">
        <v>458</v>
      </c>
      <c r="B459" s="2" t="s">
        <v>937</v>
      </c>
      <c r="C459" s="2" t="s">
        <v>938</v>
      </c>
      <c r="D459" s="2" t="str">
        <f>VLOOKUP($C459,'[10]for slip'!$F:$BC,3,0)</f>
        <v>Admin</v>
      </c>
      <c r="E459" s="2" t="str">
        <f>VLOOKUP($C459,'[10]for slip'!$F:$BC,4,0)</f>
        <v>PPIC</v>
      </c>
      <c r="F459" s="2">
        <f>VLOOKUP($C459,'[10]for slip'!$F:$BC,14,0)</f>
        <v>5343083</v>
      </c>
      <c r="G459" s="2">
        <f>VLOOKUP($C459,'[10]for slip'!$F:$BC,15,0)</f>
        <v>0</v>
      </c>
      <c r="H459" s="2">
        <f>VLOOKUP($C459,'[10]for slip'!$F:$BC,16,0)</f>
        <v>0</v>
      </c>
      <c r="I459" s="2">
        <f>VLOOKUP($C459,'[10]for slip'!$F:$BC,17,0)</f>
        <v>0</v>
      </c>
      <c r="J459" s="2">
        <f>VLOOKUP($C459,'[10]for slip'!$F:$BC,27,0)</f>
        <v>0</v>
      </c>
      <c r="K459" s="2">
        <f>VLOOKUP($C459,'[10]for slip'!$F:$BC,31,0)</f>
        <v>0</v>
      </c>
      <c r="L459" s="2">
        <f>VLOOKUP($C459,'[10]for slip'!$F:$BC,35,0)</f>
        <v>34354.584590750004</v>
      </c>
      <c r="M459" s="2">
        <f>VLOOKUP($C459,'[10]for slip'!$F:$BC,36,0)</f>
        <v>0</v>
      </c>
      <c r="N459" s="2">
        <f>VLOOKUP($C459,'[10]for slip'!$F:$BC,37,0)</f>
        <v>0</v>
      </c>
      <c r="O459" s="2">
        <f>VLOOKUP($C459,'[10]for slip'!$F:$BC,38,0)</f>
        <v>0</v>
      </c>
      <c r="P459" s="2">
        <f>VLOOKUP($C459,'[10]for slip'!$F:$BC,39,0)</f>
        <v>0</v>
      </c>
      <c r="Q459" s="2">
        <f>VLOOKUP($C459,'[10]for slip'!$F:$BC,40,0)</f>
        <v>31700</v>
      </c>
      <c r="R459" s="2">
        <f>VLOOKUP($C459,'[10]for slip'!$F:$BC,41,0)</f>
        <v>0</v>
      </c>
      <c r="S459" s="2">
        <f>VLOOKUP($C459,'[10]for slip'!$F:$BC,42,0)</f>
        <v>0</v>
      </c>
      <c r="T459" s="2">
        <f>VLOOKUP($C459,'[10]for slip'!$F:$BC,43,0)</f>
        <v>53430.83</v>
      </c>
      <c r="U459" s="2">
        <f>VLOOKUP($C459,'[10]for slip'!$F:$BC,44,0)</f>
        <v>106861.66</v>
      </c>
      <c r="V459" s="2">
        <f>VLOOKUP($C459,'[10]for slip'!$F:$BC,45,0)</f>
        <v>53430.83</v>
      </c>
      <c r="W459" s="2">
        <f>VLOOKUP($C459,'[10]for slip'!$F:$BC,48,0)</f>
        <v>34354.584590750004</v>
      </c>
    </row>
    <row r="460" spans="1:23" x14ac:dyDescent="0.25">
      <c r="A460" s="1">
        <v>459</v>
      </c>
      <c r="B460" s="2" t="s">
        <v>939</v>
      </c>
      <c r="C460" s="2" t="s">
        <v>940</v>
      </c>
      <c r="D460" s="2" t="str">
        <f>VLOOKUP($C460,'[10]for slip'!$F:$BC,3,0)</f>
        <v>Pelaksana</v>
      </c>
      <c r="E460" s="2" t="str">
        <f>VLOOKUP($C460,'[10]for slip'!$F:$BC,4,0)</f>
        <v>PPIC</v>
      </c>
      <c r="F460" s="2">
        <f>VLOOKUP($C460,'[10]for slip'!$F:$BC,14,0)</f>
        <v>5343083</v>
      </c>
      <c r="G460" s="2">
        <f>VLOOKUP($C460,'[10]for slip'!$F:$BC,15,0)</f>
        <v>0</v>
      </c>
      <c r="H460" s="2">
        <f>VLOOKUP($C460,'[10]for slip'!$F:$BC,16,0)</f>
        <v>0</v>
      </c>
      <c r="I460" s="2">
        <f>VLOOKUP($C460,'[10]for slip'!$F:$BC,17,0)</f>
        <v>0</v>
      </c>
      <c r="J460" s="2">
        <f>VLOOKUP($C460,'[10]for slip'!$F:$BC,27,0)</f>
        <v>0</v>
      </c>
      <c r="K460" s="2">
        <f>VLOOKUP($C460,'[10]for slip'!$F:$BC,31,0)</f>
        <v>0</v>
      </c>
      <c r="L460" s="2">
        <f>VLOOKUP($C460,'[10]for slip'!$F:$BC,35,0)</f>
        <v>33319.515890749979</v>
      </c>
      <c r="M460" s="2">
        <f>VLOOKUP($C460,'[10]for slip'!$F:$BC,36,0)</f>
        <v>0</v>
      </c>
      <c r="N460" s="2">
        <f>VLOOKUP($C460,'[10]for slip'!$F:$BC,37,0)</f>
        <v>0</v>
      </c>
      <c r="O460" s="2">
        <f>VLOOKUP($C460,'[10]for slip'!$F:$BC,38,0)</f>
        <v>0</v>
      </c>
      <c r="P460" s="2">
        <f>VLOOKUP($C460,'[10]for slip'!$F:$BC,39,0)</f>
        <v>0</v>
      </c>
      <c r="Q460" s="2">
        <f>VLOOKUP($C460,'[10]for slip'!$F:$BC,40,0)</f>
        <v>31700</v>
      </c>
      <c r="R460" s="2">
        <f>VLOOKUP($C460,'[10]for slip'!$F:$BC,41,0)</f>
        <v>0</v>
      </c>
      <c r="S460" s="2">
        <f>VLOOKUP($C460,'[10]for slip'!$F:$BC,42,0)</f>
        <v>0</v>
      </c>
      <c r="T460" s="2">
        <f>VLOOKUP($C460,'[10]for slip'!$F:$BC,43,0)</f>
        <v>47983.1</v>
      </c>
      <c r="U460" s="2">
        <f>VLOOKUP($C460,'[10]for slip'!$F:$BC,44,0)</f>
        <v>106861.66</v>
      </c>
      <c r="V460" s="2">
        <f>VLOOKUP($C460,'[10]for slip'!$F:$BC,45,0)</f>
        <v>53430.83</v>
      </c>
      <c r="W460" s="2">
        <f>VLOOKUP($C460,'[10]for slip'!$F:$BC,48,0)</f>
        <v>33319.515890749979</v>
      </c>
    </row>
    <row r="461" spans="1:23" x14ac:dyDescent="0.25">
      <c r="A461" s="1">
        <v>460</v>
      </c>
      <c r="B461" s="2" t="s">
        <v>941</v>
      </c>
      <c r="C461" s="2" t="s">
        <v>942</v>
      </c>
      <c r="D461" s="2" t="str">
        <f>VLOOKUP($C461,'[10]for slip'!$F:$BC,3,0)</f>
        <v>Pelaksana</v>
      </c>
      <c r="E461" s="2" t="str">
        <f>VLOOKUP($C461,'[10]for slip'!$F:$BC,4,0)</f>
        <v>PPIC</v>
      </c>
      <c r="F461" s="2">
        <f>VLOOKUP($C461,'[10]for slip'!$F:$BC,14,0)</f>
        <v>5343083</v>
      </c>
      <c r="G461" s="2">
        <f>VLOOKUP($C461,'[10]for slip'!$F:$BC,15,0)</f>
        <v>0</v>
      </c>
      <c r="H461" s="2">
        <f>VLOOKUP($C461,'[10]for slip'!$F:$BC,16,0)</f>
        <v>0</v>
      </c>
      <c r="I461" s="2">
        <f>VLOOKUP($C461,'[10]for slip'!$F:$BC,17,0)</f>
        <v>0</v>
      </c>
      <c r="J461" s="2">
        <f>VLOOKUP($C461,'[10]for slip'!$F:$BC,27,0)</f>
        <v>0</v>
      </c>
      <c r="K461" s="2">
        <f>VLOOKUP($C461,'[10]for slip'!$F:$BC,31,0)</f>
        <v>0</v>
      </c>
      <c r="L461" s="2">
        <f>VLOOKUP($C461,'[10]for slip'!$F:$BC,35,0)</f>
        <v>0</v>
      </c>
      <c r="M461" s="2">
        <f>VLOOKUP($C461,'[10]for slip'!$F:$BC,36,0)</f>
        <v>0</v>
      </c>
      <c r="N461" s="2">
        <f>VLOOKUP($C461,'[10]for slip'!$F:$BC,37,0)</f>
        <v>0</v>
      </c>
      <c r="O461" s="2">
        <f>VLOOKUP($C461,'[10]for slip'!$F:$BC,38,0)</f>
        <v>0</v>
      </c>
      <c r="P461" s="2">
        <f>VLOOKUP($C461,'[10]for slip'!$F:$BC,39,0)</f>
        <v>0</v>
      </c>
      <c r="Q461" s="2">
        <f>VLOOKUP($C461,'[10]for slip'!$F:$BC,40,0)</f>
        <v>31700</v>
      </c>
      <c r="R461" s="2">
        <f>VLOOKUP($C461,'[10]for slip'!$F:$BC,41,0)</f>
        <v>0</v>
      </c>
      <c r="S461" s="2">
        <f>VLOOKUP($C461,'[10]for slip'!$F:$BC,42,0)</f>
        <v>0</v>
      </c>
      <c r="T461" s="2">
        <f>VLOOKUP($C461,'[10]for slip'!$F:$BC,43,0)</f>
        <v>53430.83</v>
      </c>
      <c r="U461" s="2">
        <f>VLOOKUP($C461,'[10]for slip'!$F:$BC,44,0)</f>
        <v>106861.66</v>
      </c>
      <c r="V461" s="2">
        <f>VLOOKUP($C461,'[10]for slip'!$F:$BC,45,0)</f>
        <v>53430.83</v>
      </c>
      <c r="W461" s="2">
        <f>VLOOKUP($C461,'[10]for slip'!$F:$BC,48,0)</f>
        <v>0</v>
      </c>
    </row>
    <row r="462" spans="1:23" x14ac:dyDescent="0.25">
      <c r="A462" s="1">
        <v>461</v>
      </c>
      <c r="B462" s="2" t="s">
        <v>943</v>
      </c>
      <c r="C462" s="2" t="s">
        <v>944</v>
      </c>
      <c r="D462" s="2" t="str">
        <f>VLOOKUP($C462,'[10]for slip'!$F:$BC,3,0)</f>
        <v>Staff</v>
      </c>
      <c r="E462" s="2" t="str">
        <f>VLOOKUP($C462,'[10]for slip'!$F:$BC,4,0)</f>
        <v>PPIC</v>
      </c>
      <c r="F462" s="2">
        <f>VLOOKUP($C462,'[10]for slip'!$F:$BC,14,0)</f>
        <v>5343083</v>
      </c>
      <c r="G462" s="2">
        <f>VLOOKUP($C462,'[10]for slip'!$F:$BC,15,0)</f>
        <v>0</v>
      </c>
      <c r="H462" s="2">
        <f>VLOOKUP($C462,'[10]for slip'!$F:$BC,16,0)</f>
        <v>0</v>
      </c>
      <c r="I462" s="2">
        <f>VLOOKUP($C462,'[10]for slip'!$F:$BC,17,0)</f>
        <v>0</v>
      </c>
      <c r="J462" s="2">
        <f>VLOOKUP($C462,'[10]for slip'!$F:$BC,27,0)</f>
        <v>0</v>
      </c>
      <c r="K462" s="2">
        <f>VLOOKUP($C462,'[10]for slip'!$F:$BC,31,0)</f>
        <v>0</v>
      </c>
      <c r="L462" s="2">
        <f>VLOOKUP($C462,'[10]for slip'!$F:$BC,35,0)</f>
        <v>0</v>
      </c>
      <c r="M462" s="2">
        <f>VLOOKUP($C462,'[10]for slip'!$F:$BC,36,0)</f>
        <v>0</v>
      </c>
      <c r="N462" s="2">
        <f>VLOOKUP($C462,'[10]for slip'!$F:$BC,37,0)</f>
        <v>0</v>
      </c>
      <c r="O462" s="2">
        <f>VLOOKUP($C462,'[10]for slip'!$F:$BC,38,0)</f>
        <v>0</v>
      </c>
      <c r="P462" s="2">
        <f>VLOOKUP($C462,'[10]for slip'!$F:$BC,39,0)</f>
        <v>0</v>
      </c>
      <c r="Q462" s="2">
        <f>VLOOKUP($C462,'[10]for slip'!$F:$BC,40,0)</f>
        <v>31700</v>
      </c>
      <c r="R462" s="2">
        <f>VLOOKUP($C462,'[10]for slip'!$F:$BC,41,0)</f>
        <v>0</v>
      </c>
      <c r="S462" s="2">
        <f>VLOOKUP($C462,'[10]for slip'!$F:$BC,42,0)</f>
        <v>10000</v>
      </c>
      <c r="T462" s="2">
        <f>VLOOKUP($C462,'[10]for slip'!$F:$BC,43,0)</f>
        <v>53430.83</v>
      </c>
      <c r="U462" s="2">
        <f>VLOOKUP($C462,'[10]for slip'!$F:$BC,44,0)</f>
        <v>106861.66</v>
      </c>
      <c r="V462" s="2">
        <f>VLOOKUP($C462,'[10]for slip'!$F:$BC,45,0)</f>
        <v>53430.83</v>
      </c>
      <c r="W462" s="2">
        <f>VLOOKUP($C462,'[10]for slip'!$F:$BC,48,0)</f>
        <v>0</v>
      </c>
    </row>
    <row r="463" spans="1:23" x14ac:dyDescent="0.25">
      <c r="A463" s="1">
        <v>462</v>
      </c>
      <c r="B463" s="2" t="s">
        <v>945</v>
      </c>
      <c r="C463" s="2" t="s">
        <v>946</v>
      </c>
      <c r="D463" s="2" t="str">
        <f>VLOOKUP($C463,'[10]for slip'!$F:$BC,3,0)</f>
        <v>Pelaksana</v>
      </c>
      <c r="E463" s="2" t="str">
        <f>VLOOKUP($C463,'[10]for slip'!$F:$BC,4,0)</f>
        <v>PPIC</v>
      </c>
      <c r="F463" s="2">
        <f>VLOOKUP($C463,'[10]for slip'!$F:$BC,14,0)</f>
        <v>5343083</v>
      </c>
      <c r="G463" s="2">
        <f>VLOOKUP($C463,'[10]for slip'!$F:$BC,15,0)</f>
        <v>0</v>
      </c>
      <c r="H463" s="2">
        <f>VLOOKUP($C463,'[10]for slip'!$F:$BC,16,0)</f>
        <v>0</v>
      </c>
      <c r="I463" s="2">
        <f>VLOOKUP($C463,'[10]for slip'!$F:$BC,17,0)</f>
        <v>0</v>
      </c>
      <c r="J463" s="2">
        <f>VLOOKUP($C463,'[10]for slip'!$F:$BC,27,0)</f>
        <v>0</v>
      </c>
      <c r="K463" s="2">
        <f>VLOOKUP($C463,'[10]for slip'!$F:$BC,31,0)</f>
        <v>0</v>
      </c>
      <c r="L463" s="2">
        <f>VLOOKUP($C463,'[10]for slip'!$F:$BC,35,0)</f>
        <v>0</v>
      </c>
      <c r="M463" s="2">
        <f>VLOOKUP($C463,'[10]for slip'!$F:$BC,36,0)</f>
        <v>0</v>
      </c>
      <c r="N463" s="2">
        <f>VLOOKUP($C463,'[10]for slip'!$F:$BC,37,0)</f>
        <v>0</v>
      </c>
      <c r="O463" s="2">
        <f>VLOOKUP($C463,'[10]for slip'!$F:$BC,38,0)</f>
        <v>0</v>
      </c>
      <c r="P463" s="2">
        <f>VLOOKUP($C463,'[10]for slip'!$F:$BC,39,0)</f>
        <v>38000</v>
      </c>
      <c r="Q463" s="2">
        <f>VLOOKUP($C463,'[10]for slip'!$F:$BC,40,0)</f>
        <v>31700</v>
      </c>
      <c r="R463" s="2">
        <f>VLOOKUP($C463,'[10]for slip'!$F:$BC,41,0)</f>
        <v>0</v>
      </c>
      <c r="S463" s="2">
        <f>VLOOKUP($C463,'[10]for slip'!$F:$BC,42,0)</f>
        <v>10000</v>
      </c>
      <c r="T463" s="2">
        <f>VLOOKUP($C463,'[10]for slip'!$F:$BC,43,0)</f>
        <v>53430.83</v>
      </c>
      <c r="U463" s="2">
        <f>VLOOKUP($C463,'[10]for slip'!$F:$BC,44,0)</f>
        <v>106861.66</v>
      </c>
      <c r="V463" s="2">
        <f>VLOOKUP($C463,'[10]for slip'!$F:$BC,45,0)</f>
        <v>53430.83</v>
      </c>
      <c r="W463" s="2">
        <f>VLOOKUP($C463,'[10]for slip'!$F:$BC,48,0)</f>
        <v>0</v>
      </c>
    </row>
    <row r="464" spans="1:23" x14ac:dyDescent="0.25">
      <c r="A464" s="1">
        <v>463</v>
      </c>
      <c r="B464" s="2" t="s">
        <v>947</v>
      </c>
      <c r="C464" s="2" t="s">
        <v>948</v>
      </c>
      <c r="D464" s="2" t="str">
        <f>VLOOKUP($C464,'[10]for slip'!$F:$BC,3,0)</f>
        <v>Staff</v>
      </c>
      <c r="E464" s="2" t="str">
        <f>VLOOKUP($C464,'[10]for slip'!$F:$BC,4,0)</f>
        <v>PPIC</v>
      </c>
      <c r="F464" s="2">
        <f>VLOOKUP($C464,'[10]for slip'!$F:$BC,14,0)</f>
        <v>4798312</v>
      </c>
      <c r="G464" s="2">
        <f>VLOOKUP($C464,'[10]for slip'!$F:$BC,15,0)</f>
        <v>0</v>
      </c>
      <c r="H464" s="2">
        <f>VLOOKUP($C464,'[10]for slip'!$F:$BC,16,0)</f>
        <v>722521</v>
      </c>
      <c r="I464" s="2">
        <f>VLOOKUP($C464,'[10]for slip'!$F:$BC,17,0)</f>
        <v>0</v>
      </c>
      <c r="J464" s="2">
        <f>VLOOKUP($C464,'[10]for slip'!$F:$BC,27,0)</f>
        <v>0</v>
      </c>
      <c r="K464" s="2">
        <f>VLOOKUP($C464,'[10]for slip'!$F:$BC,31,0)</f>
        <v>0</v>
      </c>
      <c r="L464" s="2">
        <f>VLOOKUP($C464,'[10]for slip'!$F:$BC,35,0)</f>
        <v>0</v>
      </c>
      <c r="M464" s="2">
        <f>VLOOKUP($C464,'[10]for slip'!$F:$BC,36,0)</f>
        <v>0</v>
      </c>
      <c r="N464" s="2">
        <f>VLOOKUP($C464,'[10]for slip'!$F:$BC,37,0)</f>
        <v>19</v>
      </c>
      <c r="O464" s="2">
        <f>VLOOKUP($C464,'[10]for slip'!$F:$BC,38,0)</f>
        <v>4995039</v>
      </c>
      <c r="P464" s="2">
        <f>VLOOKUP($C464,'[10]for slip'!$F:$BC,39,0)</f>
        <v>0</v>
      </c>
      <c r="Q464" s="2">
        <f>VLOOKUP($C464,'[10]for slip'!$F:$BC,40,0)</f>
        <v>0</v>
      </c>
      <c r="R464" s="2">
        <f>VLOOKUP($C464,'[10]for slip'!$F:$BC,41,0)</f>
        <v>0</v>
      </c>
      <c r="S464" s="2">
        <f>VLOOKUP($C464,'[10]for slip'!$F:$BC,42,0)</f>
        <v>0</v>
      </c>
      <c r="T464" s="2">
        <f>VLOOKUP($C464,'[10]for slip'!$F:$BC,43,0)</f>
        <v>0</v>
      </c>
      <c r="U464" s="2">
        <f>VLOOKUP($C464,'[10]for slip'!$F:$BC,44,0)</f>
        <v>110416.66</v>
      </c>
      <c r="V464" s="2">
        <f>VLOOKUP($C464,'[10]for slip'!$F:$BC,45,0)</f>
        <v>55208.33</v>
      </c>
      <c r="W464" s="2">
        <f>VLOOKUP($C464,'[10]for slip'!$F:$BC,48,0)</f>
        <v>0</v>
      </c>
    </row>
    <row r="465" spans="1:23" x14ac:dyDescent="0.25">
      <c r="A465" s="1">
        <v>464</v>
      </c>
      <c r="B465" s="2" t="s">
        <v>949</v>
      </c>
      <c r="C465" s="2" t="s">
        <v>950</v>
      </c>
      <c r="D465" s="2" t="str">
        <f>VLOOKUP($C465,'[10]for slip'!$F:$BC,3,0)</f>
        <v>Staff</v>
      </c>
      <c r="E465" s="2" t="str">
        <f>VLOOKUP($C465,'[10]for slip'!$F:$BC,4,0)</f>
        <v>PPIC</v>
      </c>
      <c r="F465" s="2">
        <f>VLOOKUP($C465,'[10]for slip'!$F:$BC,14,0)</f>
        <v>4798312</v>
      </c>
      <c r="G465" s="2">
        <f>VLOOKUP($C465,'[10]for slip'!$F:$BC,15,0)</f>
        <v>0</v>
      </c>
      <c r="H465" s="2">
        <f>VLOOKUP($C465,'[10]for slip'!$F:$BC,16,0)</f>
        <v>0</v>
      </c>
      <c r="I465" s="2">
        <f>VLOOKUP($C465,'[10]for slip'!$F:$BC,17,0)</f>
        <v>0</v>
      </c>
      <c r="J465" s="2">
        <f>VLOOKUP($C465,'[10]for slip'!$F:$BC,27,0)</f>
        <v>0</v>
      </c>
      <c r="K465" s="2">
        <f>VLOOKUP($C465,'[10]for slip'!$F:$BC,31,0)</f>
        <v>0</v>
      </c>
      <c r="L465" s="2">
        <f>VLOOKUP($C465,'[10]for slip'!$F:$BC,35,0)</f>
        <v>0</v>
      </c>
      <c r="M465" s="2">
        <f>VLOOKUP($C465,'[10]for slip'!$F:$BC,36,0)</f>
        <v>0</v>
      </c>
      <c r="N465" s="2">
        <f>VLOOKUP($C465,'[10]for slip'!$F:$BC,37,0)</f>
        <v>19</v>
      </c>
      <c r="O465" s="2">
        <f>VLOOKUP($C465,'[10]for slip'!$F:$BC,38,0)</f>
        <v>4341330</v>
      </c>
      <c r="P465" s="2">
        <f>VLOOKUP($C465,'[10]for slip'!$F:$BC,39,0)</f>
        <v>0</v>
      </c>
      <c r="Q465" s="2">
        <f>VLOOKUP($C465,'[10]for slip'!$F:$BC,40,0)</f>
        <v>0</v>
      </c>
      <c r="R465" s="2">
        <f>VLOOKUP($C465,'[10]for slip'!$F:$BC,41,0)</f>
        <v>0</v>
      </c>
      <c r="S465" s="2">
        <f>VLOOKUP($C465,'[10]for slip'!$F:$BC,42,0)</f>
        <v>0</v>
      </c>
      <c r="T465" s="2">
        <f>VLOOKUP($C465,'[10]for slip'!$F:$BC,43,0)</f>
        <v>0</v>
      </c>
      <c r="U465" s="2">
        <f>VLOOKUP($C465,'[10]for slip'!$F:$BC,44,0)</f>
        <v>95966.24</v>
      </c>
      <c r="V465" s="2">
        <f>VLOOKUP($C465,'[10]for slip'!$F:$BC,45,0)</f>
        <v>47983.12</v>
      </c>
      <c r="W465" s="2">
        <f>VLOOKUP($C465,'[10]for slip'!$F:$BC,48,0)</f>
        <v>0</v>
      </c>
    </row>
    <row r="466" spans="1:23" x14ac:dyDescent="0.25">
      <c r="A466" s="1">
        <v>465</v>
      </c>
      <c r="B466" s="2" t="s">
        <v>951</v>
      </c>
      <c r="C466" s="2" t="s">
        <v>952</v>
      </c>
      <c r="D466" s="2" t="str">
        <f>VLOOKUP($C466,'[10]for slip'!$F:$BC,3,0)</f>
        <v>Staff</v>
      </c>
      <c r="E466" s="2" t="str">
        <f>VLOOKUP($C466,'[10]for slip'!$F:$BC,4,0)</f>
        <v>PPIC</v>
      </c>
      <c r="F466" s="2">
        <f>VLOOKUP($C466,'[10]for slip'!$F:$BC,14,0)</f>
        <v>4798312</v>
      </c>
      <c r="G466" s="2">
        <f>VLOOKUP($C466,'[10]for slip'!$F:$BC,15,0)</f>
        <v>0</v>
      </c>
      <c r="H466" s="2">
        <f>VLOOKUP($C466,'[10]for slip'!$F:$BC,16,0)</f>
        <v>0</v>
      </c>
      <c r="I466" s="2">
        <f>VLOOKUP($C466,'[10]for slip'!$F:$BC,17,0)</f>
        <v>0</v>
      </c>
      <c r="J466" s="2">
        <f>VLOOKUP($C466,'[10]for slip'!$F:$BC,27,0)</f>
        <v>0</v>
      </c>
      <c r="K466" s="2">
        <f>VLOOKUP($C466,'[10]for slip'!$F:$BC,31,0)</f>
        <v>0</v>
      </c>
      <c r="L466" s="2">
        <f>VLOOKUP($C466,'[10]for slip'!$F:$BC,35,0)</f>
        <v>0</v>
      </c>
      <c r="M466" s="2">
        <f>VLOOKUP($C466,'[10]for slip'!$F:$BC,36,0)</f>
        <v>0</v>
      </c>
      <c r="N466" s="2">
        <f>VLOOKUP($C466,'[10]for slip'!$F:$BC,37,0)</f>
        <v>19</v>
      </c>
      <c r="O466" s="2">
        <f>VLOOKUP($C466,'[10]for slip'!$F:$BC,38,0)</f>
        <v>4341330</v>
      </c>
      <c r="P466" s="2">
        <f>VLOOKUP($C466,'[10]for slip'!$F:$BC,39,0)</f>
        <v>38000</v>
      </c>
      <c r="Q466" s="2">
        <f>VLOOKUP($C466,'[10]for slip'!$F:$BC,40,0)</f>
        <v>0</v>
      </c>
      <c r="R466" s="2">
        <f>VLOOKUP($C466,'[10]for slip'!$F:$BC,41,0)</f>
        <v>0</v>
      </c>
      <c r="S466" s="2">
        <f>VLOOKUP($C466,'[10]for slip'!$F:$BC,42,0)</f>
        <v>0</v>
      </c>
      <c r="T466" s="2">
        <f>VLOOKUP($C466,'[10]for slip'!$F:$BC,43,0)</f>
        <v>0</v>
      </c>
      <c r="U466" s="2">
        <f>VLOOKUP($C466,'[10]for slip'!$F:$BC,44,0)</f>
        <v>95966.24</v>
      </c>
      <c r="V466" s="2">
        <f>VLOOKUP($C466,'[10]for slip'!$F:$BC,45,0)</f>
        <v>47983.12</v>
      </c>
      <c r="W466" s="2">
        <f>VLOOKUP($C466,'[10]for slip'!$F:$BC,48,0)</f>
        <v>0</v>
      </c>
    </row>
    <row r="467" spans="1:23" x14ac:dyDescent="0.25">
      <c r="A467" s="1">
        <v>466</v>
      </c>
      <c r="B467" s="2" t="s">
        <v>953</v>
      </c>
      <c r="C467" s="2" t="s">
        <v>954</v>
      </c>
      <c r="D467" s="2" t="str">
        <f>VLOOKUP($C467,'[10]for slip'!$F:$BC,3,0)</f>
        <v>Staff</v>
      </c>
      <c r="E467" s="2" t="str">
        <f>VLOOKUP($C467,'[10]for slip'!$F:$BC,4,0)</f>
        <v>PPIC</v>
      </c>
      <c r="F467" s="2">
        <f>VLOOKUP($C467,'[10]for slip'!$F:$BC,14,0)</f>
        <v>4798312</v>
      </c>
      <c r="G467" s="2">
        <f>VLOOKUP($C467,'[10]for slip'!$F:$BC,15,0)</f>
        <v>0</v>
      </c>
      <c r="H467" s="2">
        <f>VLOOKUP($C467,'[10]for slip'!$F:$BC,16,0)</f>
        <v>0</v>
      </c>
      <c r="I467" s="2">
        <f>VLOOKUP($C467,'[10]for slip'!$F:$BC,17,0)</f>
        <v>0</v>
      </c>
      <c r="J467" s="2">
        <f>VLOOKUP($C467,'[10]for slip'!$F:$BC,27,0)</f>
        <v>0</v>
      </c>
      <c r="K467" s="2">
        <f>VLOOKUP($C467,'[10]for slip'!$F:$BC,31,0)</f>
        <v>0</v>
      </c>
      <c r="L467" s="2">
        <f>VLOOKUP($C467,'[10]for slip'!$F:$BC,35,0)</f>
        <v>0</v>
      </c>
      <c r="M467" s="2">
        <f>VLOOKUP($C467,'[10]for slip'!$F:$BC,36,0)</f>
        <v>0</v>
      </c>
      <c r="N467" s="2">
        <f>VLOOKUP($C467,'[10]for slip'!$F:$BC,37,0)</f>
        <v>19</v>
      </c>
      <c r="O467" s="2">
        <f>VLOOKUP($C467,'[10]for slip'!$F:$BC,38,0)</f>
        <v>4341330</v>
      </c>
      <c r="P467" s="2">
        <f>VLOOKUP($C467,'[10]for slip'!$F:$BC,39,0)</f>
        <v>38000</v>
      </c>
      <c r="Q467" s="2">
        <f>VLOOKUP($C467,'[10]for slip'!$F:$BC,40,0)</f>
        <v>0</v>
      </c>
      <c r="R467" s="2">
        <f>VLOOKUP($C467,'[10]for slip'!$F:$BC,41,0)</f>
        <v>0</v>
      </c>
      <c r="S467" s="2">
        <f>VLOOKUP($C467,'[10]for slip'!$F:$BC,42,0)</f>
        <v>0</v>
      </c>
      <c r="T467" s="2">
        <f>VLOOKUP($C467,'[10]for slip'!$F:$BC,43,0)</f>
        <v>0</v>
      </c>
      <c r="U467" s="2">
        <f>VLOOKUP($C467,'[10]for slip'!$F:$BC,44,0)</f>
        <v>95966.24</v>
      </c>
      <c r="V467" s="2">
        <f>VLOOKUP($C467,'[10]for slip'!$F:$BC,45,0)</f>
        <v>47983.12</v>
      </c>
      <c r="W467" s="2">
        <f>VLOOKUP($C467,'[10]for slip'!$F:$BC,48,0)</f>
        <v>0</v>
      </c>
    </row>
    <row r="468" spans="1:23" x14ac:dyDescent="0.25">
      <c r="A468" s="1">
        <v>467</v>
      </c>
      <c r="B468" s="2" t="s">
        <v>955</v>
      </c>
      <c r="C468" s="2" t="s">
        <v>956</v>
      </c>
      <c r="D468" s="2" t="str">
        <f>VLOOKUP($C468,'[10]for slip'!$F:$BC,3,0)</f>
        <v>Leader</v>
      </c>
      <c r="E468" s="2" t="str">
        <f>VLOOKUP($C468,'[10]for slip'!$F:$BC,4,0)</f>
        <v>FG &amp; ID PC</v>
      </c>
      <c r="F468" s="2">
        <f>VLOOKUP($C468,'[10]for slip'!$F:$BC,14,0)</f>
        <v>5343083</v>
      </c>
      <c r="G468" s="2">
        <f>VLOOKUP($C468,'[10]for slip'!$F:$BC,15,0)</f>
        <v>500000</v>
      </c>
      <c r="H468" s="2">
        <f>VLOOKUP($C468,'[10]for slip'!$F:$BC,16,0)</f>
        <v>0</v>
      </c>
      <c r="I468" s="2">
        <f>VLOOKUP($C468,'[10]for slip'!$F:$BC,17,0)</f>
        <v>0</v>
      </c>
      <c r="J468" s="2">
        <f>VLOOKUP($C468,'[10]for slip'!$F:$BC,27,0)</f>
        <v>0</v>
      </c>
      <c r="K468" s="2">
        <f>VLOOKUP($C468,'[10]for slip'!$F:$BC,31,0)</f>
        <v>0</v>
      </c>
      <c r="L468" s="2">
        <f>VLOOKUP($C468,'[10]for slip'!$F:$BC,35,0)</f>
        <v>0</v>
      </c>
      <c r="M468" s="2">
        <f>VLOOKUP($C468,'[10]for slip'!$F:$BC,36,0)</f>
        <v>0</v>
      </c>
      <c r="N468" s="2">
        <f>VLOOKUP($C468,'[10]for slip'!$F:$BC,37,0)</f>
        <v>0</v>
      </c>
      <c r="O468" s="2">
        <f>VLOOKUP($C468,'[10]for slip'!$F:$BC,38,0)</f>
        <v>0</v>
      </c>
      <c r="P468" s="2">
        <f>VLOOKUP($C468,'[10]for slip'!$F:$BC,39,0)</f>
        <v>38000</v>
      </c>
      <c r="Q468" s="2">
        <f>VLOOKUP($C468,'[10]for slip'!$F:$BC,40,0)</f>
        <v>31700</v>
      </c>
      <c r="R468" s="2">
        <f>VLOOKUP($C468,'[10]for slip'!$F:$BC,41,0)</f>
        <v>0</v>
      </c>
      <c r="S468" s="2">
        <f>VLOOKUP($C468,'[10]for slip'!$F:$BC,42,0)</f>
        <v>10000</v>
      </c>
      <c r="T468" s="2">
        <f>VLOOKUP($C468,'[10]for slip'!$F:$BC,43,0)</f>
        <v>58430.83</v>
      </c>
      <c r="U468" s="2">
        <f>VLOOKUP($C468,'[10]for slip'!$F:$BC,44,0)</f>
        <v>116861.66</v>
      </c>
      <c r="V468" s="2">
        <f>VLOOKUP($C468,'[10]for slip'!$F:$BC,45,0)</f>
        <v>58430.83</v>
      </c>
      <c r="W468" s="2">
        <f>VLOOKUP($C468,'[10]for slip'!$F:$BC,48,0)</f>
        <v>0</v>
      </c>
    </row>
    <row r="469" spans="1:23" x14ac:dyDescent="0.25">
      <c r="A469" s="1">
        <v>468</v>
      </c>
      <c r="B469" s="2" t="s">
        <v>957</v>
      </c>
      <c r="C469" s="2" t="s">
        <v>958</v>
      </c>
      <c r="D469" s="2" t="str">
        <f>VLOOKUP($C469,'[10]for slip'!$F:$BC,3,0)</f>
        <v>Leader</v>
      </c>
      <c r="E469" s="2" t="str">
        <f>VLOOKUP($C469,'[10]for slip'!$F:$BC,4,0)</f>
        <v>FG &amp; ID PC</v>
      </c>
      <c r="F469" s="2">
        <f>VLOOKUP($C469,'[10]for slip'!$F:$BC,14,0)</f>
        <v>5343083</v>
      </c>
      <c r="G469" s="2">
        <f>VLOOKUP($C469,'[10]for slip'!$F:$BC,15,0)</f>
        <v>500000</v>
      </c>
      <c r="H469" s="2">
        <f>VLOOKUP($C469,'[10]for slip'!$F:$BC,16,0)</f>
        <v>0</v>
      </c>
      <c r="I469" s="2">
        <f>VLOOKUP($C469,'[10]for slip'!$F:$BC,17,0)</f>
        <v>0</v>
      </c>
      <c r="J469" s="2">
        <f>VLOOKUP($C469,'[10]for slip'!$F:$BC,27,0)</f>
        <v>0</v>
      </c>
      <c r="K469" s="2">
        <f>VLOOKUP($C469,'[10]for slip'!$F:$BC,31,0)</f>
        <v>0</v>
      </c>
      <c r="L469" s="2">
        <f>VLOOKUP($C469,'[10]for slip'!$F:$BC,35,0)</f>
        <v>0</v>
      </c>
      <c r="M469" s="2">
        <f>VLOOKUP($C469,'[10]for slip'!$F:$BC,36,0)</f>
        <v>0</v>
      </c>
      <c r="N469" s="2">
        <f>VLOOKUP($C469,'[10]for slip'!$F:$BC,37,0)</f>
        <v>0</v>
      </c>
      <c r="O469" s="2">
        <f>VLOOKUP($C469,'[10]for slip'!$F:$BC,38,0)</f>
        <v>0</v>
      </c>
      <c r="P469" s="2">
        <f>VLOOKUP($C469,'[10]for slip'!$F:$BC,39,0)</f>
        <v>38000</v>
      </c>
      <c r="Q469" s="2">
        <f>VLOOKUP($C469,'[10]for slip'!$F:$BC,40,0)</f>
        <v>31700</v>
      </c>
      <c r="R469" s="2">
        <f>VLOOKUP($C469,'[10]for slip'!$F:$BC,41,0)</f>
        <v>0</v>
      </c>
      <c r="S469" s="2">
        <f>VLOOKUP($C469,'[10]for slip'!$F:$BC,42,0)</f>
        <v>0</v>
      </c>
      <c r="T469" s="2">
        <f>VLOOKUP($C469,'[10]for slip'!$F:$BC,43,0)</f>
        <v>58430.83</v>
      </c>
      <c r="U469" s="2">
        <f>VLOOKUP($C469,'[10]for slip'!$F:$BC,44,0)</f>
        <v>116861.66</v>
      </c>
      <c r="V469" s="2">
        <f>VLOOKUP($C469,'[10]for slip'!$F:$BC,45,0)</f>
        <v>58430.83</v>
      </c>
      <c r="W469" s="2">
        <f>VLOOKUP($C469,'[10]for slip'!$F:$BC,48,0)</f>
        <v>0</v>
      </c>
    </row>
    <row r="470" spans="1:23" x14ac:dyDescent="0.25">
      <c r="A470" s="1">
        <v>469</v>
      </c>
      <c r="B470" s="2" t="s">
        <v>959</v>
      </c>
      <c r="C470" s="2" t="s">
        <v>960</v>
      </c>
      <c r="D470" s="2" t="str">
        <f>VLOOKUP($C470,'[10]for slip'!$F:$BC,3,0)</f>
        <v>Staff</v>
      </c>
      <c r="E470" s="2" t="str">
        <f>VLOOKUP($C470,'[10]for slip'!$F:$BC,4,0)</f>
        <v>FG &amp; ID PC</v>
      </c>
      <c r="F470" s="2">
        <f>VLOOKUP($C470,'[10]for slip'!$F:$BC,14,0)</f>
        <v>5343083</v>
      </c>
      <c r="G470" s="2">
        <f>VLOOKUP($C470,'[10]for slip'!$F:$BC,15,0)</f>
        <v>0</v>
      </c>
      <c r="H470" s="2">
        <f>VLOOKUP($C470,'[10]for slip'!$F:$BC,16,0)</f>
        <v>0</v>
      </c>
      <c r="I470" s="2">
        <f>VLOOKUP($C470,'[10]for slip'!$F:$BC,17,0)</f>
        <v>0</v>
      </c>
      <c r="J470" s="2">
        <f>VLOOKUP($C470,'[10]for slip'!$F:$BC,27,0)</f>
        <v>0</v>
      </c>
      <c r="K470" s="2">
        <f>VLOOKUP($C470,'[10]for slip'!$F:$BC,31,0)</f>
        <v>0</v>
      </c>
      <c r="L470" s="2">
        <f>VLOOKUP($C470,'[10]for slip'!$F:$BC,35,0)</f>
        <v>34354.584590750004</v>
      </c>
      <c r="M470" s="2">
        <f>VLOOKUP($C470,'[10]for slip'!$F:$BC,36,0)</f>
        <v>0</v>
      </c>
      <c r="N470" s="2">
        <f>VLOOKUP($C470,'[10]for slip'!$F:$BC,37,0)</f>
        <v>0</v>
      </c>
      <c r="O470" s="2">
        <f>VLOOKUP($C470,'[10]for slip'!$F:$BC,38,0)</f>
        <v>0</v>
      </c>
      <c r="P470" s="2">
        <f>VLOOKUP($C470,'[10]for slip'!$F:$BC,39,0)</f>
        <v>38000</v>
      </c>
      <c r="Q470" s="2">
        <f>VLOOKUP($C470,'[10]for slip'!$F:$BC,40,0)</f>
        <v>31700</v>
      </c>
      <c r="R470" s="2">
        <f>VLOOKUP($C470,'[10]for slip'!$F:$BC,41,0)</f>
        <v>0</v>
      </c>
      <c r="S470" s="2">
        <f>VLOOKUP($C470,'[10]for slip'!$F:$BC,42,0)</f>
        <v>10000</v>
      </c>
      <c r="T470" s="2">
        <f>VLOOKUP($C470,'[10]for slip'!$F:$BC,43,0)</f>
        <v>53430.83</v>
      </c>
      <c r="U470" s="2">
        <f>VLOOKUP($C470,'[10]for slip'!$F:$BC,44,0)</f>
        <v>106861.66</v>
      </c>
      <c r="V470" s="2">
        <f>VLOOKUP($C470,'[10]for slip'!$F:$BC,45,0)</f>
        <v>53430.83</v>
      </c>
      <c r="W470" s="2">
        <f>VLOOKUP($C470,'[10]for slip'!$F:$BC,48,0)</f>
        <v>34354.584590750004</v>
      </c>
    </row>
    <row r="471" spans="1:23" x14ac:dyDescent="0.25">
      <c r="A471" s="1">
        <v>470</v>
      </c>
      <c r="B471" s="2" t="s">
        <v>961</v>
      </c>
      <c r="C471" s="2" t="s">
        <v>962</v>
      </c>
      <c r="D471" s="2" t="str">
        <f>VLOOKUP($C471,'[10]for slip'!$F:$BC,3,0)</f>
        <v>Pelaksana</v>
      </c>
      <c r="E471" s="2" t="str">
        <f>VLOOKUP($C471,'[10]for slip'!$F:$BC,4,0)</f>
        <v>FG &amp; ID PC</v>
      </c>
      <c r="F471" s="2">
        <f>VLOOKUP($C471,'[10]for slip'!$F:$BC,14,0)</f>
        <v>5343083</v>
      </c>
      <c r="G471" s="2">
        <f>VLOOKUP($C471,'[10]for slip'!$F:$BC,15,0)</f>
        <v>0</v>
      </c>
      <c r="H471" s="2">
        <f>VLOOKUP($C471,'[10]for slip'!$F:$BC,16,0)</f>
        <v>0</v>
      </c>
      <c r="I471" s="2">
        <f>VLOOKUP($C471,'[10]for slip'!$F:$BC,17,0)</f>
        <v>0</v>
      </c>
      <c r="J471" s="2">
        <f>VLOOKUP($C471,'[10]for slip'!$F:$BC,27,0)</f>
        <v>0</v>
      </c>
      <c r="K471" s="2">
        <f>VLOOKUP($C471,'[10]for slip'!$F:$BC,31,0)</f>
        <v>0</v>
      </c>
      <c r="L471" s="2">
        <f>VLOOKUP($C471,'[10]for slip'!$F:$BC,35,0)</f>
        <v>34354.584590750004</v>
      </c>
      <c r="M471" s="2">
        <f>VLOOKUP($C471,'[10]for slip'!$F:$BC,36,0)</f>
        <v>0</v>
      </c>
      <c r="N471" s="2">
        <f>VLOOKUP($C471,'[10]for slip'!$F:$BC,37,0)</f>
        <v>0</v>
      </c>
      <c r="O471" s="2">
        <f>VLOOKUP($C471,'[10]for slip'!$F:$BC,38,0)</f>
        <v>0</v>
      </c>
      <c r="P471" s="2">
        <f>VLOOKUP($C471,'[10]for slip'!$F:$BC,39,0)</f>
        <v>38000</v>
      </c>
      <c r="Q471" s="2">
        <f>VLOOKUP($C471,'[10]for slip'!$F:$BC,40,0)</f>
        <v>0</v>
      </c>
      <c r="R471" s="2">
        <f>VLOOKUP($C471,'[10]for slip'!$F:$BC,41,0)</f>
        <v>0</v>
      </c>
      <c r="S471" s="2">
        <f>VLOOKUP($C471,'[10]for slip'!$F:$BC,42,0)</f>
        <v>0</v>
      </c>
      <c r="T471" s="2">
        <f>VLOOKUP($C471,'[10]for slip'!$F:$BC,43,0)</f>
        <v>53430.83</v>
      </c>
      <c r="U471" s="2">
        <f>VLOOKUP($C471,'[10]for slip'!$F:$BC,44,0)</f>
        <v>106861.66</v>
      </c>
      <c r="V471" s="2">
        <f>VLOOKUP($C471,'[10]for slip'!$F:$BC,45,0)</f>
        <v>53430.83</v>
      </c>
      <c r="W471" s="2">
        <f>VLOOKUP($C471,'[10]for slip'!$F:$BC,48,0)</f>
        <v>34354.584590750004</v>
      </c>
    </row>
    <row r="472" spans="1:23" x14ac:dyDescent="0.25">
      <c r="A472" s="1">
        <v>471</v>
      </c>
      <c r="B472" s="2" t="s">
        <v>963</v>
      </c>
      <c r="C472" s="2" t="s">
        <v>964</v>
      </c>
      <c r="D472" s="2" t="str">
        <f>VLOOKUP($C472,'[10]for slip'!$F:$BC,3,0)</f>
        <v>Pelaksana</v>
      </c>
      <c r="E472" s="2" t="str">
        <f>VLOOKUP($C472,'[10]for slip'!$F:$BC,4,0)</f>
        <v>FG &amp; ID PC</v>
      </c>
      <c r="F472" s="2">
        <f>VLOOKUP($C472,'[10]for slip'!$F:$BC,14,0)</f>
        <v>5343083</v>
      </c>
      <c r="G472" s="2">
        <f>VLOOKUP($C472,'[10]for slip'!$F:$BC,15,0)</f>
        <v>0</v>
      </c>
      <c r="H472" s="2">
        <f>VLOOKUP($C472,'[10]for slip'!$F:$BC,16,0)</f>
        <v>0</v>
      </c>
      <c r="I472" s="2">
        <f>VLOOKUP($C472,'[10]for slip'!$F:$BC,17,0)</f>
        <v>0</v>
      </c>
      <c r="J472" s="2">
        <f>VLOOKUP($C472,'[10]for slip'!$F:$BC,27,0)</f>
        <v>0</v>
      </c>
      <c r="K472" s="2">
        <f>VLOOKUP($C472,'[10]for slip'!$F:$BC,31,0)</f>
        <v>0</v>
      </c>
      <c r="L472" s="2">
        <f>VLOOKUP($C472,'[10]for slip'!$F:$BC,35,0)</f>
        <v>34354.584590750004</v>
      </c>
      <c r="M472" s="2">
        <f>VLOOKUP($C472,'[10]for slip'!$F:$BC,36,0)</f>
        <v>0</v>
      </c>
      <c r="N472" s="2">
        <f>VLOOKUP($C472,'[10]for slip'!$F:$BC,37,0)</f>
        <v>0</v>
      </c>
      <c r="O472" s="2">
        <f>VLOOKUP($C472,'[10]for slip'!$F:$BC,38,0)</f>
        <v>0</v>
      </c>
      <c r="P472" s="2">
        <f>VLOOKUP($C472,'[10]for slip'!$F:$BC,39,0)</f>
        <v>38000</v>
      </c>
      <c r="Q472" s="2">
        <f>VLOOKUP($C472,'[10]for slip'!$F:$BC,40,0)</f>
        <v>31700</v>
      </c>
      <c r="R472" s="2">
        <f>VLOOKUP($C472,'[10]for slip'!$F:$BC,41,0)</f>
        <v>0</v>
      </c>
      <c r="S472" s="2">
        <f>VLOOKUP($C472,'[10]for slip'!$F:$BC,42,0)</f>
        <v>0</v>
      </c>
      <c r="T472" s="2">
        <f>VLOOKUP($C472,'[10]for slip'!$F:$BC,43,0)</f>
        <v>53430.83</v>
      </c>
      <c r="U472" s="2">
        <f>VLOOKUP($C472,'[10]for slip'!$F:$BC,44,0)</f>
        <v>106861.66</v>
      </c>
      <c r="V472" s="2">
        <f>VLOOKUP($C472,'[10]for slip'!$F:$BC,45,0)</f>
        <v>53430.83</v>
      </c>
      <c r="W472" s="2">
        <f>VLOOKUP($C472,'[10]for slip'!$F:$BC,48,0)</f>
        <v>34354.584590750004</v>
      </c>
    </row>
    <row r="473" spans="1:23" x14ac:dyDescent="0.25">
      <c r="A473" s="1">
        <v>472</v>
      </c>
      <c r="B473" s="2" t="s">
        <v>965</v>
      </c>
      <c r="C473" s="2" t="s">
        <v>966</v>
      </c>
      <c r="D473" s="2" t="str">
        <f>VLOOKUP($C473,'[10]for slip'!$F:$BC,3,0)</f>
        <v>Pelaksana</v>
      </c>
      <c r="E473" s="2" t="str">
        <f>VLOOKUP($C473,'[10]for slip'!$F:$BC,4,0)</f>
        <v>FG &amp; ID PC</v>
      </c>
      <c r="F473" s="2">
        <f>VLOOKUP($C473,'[10]for slip'!$F:$BC,14,0)</f>
        <v>5343083</v>
      </c>
      <c r="G473" s="2">
        <f>VLOOKUP($C473,'[10]for slip'!$F:$BC,15,0)</f>
        <v>0</v>
      </c>
      <c r="H473" s="2">
        <f>VLOOKUP($C473,'[10]for slip'!$F:$BC,16,0)</f>
        <v>0</v>
      </c>
      <c r="I473" s="2">
        <f>VLOOKUP($C473,'[10]for slip'!$F:$BC,17,0)</f>
        <v>0</v>
      </c>
      <c r="J473" s="2">
        <f>VLOOKUP($C473,'[10]for slip'!$F:$BC,27,0)</f>
        <v>0</v>
      </c>
      <c r="K473" s="2">
        <f>VLOOKUP($C473,'[10]for slip'!$F:$BC,31,0)</f>
        <v>0</v>
      </c>
      <c r="L473" s="2">
        <f>VLOOKUP($C473,'[10]for slip'!$F:$BC,35,0)</f>
        <v>0</v>
      </c>
      <c r="M473" s="2">
        <f>VLOOKUP($C473,'[10]for slip'!$F:$BC,36,0)</f>
        <v>0</v>
      </c>
      <c r="N473" s="2">
        <f>VLOOKUP($C473,'[10]for slip'!$F:$BC,37,0)</f>
        <v>0</v>
      </c>
      <c r="O473" s="2">
        <f>VLOOKUP($C473,'[10]for slip'!$F:$BC,38,0)</f>
        <v>0</v>
      </c>
      <c r="P473" s="2">
        <f>VLOOKUP($C473,'[10]for slip'!$F:$BC,39,0)</f>
        <v>38000</v>
      </c>
      <c r="Q473" s="2">
        <f>VLOOKUP($C473,'[10]for slip'!$F:$BC,40,0)</f>
        <v>31700</v>
      </c>
      <c r="R473" s="2">
        <f>VLOOKUP($C473,'[10]for slip'!$F:$BC,41,0)</f>
        <v>0</v>
      </c>
      <c r="S473" s="2">
        <f>VLOOKUP($C473,'[10]for slip'!$F:$BC,42,0)</f>
        <v>0</v>
      </c>
      <c r="T473" s="2">
        <f>VLOOKUP($C473,'[10]for slip'!$F:$BC,43,0)</f>
        <v>53430.83</v>
      </c>
      <c r="U473" s="2">
        <f>VLOOKUP($C473,'[10]for slip'!$F:$BC,44,0)</f>
        <v>106861.66</v>
      </c>
      <c r="V473" s="2">
        <f>VLOOKUP($C473,'[10]for slip'!$F:$BC,45,0)</f>
        <v>53430.83</v>
      </c>
      <c r="W473" s="2">
        <f>VLOOKUP($C473,'[10]for slip'!$F:$BC,48,0)</f>
        <v>0</v>
      </c>
    </row>
    <row r="474" spans="1:23" x14ac:dyDescent="0.25">
      <c r="A474" s="1">
        <v>473</v>
      </c>
      <c r="B474" s="2" t="s">
        <v>967</v>
      </c>
      <c r="C474" s="2" t="s">
        <v>968</v>
      </c>
      <c r="D474" s="2" t="str">
        <f>VLOOKUP($C474,'[10]for slip'!$F:$BC,3,0)</f>
        <v>Pelaksana</v>
      </c>
      <c r="E474" s="2" t="str">
        <f>VLOOKUP($C474,'[10]for slip'!$F:$BC,4,0)</f>
        <v>FG &amp; ID PC</v>
      </c>
      <c r="F474" s="2">
        <f>VLOOKUP($C474,'[10]for slip'!$F:$BC,14,0)</f>
        <v>5343083</v>
      </c>
      <c r="G474" s="2">
        <f>VLOOKUP($C474,'[10]for slip'!$F:$BC,15,0)</f>
        <v>0</v>
      </c>
      <c r="H474" s="2">
        <f>VLOOKUP($C474,'[10]for slip'!$F:$BC,16,0)</f>
        <v>0</v>
      </c>
      <c r="I474" s="2">
        <f>VLOOKUP($C474,'[10]for slip'!$F:$BC,17,0)</f>
        <v>0</v>
      </c>
      <c r="J474" s="2">
        <f>VLOOKUP($C474,'[10]for slip'!$F:$BC,27,0)</f>
        <v>0</v>
      </c>
      <c r="K474" s="2">
        <f>VLOOKUP($C474,'[10]for slip'!$F:$BC,31,0)</f>
        <v>0</v>
      </c>
      <c r="L474" s="2">
        <f>VLOOKUP($C474,'[10]for slip'!$F:$BC,35,0)</f>
        <v>0</v>
      </c>
      <c r="M474" s="2">
        <f>VLOOKUP($C474,'[10]for slip'!$F:$BC,36,0)</f>
        <v>0</v>
      </c>
      <c r="N474" s="2">
        <f>VLOOKUP($C474,'[10]for slip'!$F:$BC,37,0)</f>
        <v>0</v>
      </c>
      <c r="O474" s="2">
        <f>VLOOKUP($C474,'[10]for slip'!$F:$BC,38,0)</f>
        <v>0</v>
      </c>
      <c r="P474" s="2">
        <f>VLOOKUP($C474,'[10]for slip'!$F:$BC,39,0)</f>
        <v>38000</v>
      </c>
      <c r="Q474" s="2">
        <f>VLOOKUP($C474,'[10]for slip'!$F:$BC,40,0)</f>
        <v>31700</v>
      </c>
      <c r="R474" s="2">
        <f>VLOOKUP($C474,'[10]for slip'!$F:$BC,41,0)</f>
        <v>0</v>
      </c>
      <c r="S474" s="2">
        <f>VLOOKUP($C474,'[10]for slip'!$F:$BC,42,0)</f>
        <v>0</v>
      </c>
      <c r="T474" s="2">
        <f>VLOOKUP($C474,'[10]for slip'!$F:$BC,43,0)</f>
        <v>53430.83</v>
      </c>
      <c r="U474" s="2">
        <f>VLOOKUP($C474,'[10]for slip'!$F:$BC,44,0)</f>
        <v>106861.66</v>
      </c>
      <c r="V474" s="2">
        <f>VLOOKUP($C474,'[10]for slip'!$F:$BC,45,0)</f>
        <v>53430.83</v>
      </c>
      <c r="W474" s="2">
        <f>VLOOKUP($C474,'[10]for slip'!$F:$BC,48,0)</f>
        <v>0</v>
      </c>
    </row>
    <row r="475" spans="1:23" x14ac:dyDescent="0.25">
      <c r="A475" s="1">
        <v>474</v>
      </c>
      <c r="B475" s="2" t="s">
        <v>969</v>
      </c>
      <c r="C475" s="2" t="s">
        <v>970</v>
      </c>
      <c r="D475" s="2" t="str">
        <f>VLOOKUP($C475,'[10]for slip'!$F:$BC,3,0)</f>
        <v>Pelaksana</v>
      </c>
      <c r="E475" s="2" t="str">
        <f>VLOOKUP($C475,'[10]for slip'!$F:$BC,4,0)</f>
        <v>FG &amp; ID PC</v>
      </c>
      <c r="F475" s="2">
        <f>VLOOKUP($C475,'[10]for slip'!$F:$BC,14,0)</f>
        <v>5343083</v>
      </c>
      <c r="G475" s="2">
        <f>VLOOKUP($C475,'[10]for slip'!$F:$BC,15,0)</f>
        <v>0</v>
      </c>
      <c r="H475" s="2">
        <f>VLOOKUP($C475,'[10]for slip'!$F:$BC,16,0)</f>
        <v>0</v>
      </c>
      <c r="I475" s="2">
        <f>VLOOKUP($C475,'[10]for slip'!$F:$BC,17,0)</f>
        <v>0</v>
      </c>
      <c r="J475" s="2">
        <f>VLOOKUP($C475,'[10]for slip'!$F:$BC,27,0)</f>
        <v>0</v>
      </c>
      <c r="K475" s="2">
        <f>VLOOKUP($C475,'[10]for slip'!$F:$BC,31,0)</f>
        <v>0</v>
      </c>
      <c r="L475" s="2">
        <f>VLOOKUP($C475,'[10]for slip'!$F:$BC,35,0)</f>
        <v>34354.584590750004</v>
      </c>
      <c r="M475" s="2">
        <f>VLOOKUP($C475,'[10]for slip'!$F:$BC,36,0)</f>
        <v>0</v>
      </c>
      <c r="N475" s="2">
        <f>VLOOKUP($C475,'[10]for slip'!$F:$BC,37,0)</f>
        <v>0</v>
      </c>
      <c r="O475" s="2">
        <f>VLOOKUP($C475,'[10]for slip'!$F:$BC,38,0)</f>
        <v>0</v>
      </c>
      <c r="P475" s="2">
        <f>VLOOKUP($C475,'[10]for slip'!$F:$BC,39,0)</f>
        <v>38000</v>
      </c>
      <c r="Q475" s="2">
        <f>VLOOKUP($C475,'[10]for slip'!$F:$BC,40,0)</f>
        <v>31700</v>
      </c>
      <c r="R475" s="2">
        <f>VLOOKUP($C475,'[10]for slip'!$F:$BC,41,0)</f>
        <v>0</v>
      </c>
      <c r="S475" s="2">
        <f>VLOOKUP($C475,'[10]for slip'!$F:$BC,42,0)</f>
        <v>10000</v>
      </c>
      <c r="T475" s="2">
        <f>VLOOKUP($C475,'[10]for slip'!$F:$BC,43,0)</f>
        <v>53430.83</v>
      </c>
      <c r="U475" s="2">
        <f>VLOOKUP($C475,'[10]for slip'!$F:$BC,44,0)</f>
        <v>106861.66</v>
      </c>
      <c r="V475" s="2">
        <f>VLOOKUP($C475,'[10]for slip'!$F:$BC,45,0)</f>
        <v>53430.83</v>
      </c>
      <c r="W475" s="2">
        <f>VLOOKUP($C475,'[10]for slip'!$F:$BC,48,0)</f>
        <v>34354.584590750004</v>
      </c>
    </row>
    <row r="476" spans="1:23" x14ac:dyDescent="0.25">
      <c r="A476" s="1">
        <v>475</v>
      </c>
      <c r="B476" s="2" t="s">
        <v>971</v>
      </c>
      <c r="C476" s="2" t="s">
        <v>972</v>
      </c>
      <c r="D476" s="2" t="str">
        <f>VLOOKUP($C476,'[10]for slip'!$F:$BC,3,0)</f>
        <v>Pelaksana</v>
      </c>
      <c r="E476" s="2" t="str">
        <f>VLOOKUP($C476,'[10]for slip'!$F:$BC,4,0)</f>
        <v>FG &amp; ID PC</v>
      </c>
      <c r="F476" s="2">
        <f>VLOOKUP($C476,'[10]for slip'!$F:$BC,14,0)</f>
        <v>5343083</v>
      </c>
      <c r="G476" s="2">
        <f>VLOOKUP($C476,'[10]for slip'!$F:$BC,15,0)</f>
        <v>0</v>
      </c>
      <c r="H476" s="2">
        <f>VLOOKUP($C476,'[10]for slip'!$F:$BC,16,0)</f>
        <v>0</v>
      </c>
      <c r="I476" s="2">
        <f>VLOOKUP($C476,'[10]for slip'!$F:$BC,17,0)</f>
        <v>0</v>
      </c>
      <c r="J476" s="2">
        <f>VLOOKUP($C476,'[10]for slip'!$F:$BC,27,0)</f>
        <v>0</v>
      </c>
      <c r="K476" s="2">
        <f>VLOOKUP($C476,'[10]for slip'!$F:$BC,31,0)</f>
        <v>0</v>
      </c>
      <c r="L476" s="2">
        <f>VLOOKUP($C476,'[10]for slip'!$F:$BC,35,0)</f>
        <v>0</v>
      </c>
      <c r="M476" s="2">
        <f>VLOOKUP($C476,'[10]for slip'!$F:$BC,36,0)</f>
        <v>0</v>
      </c>
      <c r="N476" s="2">
        <f>VLOOKUP($C476,'[10]for slip'!$F:$BC,37,0)</f>
        <v>0</v>
      </c>
      <c r="O476" s="2">
        <f>VLOOKUP($C476,'[10]for slip'!$F:$BC,38,0)</f>
        <v>0</v>
      </c>
      <c r="P476" s="2">
        <f>VLOOKUP($C476,'[10]for slip'!$F:$BC,39,0)</f>
        <v>38000</v>
      </c>
      <c r="Q476" s="2">
        <f>VLOOKUP($C476,'[10]for slip'!$F:$BC,40,0)</f>
        <v>31700</v>
      </c>
      <c r="R476" s="2">
        <f>VLOOKUP($C476,'[10]for slip'!$F:$BC,41,0)</f>
        <v>0</v>
      </c>
      <c r="S476" s="2">
        <f>VLOOKUP($C476,'[10]for slip'!$F:$BC,42,0)</f>
        <v>0</v>
      </c>
      <c r="T476" s="2">
        <f>VLOOKUP($C476,'[10]for slip'!$F:$BC,43,0)</f>
        <v>53430.83</v>
      </c>
      <c r="U476" s="2">
        <f>VLOOKUP($C476,'[10]for slip'!$F:$BC,44,0)</f>
        <v>106861.66</v>
      </c>
      <c r="V476" s="2">
        <f>VLOOKUP($C476,'[10]for slip'!$F:$BC,45,0)</f>
        <v>53430.83</v>
      </c>
      <c r="W476" s="2">
        <f>VLOOKUP($C476,'[10]for slip'!$F:$BC,48,0)</f>
        <v>0</v>
      </c>
    </row>
    <row r="477" spans="1:23" x14ac:dyDescent="0.25">
      <c r="A477" s="1">
        <v>476</v>
      </c>
      <c r="B477" s="2" t="s">
        <v>973</v>
      </c>
      <c r="C477" s="2" t="s">
        <v>974</v>
      </c>
      <c r="D477" s="2" t="str">
        <f>VLOOKUP($C477,'[10]for slip'!$F:$BC,3,0)</f>
        <v>Pelaksana</v>
      </c>
      <c r="E477" s="2" t="str">
        <f>VLOOKUP($C477,'[10]for slip'!$F:$BC,4,0)</f>
        <v>FG &amp; ID PC</v>
      </c>
      <c r="F477" s="2">
        <f>VLOOKUP($C477,'[10]for slip'!$F:$BC,14,0)</f>
        <v>5343083</v>
      </c>
      <c r="G477" s="2">
        <f>VLOOKUP($C477,'[10]for slip'!$F:$BC,15,0)</f>
        <v>0</v>
      </c>
      <c r="H477" s="2">
        <f>VLOOKUP($C477,'[10]for slip'!$F:$BC,16,0)</f>
        <v>0</v>
      </c>
      <c r="I477" s="2">
        <f>VLOOKUP($C477,'[10]for slip'!$F:$BC,17,0)</f>
        <v>0</v>
      </c>
      <c r="J477" s="2">
        <f>VLOOKUP($C477,'[10]for slip'!$F:$BC,27,0)</f>
        <v>0</v>
      </c>
      <c r="K477" s="2">
        <f>VLOOKUP($C477,'[10]for slip'!$F:$BC,31,0)</f>
        <v>0</v>
      </c>
      <c r="L477" s="2">
        <f>VLOOKUP($C477,'[10]for slip'!$F:$BC,35,0)</f>
        <v>0</v>
      </c>
      <c r="M477" s="2">
        <f>VLOOKUP($C477,'[10]for slip'!$F:$BC,36,0)</f>
        <v>0</v>
      </c>
      <c r="N477" s="2">
        <f>VLOOKUP($C477,'[10]for slip'!$F:$BC,37,0)</f>
        <v>0</v>
      </c>
      <c r="O477" s="2">
        <f>VLOOKUP($C477,'[10]for slip'!$F:$BC,38,0)</f>
        <v>0</v>
      </c>
      <c r="P477" s="2">
        <f>VLOOKUP($C477,'[10]for slip'!$F:$BC,39,0)</f>
        <v>38000</v>
      </c>
      <c r="Q477" s="2">
        <f>VLOOKUP($C477,'[10]for slip'!$F:$BC,40,0)</f>
        <v>31700</v>
      </c>
      <c r="R477" s="2">
        <f>VLOOKUP($C477,'[10]for slip'!$F:$BC,41,0)</f>
        <v>0</v>
      </c>
      <c r="S477" s="2">
        <f>VLOOKUP($C477,'[10]for slip'!$F:$BC,42,0)</f>
        <v>0</v>
      </c>
      <c r="T477" s="2">
        <f>VLOOKUP($C477,'[10]for slip'!$F:$BC,43,0)</f>
        <v>53430.83</v>
      </c>
      <c r="U477" s="2">
        <f>VLOOKUP($C477,'[10]for slip'!$F:$BC,44,0)</f>
        <v>106861.66</v>
      </c>
      <c r="V477" s="2">
        <f>VLOOKUP($C477,'[10]for slip'!$F:$BC,45,0)</f>
        <v>53430.83</v>
      </c>
      <c r="W477" s="2">
        <f>VLOOKUP($C477,'[10]for slip'!$F:$BC,48,0)</f>
        <v>0</v>
      </c>
    </row>
    <row r="478" spans="1:23" x14ac:dyDescent="0.25">
      <c r="A478" s="1">
        <v>477</v>
      </c>
      <c r="B478" s="2" t="s">
        <v>975</v>
      </c>
      <c r="C478" s="2" t="s">
        <v>976</v>
      </c>
      <c r="D478" s="2" t="str">
        <f>VLOOKUP($C478,'[10]for slip'!$F:$BC,3,0)</f>
        <v>Pelaksana</v>
      </c>
      <c r="E478" s="2" t="str">
        <f>VLOOKUP($C478,'[10]for slip'!$F:$BC,4,0)</f>
        <v>FG &amp; ID PC</v>
      </c>
      <c r="F478" s="2">
        <f>VLOOKUP($C478,'[10]for slip'!$F:$BC,14,0)</f>
        <v>5343083</v>
      </c>
      <c r="G478" s="2">
        <f>VLOOKUP($C478,'[10]for slip'!$F:$BC,15,0)</f>
        <v>0</v>
      </c>
      <c r="H478" s="2">
        <f>VLOOKUP($C478,'[10]for slip'!$F:$BC,16,0)</f>
        <v>0</v>
      </c>
      <c r="I478" s="2">
        <f>VLOOKUP($C478,'[10]for slip'!$F:$BC,17,0)</f>
        <v>0</v>
      </c>
      <c r="J478" s="2">
        <f>VLOOKUP($C478,'[10]for slip'!$F:$BC,27,0)</f>
        <v>0</v>
      </c>
      <c r="K478" s="2">
        <f>VLOOKUP($C478,'[10]for slip'!$F:$BC,31,0)</f>
        <v>0</v>
      </c>
      <c r="L478" s="2">
        <f>VLOOKUP($C478,'[10]for slip'!$F:$BC,35,0)</f>
        <v>34354.584590750004</v>
      </c>
      <c r="M478" s="2">
        <f>VLOOKUP($C478,'[10]for slip'!$F:$BC,36,0)</f>
        <v>0</v>
      </c>
      <c r="N478" s="2">
        <f>VLOOKUP($C478,'[10]for slip'!$F:$BC,37,0)</f>
        <v>0</v>
      </c>
      <c r="O478" s="2">
        <f>VLOOKUP($C478,'[10]for slip'!$F:$BC,38,0)</f>
        <v>0</v>
      </c>
      <c r="P478" s="2">
        <f>VLOOKUP($C478,'[10]for slip'!$F:$BC,39,0)</f>
        <v>38000</v>
      </c>
      <c r="Q478" s="2">
        <f>VLOOKUP($C478,'[10]for slip'!$F:$BC,40,0)</f>
        <v>31700</v>
      </c>
      <c r="R478" s="2">
        <f>VLOOKUP($C478,'[10]for slip'!$F:$BC,41,0)</f>
        <v>0</v>
      </c>
      <c r="S478" s="2">
        <f>VLOOKUP($C478,'[10]for slip'!$F:$BC,42,0)</f>
        <v>0</v>
      </c>
      <c r="T478" s="2">
        <f>VLOOKUP($C478,'[10]for slip'!$F:$BC,43,0)</f>
        <v>53430.83</v>
      </c>
      <c r="U478" s="2">
        <f>VLOOKUP($C478,'[10]for slip'!$F:$BC,44,0)</f>
        <v>106861.66</v>
      </c>
      <c r="V478" s="2">
        <f>VLOOKUP($C478,'[10]for slip'!$F:$BC,45,0)</f>
        <v>53430.83</v>
      </c>
      <c r="W478" s="2">
        <f>VLOOKUP($C478,'[10]for slip'!$F:$BC,48,0)</f>
        <v>34354.584590750004</v>
      </c>
    </row>
    <row r="479" spans="1:23" x14ac:dyDescent="0.25">
      <c r="A479" s="1">
        <v>478</v>
      </c>
      <c r="B479" s="2" t="s">
        <v>977</v>
      </c>
      <c r="C479" s="2" t="s">
        <v>978</v>
      </c>
      <c r="D479" s="2" t="str">
        <f>VLOOKUP($C479,'[10]for slip'!$F:$BC,3,0)</f>
        <v>Pelaksana</v>
      </c>
      <c r="E479" s="2" t="str">
        <f>VLOOKUP($C479,'[10]for slip'!$F:$BC,4,0)</f>
        <v>FG &amp; ID PC</v>
      </c>
      <c r="F479" s="2">
        <f>VLOOKUP($C479,'[10]for slip'!$F:$BC,14,0)</f>
        <v>5343083</v>
      </c>
      <c r="G479" s="2">
        <f>VLOOKUP($C479,'[10]for slip'!$F:$BC,15,0)</f>
        <v>0</v>
      </c>
      <c r="H479" s="2">
        <f>VLOOKUP($C479,'[10]for slip'!$F:$BC,16,0)</f>
        <v>0</v>
      </c>
      <c r="I479" s="2">
        <f>VLOOKUP($C479,'[10]for slip'!$F:$BC,17,0)</f>
        <v>0</v>
      </c>
      <c r="J479" s="2">
        <f>VLOOKUP($C479,'[10]for slip'!$F:$BC,27,0)</f>
        <v>0</v>
      </c>
      <c r="K479" s="2">
        <f>VLOOKUP($C479,'[10]for slip'!$F:$BC,31,0)</f>
        <v>0</v>
      </c>
      <c r="L479" s="2">
        <f>VLOOKUP($C479,'[10]for slip'!$F:$BC,35,0)</f>
        <v>34354.584590750004</v>
      </c>
      <c r="M479" s="2">
        <f>VLOOKUP($C479,'[10]for slip'!$F:$BC,36,0)</f>
        <v>0</v>
      </c>
      <c r="N479" s="2">
        <f>VLOOKUP($C479,'[10]for slip'!$F:$BC,37,0)</f>
        <v>0</v>
      </c>
      <c r="O479" s="2">
        <f>VLOOKUP($C479,'[10]for slip'!$F:$BC,38,0)</f>
        <v>0</v>
      </c>
      <c r="P479" s="2">
        <f>VLOOKUP($C479,'[10]for slip'!$F:$BC,39,0)</f>
        <v>0</v>
      </c>
      <c r="Q479" s="2">
        <f>VLOOKUP($C479,'[10]for slip'!$F:$BC,40,0)</f>
        <v>31700</v>
      </c>
      <c r="R479" s="2">
        <f>VLOOKUP($C479,'[10]for slip'!$F:$BC,41,0)</f>
        <v>0</v>
      </c>
      <c r="S479" s="2">
        <f>VLOOKUP($C479,'[10]for slip'!$F:$BC,42,0)</f>
        <v>10000</v>
      </c>
      <c r="T479" s="2">
        <f>VLOOKUP($C479,'[10]for slip'!$F:$BC,43,0)</f>
        <v>53430.83</v>
      </c>
      <c r="U479" s="2">
        <f>VLOOKUP($C479,'[10]for slip'!$F:$BC,44,0)</f>
        <v>106861.66</v>
      </c>
      <c r="V479" s="2">
        <f>VLOOKUP($C479,'[10]for slip'!$F:$BC,45,0)</f>
        <v>53430.83</v>
      </c>
      <c r="W479" s="2">
        <f>VLOOKUP($C479,'[10]for slip'!$F:$BC,48,0)</f>
        <v>34354.584590750004</v>
      </c>
    </row>
    <row r="480" spans="1:23" x14ac:dyDescent="0.25">
      <c r="A480" s="1">
        <v>479</v>
      </c>
      <c r="B480" s="2" t="s">
        <v>979</v>
      </c>
      <c r="C480" s="2" t="s">
        <v>980</v>
      </c>
      <c r="D480" s="2" t="str">
        <f>VLOOKUP($C480,'[10]for slip'!$F:$BC,3,0)</f>
        <v>Pelaksana</v>
      </c>
      <c r="E480" s="2" t="str">
        <f>VLOOKUP($C480,'[10]for slip'!$F:$BC,4,0)</f>
        <v>FG &amp; ID PC</v>
      </c>
      <c r="F480" s="2">
        <f>VLOOKUP($C480,'[10]for slip'!$F:$BC,14,0)</f>
        <v>5343083</v>
      </c>
      <c r="G480" s="2">
        <f>VLOOKUP($C480,'[10]for slip'!$F:$BC,15,0)</f>
        <v>0</v>
      </c>
      <c r="H480" s="2">
        <f>VLOOKUP($C480,'[10]for slip'!$F:$BC,16,0)</f>
        <v>0</v>
      </c>
      <c r="I480" s="2">
        <f>VLOOKUP($C480,'[10]for slip'!$F:$BC,17,0)</f>
        <v>0</v>
      </c>
      <c r="J480" s="2">
        <f>VLOOKUP($C480,'[10]for slip'!$F:$BC,27,0)</f>
        <v>0</v>
      </c>
      <c r="K480" s="2">
        <f>VLOOKUP($C480,'[10]for slip'!$F:$BC,31,0)</f>
        <v>0</v>
      </c>
      <c r="L480" s="2">
        <f>VLOOKUP($C480,'[10]for slip'!$F:$BC,35,0)</f>
        <v>0</v>
      </c>
      <c r="M480" s="2">
        <f>VLOOKUP($C480,'[10]for slip'!$F:$BC,36,0)</f>
        <v>0</v>
      </c>
      <c r="N480" s="2">
        <f>VLOOKUP($C480,'[10]for slip'!$F:$BC,37,0)</f>
        <v>0</v>
      </c>
      <c r="O480" s="2">
        <f>VLOOKUP($C480,'[10]for slip'!$F:$BC,38,0)</f>
        <v>0</v>
      </c>
      <c r="P480" s="2">
        <f>VLOOKUP($C480,'[10]for slip'!$F:$BC,39,0)</f>
        <v>0</v>
      </c>
      <c r="Q480" s="2">
        <f>VLOOKUP($C480,'[10]for slip'!$F:$BC,40,0)</f>
        <v>31700</v>
      </c>
      <c r="R480" s="2">
        <f>VLOOKUP($C480,'[10]for slip'!$F:$BC,41,0)</f>
        <v>0</v>
      </c>
      <c r="S480" s="2">
        <f>VLOOKUP($C480,'[10]for slip'!$F:$BC,42,0)</f>
        <v>0</v>
      </c>
      <c r="T480" s="2">
        <f>VLOOKUP($C480,'[10]for slip'!$F:$BC,43,0)</f>
        <v>53430.83</v>
      </c>
      <c r="U480" s="2">
        <f>VLOOKUP($C480,'[10]for slip'!$F:$BC,44,0)</f>
        <v>106861.66</v>
      </c>
      <c r="V480" s="2">
        <f>VLOOKUP($C480,'[10]for slip'!$F:$BC,45,0)</f>
        <v>53430.83</v>
      </c>
      <c r="W480" s="2">
        <f>VLOOKUP($C480,'[10]for slip'!$F:$BC,48,0)</f>
        <v>0</v>
      </c>
    </row>
    <row r="481" spans="1:23" x14ac:dyDescent="0.25">
      <c r="A481" s="1">
        <v>480</v>
      </c>
      <c r="B481" s="2" t="s">
        <v>981</v>
      </c>
      <c r="C481" s="2" t="s">
        <v>982</v>
      </c>
      <c r="D481" s="2" t="str">
        <f>VLOOKUP($C481,'[10]for slip'!$F:$BC,3,0)</f>
        <v>Pelaksana</v>
      </c>
      <c r="E481" s="2" t="str">
        <f>VLOOKUP($C481,'[10]for slip'!$F:$BC,4,0)</f>
        <v>FG &amp; ID PC</v>
      </c>
      <c r="F481" s="2">
        <f>VLOOKUP($C481,'[10]for slip'!$F:$BC,14,0)</f>
        <v>5343083</v>
      </c>
      <c r="G481" s="2">
        <f>VLOOKUP($C481,'[10]for slip'!$F:$BC,15,0)</f>
        <v>0</v>
      </c>
      <c r="H481" s="2">
        <f>VLOOKUP($C481,'[10]for slip'!$F:$BC,16,0)</f>
        <v>0</v>
      </c>
      <c r="I481" s="2">
        <f>VLOOKUP($C481,'[10]for slip'!$F:$BC,17,0)</f>
        <v>0</v>
      </c>
      <c r="J481" s="2">
        <f>VLOOKUP($C481,'[10]for slip'!$F:$BC,27,0)</f>
        <v>0</v>
      </c>
      <c r="K481" s="2">
        <f>VLOOKUP($C481,'[10]for slip'!$F:$BC,31,0)</f>
        <v>0</v>
      </c>
      <c r="L481" s="2">
        <f>VLOOKUP($C481,'[10]for slip'!$F:$BC,35,0)</f>
        <v>34354.584590750004</v>
      </c>
      <c r="M481" s="2">
        <f>VLOOKUP($C481,'[10]for slip'!$F:$BC,36,0)</f>
        <v>0</v>
      </c>
      <c r="N481" s="2">
        <f>VLOOKUP($C481,'[10]for slip'!$F:$BC,37,0)</f>
        <v>0</v>
      </c>
      <c r="O481" s="2">
        <f>VLOOKUP($C481,'[10]for slip'!$F:$BC,38,0)</f>
        <v>0</v>
      </c>
      <c r="P481" s="2">
        <f>VLOOKUP($C481,'[10]for slip'!$F:$BC,39,0)</f>
        <v>38000</v>
      </c>
      <c r="Q481" s="2">
        <f>VLOOKUP($C481,'[10]for slip'!$F:$BC,40,0)</f>
        <v>31700</v>
      </c>
      <c r="R481" s="2">
        <f>VLOOKUP($C481,'[10]for slip'!$F:$BC,41,0)</f>
        <v>0</v>
      </c>
      <c r="S481" s="2">
        <f>VLOOKUP($C481,'[10]for slip'!$F:$BC,42,0)</f>
        <v>0</v>
      </c>
      <c r="T481" s="2">
        <f>VLOOKUP($C481,'[10]for slip'!$F:$BC,43,0)</f>
        <v>53430.83</v>
      </c>
      <c r="U481" s="2">
        <f>VLOOKUP($C481,'[10]for slip'!$F:$BC,44,0)</f>
        <v>106861.66</v>
      </c>
      <c r="V481" s="2">
        <f>VLOOKUP($C481,'[10]for slip'!$F:$BC,45,0)</f>
        <v>53430.83</v>
      </c>
      <c r="W481" s="2">
        <f>VLOOKUP($C481,'[10]for slip'!$F:$BC,48,0)</f>
        <v>34354.584590750004</v>
      </c>
    </row>
    <row r="482" spans="1:23" x14ac:dyDescent="0.25">
      <c r="A482" s="1">
        <v>481</v>
      </c>
      <c r="B482" s="2" t="s">
        <v>983</v>
      </c>
      <c r="C482" s="2" t="s">
        <v>984</v>
      </c>
      <c r="D482" s="2" t="str">
        <f>VLOOKUP($C482,'[10]for slip'!$F:$BC,3,0)</f>
        <v>Pelaksana</v>
      </c>
      <c r="E482" s="2" t="str">
        <f>VLOOKUP($C482,'[10]for slip'!$F:$BC,4,0)</f>
        <v>FG &amp; ID PC</v>
      </c>
      <c r="F482" s="2">
        <f>VLOOKUP($C482,'[10]for slip'!$F:$BC,14,0)</f>
        <v>5343083</v>
      </c>
      <c r="G482" s="2">
        <f>VLOOKUP($C482,'[10]for slip'!$F:$BC,15,0)</f>
        <v>0</v>
      </c>
      <c r="H482" s="2">
        <f>VLOOKUP($C482,'[10]for slip'!$F:$BC,16,0)</f>
        <v>0</v>
      </c>
      <c r="I482" s="2">
        <f>VLOOKUP($C482,'[10]for slip'!$F:$BC,17,0)</f>
        <v>0</v>
      </c>
      <c r="J482" s="2">
        <f>VLOOKUP($C482,'[10]for slip'!$F:$BC,27,0)</f>
        <v>0</v>
      </c>
      <c r="K482" s="2">
        <f>VLOOKUP($C482,'[10]for slip'!$F:$BC,31,0)</f>
        <v>0</v>
      </c>
      <c r="L482" s="2">
        <f>VLOOKUP($C482,'[10]for slip'!$F:$BC,35,0)</f>
        <v>0</v>
      </c>
      <c r="M482" s="2">
        <f>VLOOKUP($C482,'[10]for slip'!$F:$BC,36,0)</f>
        <v>0</v>
      </c>
      <c r="N482" s="2">
        <f>VLOOKUP($C482,'[10]for slip'!$F:$BC,37,0)</f>
        <v>0</v>
      </c>
      <c r="O482" s="2">
        <f>VLOOKUP($C482,'[10]for slip'!$F:$BC,38,0)</f>
        <v>0</v>
      </c>
      <c r="P482" s="2">
        <f>VLOOKUP($C482,'[10]for slip'!$F:$BC,39,0)</f>
        <v>0</v>
      </c>
      <c r="Q482" s="2">
        <f>VLOOKUP($C482,'[10]for slip'!$F:$BC,40,0)</f>
        <v>31700</v>
      </c>
      <c r="R482" s="2">
        <f>VLOOKUP($C482,'[10]for slip'!$F:$BC,41,0)</f>
        <v>0</v>
      </c>
      <c r="S482" s="2">
        <f>VLOOKUP($C482,'[10]for slip'!$F:$BC,42,0)</f>
        <v>0</v>
      </c>
      <c r="T482" s="2">
        <f>VLOOKUP($C482,'[10]for slip'!$F:$BC,43,0)</f>
        <v>53430.83</v>
      </c>
      <c r="U482" s="2">
        <f>VLOOKUP($C482,'[10]for slip'!$F:$BC,44,0)</f>
        <v>106861.66</v>
      </c>
      <c r="V482" s="2">
        <f>VLOOKUP($C482,'[10]for slip'!$F:$BC,45,0)</f>
        <v>53430.83</v>
      </c>
      <c r="W482" s="2">
        <f>VLOOKUP($C482,'[10]for slip'!$F:$BC,48,0)</f>
        <v>0</v>
      </c>
    </row>
    <row r="483" spans="1:23" x14ac:dyDescent="0.25">
      <c r="A483" s="1">
        <v>482</v>
      </c>
      <c r="B483" s="2" t="s">
        <v>985</v>
      </c>
      <c r="C483" s="2" t="s">
        <v>986</v>
      </c>
      <c r="D483" s="2" t="str">
        <f>VLOOKUP($C483,'[10]for slip'!$F:$BC,3,0)</f>
        <v>Pelaksana</v>
      </c>
      <c r="E483" s="2" t="str">
        <f>VLOOKUP($C483,'[10]for slip'!$F:$BC,4,0)</f>
        <v>FG &amp; ID PC</v>
      </c>
      <c r="F483" s="2">
        <f>VLOOKUP($C483,'[10]for slip'!$F:$BC,14,0)</f>
        <v>5343083</v>
      </c>
      <c r="G483" s="2">
        <f>VLOOKUP($C483,'[10]for slip'!$F:$BC,15,0)</f>
        <v>0</v>
      </c>
      <c r="H483" s="2">
        <f>VLOOKUP($C483,'[10]for slip'!$F:$BC,16,0)</f>
        <v>0</v>
      </c>
      <c r="I483" s="2">
        <f>VLOOKUP($C483,'[10]for slip'!$F:$BC,17,0)</f>
        <v>0</v>
      </c>
      <c r="J483" s="2">
        <f>VLOOKUP($C483,'[10]for slip'!$F:$BC,27,0)</f>
        <v>0</v>
      </c>
      <c r="K483" s="2">
        <f>VLOOKUP($C483,'[10]for slip'!$F:$BC,31,0)</f>
        <v>0</v>
      </c>
      <c r="L483" s="2">
        <f>VLOOKUP($C483,'[10]for slip'!$F:$BC,35,0)</f>
        <v>0</v>
      </c>
      <c r="M483" s="2">
        <f>VLOOKUP($C483,'[10]for slip'!$F:$BC,36,0)</f>
        <v>0</v>
      </c>
      <c r="N483" s="2">
        <f>VLOOKUP($C483,'[10]for slip'!$F:$BC,37,0)</f>
        <v>0</v>
      </c>
      <c r="O483" s="2">
        <f>VLOOKUP($C483,'[10]for slip'!$F:$BC,38,0)</f>
        <v>0</v>
      </c>
      <c r="P483" s="2">
        <f>VLOOKUP($C483,'[10]for slip'!$F:$BC,39,0)</f>
        <v>38000</v>
      </c>
      <c r="Q483" s="2">
        <f>VLOOKUP($C483,'[10]for slip'!$F:$BC,40,0)</f>
        <v>31700</v>
      </c>
      <c r="R483" s="2">
        <f>VLOOKUP($C483,'[10]for slip'!$F:$BC,41,0)</f>
        <v>0</v>
      </c>
      <c r="S483" s="2">
        <f>VLOOKUP($C483,'[10]for slip'!$F:$BC,42,0)</f>
        <v>10000</v>
      </c>
      <c r="T483" s="2">
        <f>VLOOKUP($C483,'[10]for slip'!$F:$BC,43,0)</f>
        <v>53430.83</v>
      </c>
      <c r="U483" s="2">
        <f>VLOOKUP($C483,'[10]for slip'!$F:$BC,44,0)</f>
        <v>106861.66</v>
      </c>
      <c r="V483" s="2">
        <f>VLOOKUP($C483,'[10]for slip'!$F:$BC,45,0)</f>
        <v>53430.83</v>
      </c>
      <c r="W483" s="2">
        <f>VLOOKUP($C483,'[10]for slip'!$F:$BC,48,0)</f>
        <v>0</v>
      </c>
    </row>
    <row r="484" spans="1:23" x14ac:dyDescent="0.25">
      <c r="A484" s="1">
        <v>483</v>
      </c>
      <c r="B484" s="2" t="s">
        <v>987</v>
      </c>
      <c r="C484" s="2" t="s">
        <v>988</v>
      </c>
      <c r="D484" s="2" t="str">
        <f>VLOOKUP($C484,'[10]for slip'!$F:$BC,3,0)</f>
        <v>Pelaksana</v>
      </c>
      <c r="E484" s="2" t="str">
        <f>VLOOKUP($C484,'[10]for slip'!$F:$BC,4,0)</f>
        <v>FG &amp; ID PC</v>
      </c>
      <c r="F484" s="2">
        <f>VLOOKUP($C484,'[10]for slip'!$F:$BC,14,0)</f>
        <v>5343083</v>
      </c>
      <c r="G484" s="2">
        <f>VLOOKUP($C484,'[10]for slip'!$F:$BC,15,0)</f>
        <v>0</v>
      </c>
      <c r="H484" s="2">
        <f>VLOOKUP($C484,'[10]for slip'!$F:$BC,16,0)</f>
        <v>0</v>
      </c>
      <c r="I484" s="2">
        <f>VLOOKUP($C484,'[10]for slip'!$F:$BC,17,0)</f>
        <v>0</v>
      </c>
      <c r="J484" s="2">
        <f>VLOOKUP($C484,'[10]for slip'!$F:$BC,27,0)</f>
        <v>0</v>
      </c>
      <c r="K484" s="2">
        <f>VLOOKUP($C484,'[10]for slip'!$F:$BC,31,0)</f>
        <v>0</v>
      </c>
      <c r="L484" s="2">
        <f>VLOOKUP($C484,'[10]for slip'!$F:$BC,35,0)</f>
        <v>0</v>
      </c>
      <c r="M484" s="2">
        <f>VLOOKUP($C484,'[10]for slip'!$F:$BC,36,0)</f>
        <v>0</v>
      </c>
      <c r="N484" s="2">
        <f>VLOOKUP($C484,'[10]for slip'!$F:$BC,37,0)</f>
        <v>0</v>
      </c>
      <c r="O484" s="2">
        <f>VLOOKUP($C484,'[10]for slip'!$F:$BC,38,0)</f>
        <v>0</v>
      </c>
      <c r="P484" s="2">
        <f>VLOOKUP($C484,'[10]for slip'!$F:$BC,39,0)</f>
        <v>38000</v>
      </c>
      <c r="Q484" s="2">
        <f>VLOOKUP($C484,'[10]for slip'!$F:$BC,40,0)</f>
        <v>31700</v>
      </c>
      <c r="R484" s="2">
        <f>VLOOKUP($C484,'[10]for slip'!$F:$BC,41,0)</f>
        <v>0</v>
      </c>
      <c r="S484" s="2">
        <f>VLOOKUP($C484,'[10]for slip'!$F:$BC,42,0)</f>
        <v>0</v>
      </c>
      <c r="T484" s="2">
        <f>VLOOKUP($C484,'[10]for slip'!$F:$BC,43,0)</f>
        <v>53430.83</v>
      </c>
      <c r="U484" s="2">
        <f>VLOOKUP($C484,'[10]for slip'!$F:$BC,44,0)</f>
        <v>106861.66</v>
      </c>
      <c r="V484" s="2">
        <f>VLOOKUP($C484,'[10]for slip'!$F:$BC,45,0)</f>
        <v>53430.83</v>
      </c>
      <c r="W484" s="2">
        <f>VLOOKUP($C484,'[10]for slip'!$F:$BC,48,0)</f>
        <v>0</v>
      </c>
    </row>
    <row r="485" spans="1:23" x14ac:dyDescent="0.25">
      <c r="A485" s="1">
        <v>484</v>
      </c>
      <c r="B485" s="2" t="s">
        <v>989</v>
      </c>
      <c r="C485" s="2" t="s">
        <v>990</v>
      </c>
      <c r="D485" s="2" t="str">
        <f>VLOOKUP($C485,'[10]for slip'!$F:$BC,3,0)</f>
        <v>Pelaksana</v>
      </c>
      <c r="E485" s="2" t="str">
        <f>VLOOKUP($C485,'[10]for slip'!$F:$BC,4,0)</f>
        <v>FG &amp; ID PC</v>
      </c>
      <c r="F485" s="2">
        <f>VLOOKUP($C485,'[10]for slip'!$F:$BC,14,0)</f>
        <v>5343083</v>
      </c>
      <c r="G485" s="2">
        <f>VLOOKUP($C485,'[10]for slip'!$F:$BC,15,0)</f>
        <v>0</v>
      </c>
      <c r="H485" s="2">
        <f>VLOOKUP($C485,'[10]for slip'!$F:$BC,16,0)</f>
        <v>0</v>
      </c>
      <c r="I485" s="2">
        <f>VLOOKUP($C485,'[10]for slip'!$F:$BC,17,0)</f>
        <v>0</v>
      </c>
      <c r="J485" s="2">
        <f>VLOOKUP($C485,'[10]for slip'!$F:$BC,27,0)</f>
        <v>0</v>
      </c>
      <c r="K485" s="2">
        <f>VLOOKUP($C485,'[10]for slip'!$F:$BC,31,0)</f>
        <v>0</v>
      </c>
      <c r="L485" s="2">
        <f>VLOOKUP($C485,'[10]for slip'!$F:$BC,35,0)</f>
        <v>0</v>
      </c>
      <c r="M485" s="2">
        <f>VLOOKUP($C485,'[10]for slip'!$F:$BC,36,0)</f>
        <v>0</v>
      </c>
      <c r="N485" s="2">
        <f>VLOOKUP($C485,'[10]for slip'!$F:$BC,37,0)</f>
        <v>0</v>
      </c>
      <c r="O485" s="2">
        <f>VLOOKUP($C485,'[10]for slip'!$F:$BC,38,0)</f>
        <v>0</v>
      </c>
      <c r="P485" s="2">
        <f>VLOOKUP($C485,'[10]for slip'!$F:$BC,39,0)</f>
        <v>38000</v>
      </c>
      <c r="Q485" s="2">
        <f>VLOOKUP($C485,'[10]for slip'!$F:$BC,40,0)</f>
        <v>31700</v>
      </c>
      <c r="R485" s="2">
        <f>VLOOKUP($C485,'[10]for slip'!$F:$BC,41,0)</f>
        <v>0</v>
      </c>
      <c r="S485" s="2">
        <f>VLOOKUP($C485,'[10]for slip'!$F:$BC,42,0)</f>
        <v>0</v>
      </c>
      <c r="T485" s="2">
        <f>VLOOKUP($C485,'[10]for slip'!$F:$BC,43,0)</f>
        <v>53430.83</v>
      </c>
      <c r="U485" s="2">
        <f>VLOOKUP($C485,'[10]for slip'!$F:$BC,44,0)</f>
        <v>106861.66</v>
      </c>
      <c r="V485" s="2">
        <f>VLOOKUP($C485,'[10]for slip'!$F:$BC,45,0)</f>
        <v>53430.83</v>
      </c>
      <c r="W485" s="2">
        <f>VLOOKUP($C485,'[10]for slip'!$F:$BC,48,0)</f>
        <v>0</v>
      </c>
    </row>
    <row r="486" spans="1:23" x14ac:dyDescent="0.25">
      <c r="A486" s="1">
        <v>485</v>
      </c>
      <c r="B486" s="2" t="s">
        <v>991</v>
      </c>
      <c r="C486" s="2" t="s">
        <v>992</v>
      </c>
      <c r="D486" s="2" t="str">
        <f>VLOOKUP($C486,'[10]for slip'!$F:$BC,3,0)</f>
        <v>Pelaksana</v>
      </c>
      <c r="E486" s="2" t="str">
        <f>VLOOKUP($C486,'[10]for slip'!$F:$BC,4,0)</f>
        <v>FG &amp; ID PC</v>
      </c>
      <c r="F486" s="2">
        <f>VLOOKUP($C486,'[10]for slip'!$F:$BC,14,0)</f>
        <v>5343083</v>
      </c>
      <c r="G486" s="2">
        <f>VLOOKUP($C486,'[10]for slip'!$F:$BC,15,0)</f>
        <v>0</v>
      </c>
      <c r="H486" s="2">
        <f>VLOOKUP($C486,'[10]for slip'!$F:$BC,16,0)</f>
        <v>0</v>
      </c>
      <c r="I486" s="2">
        <f>VLOOKUP($C486,'[10]for slip'!$F:$BC,17,0)</f>
        <v>0</v>
      </c>
      <c r="J486" s="2">
        <f>VLOOKUP($C486,'[10]for slip'!$F:$BC,27,0)</f>
        <v>0</v>
      </c>
      <c r="K486" s="2">
        <f>VLOOKUP($C486,'[10]for slip'!$F:$BC,31,0)</f>
        <v>0</v>
      </c>
      <c r="L486" s="2">
        <f>VLOOKUP($C486,'[10]for slip'!$F:$BC,35,0)</f>
        <v>34354.584590750004</v>
      </c>
      <c r="M486" s="2">
        <f>VLOOKUP($C486,'[10]for slip'!$F:$BC,36,0)</f>
        <v>0</v>
      </c>
      <c r="N486" s="2">
        <f>VLOOKUP($C486,'[10]for slip'!$F:$BC,37,0)</f>
        <v>0</v>
      </c>
      <c r="O486" s="2">
        <f>VLOOKUP($C486,'[10]for slip'!$F:$BC,38,0)</f>
        <v>0</v>
      </c>
      <c r="P486" s="2">
        <f>VLOOKUP($C486,'[10]for slip'!$F:$BC,39,0)</f>
        <v>38000</v>
      </c>
      <c r="Q486" s="2">
        <f>VLOOKUP($C486,'[10]for slip'!$F:$BC,40,0)</f>
        <v>31700</v>
      </c>
      <c r="R486" s="2">
        <f>VLOOKUP($C486,'[10]for slip'!$F:$BC,41,0)</f>
        <v>0</v>
      </c>
      <c r="S486" s="2">
        <f>VLOOKUP($C486,'[10]for slip'!$F:$BC,42,0)</f>
        <v>0</v>
      </c>
      <c r="T486" s="2">
        <f>VLOOKUP($C486,'[10]for slip'!$F:$BC,43,0)</f>
        <v>53430.83</v>
      </c>
      <c r="U486" s="2">
        <f>VLOOKUP($C486,'[10]for slip'!$F:$BC,44,0)</f>
        <v>106861.66</v>
      </c>
      <c r="V486" s="2">
        <f>VLOOKUP($C486,'[10]for slip'!$F:$BC,45,0)</f>
        <v>53430.83</v>
      </c>
      <c r="W486" s="2">
        <f>VLOOKUP($C486,'[10]for slip'!$F:$BC,48,0)</f>
        <v>34354.584590750004</v>
      </c>
    </row>
    <row r="487" spans="1:23" x14ac:dyDescent="0.25">
      <c r="A487" s="1">
        <v>486</v>
      </c>
      <c r="B487" s="2" t="s">
        <v>993</v>
      </c>
      <c r="C487" s="2" t="s">
        <v>994</v>
      </c>
      <c r="D487" s="2" t="str">
        <f>VLOOKUP($C487,'[10]for slip'!$F:$BC,3,0)</f>
        <v>Pelaksana</v>
      </c>
      <c r="E487" s="2" t="str">
        <f>VLOOKUP($C487,'[10]for slip'!$F:$BC,4,0)</f>
        <v>FG &amp; ID PC</v>
      </c>
      <c r="F487" s="2">
        <f>VLOOKUP($C487,'[10]for slip'!$F:$BC,14,0)</f>
        <v>5343083</v>
      </c>
      <c r="G487" s="2">
        <f>VLOOKUP($C487,'[10]for slip'!$F:$BC,15,0)</f>
        <v>0</v>
      </c>
      <c r="H487" s="2">
        <f>VLOOKUP($C487,'[10]for slip'!$F:$BC,16,0)</f>
        <v>0</v>
      </c>
      <c r="I487" s="2">
        <f>VLOOKUP($C487,'[10]for slip'!$F:$BC,17,0)</f>
        <v>0</v>
      </c>
      <c r="J487" s="2">
        <f>VLOOKUP($C487,'[10]for slip'!$F:$BC,27,0)</f>
        <v>0</v>
      </c>
      <c r="K487" s="2">
        <f>VLOOKUP($C487,'[10]for slip'!$F:$BC,31,0)</f>
        <v>0</v>
      </c>
      <c r="L487" s="2">
        <f>VLOOKUP($C487,'[10]for slip'!$F:$BC,35,0)</f>
        <v>15604.584590750002</v>
      </c>
      <c r="M487" s="2">
        <f>VLOOKUP($C487,'[10]for slip'!$F:$BC,36,0)</f>
        <v>0</v>
      </c>
      <c r="N487" s="2">
        <f>VLOOKUP($C487,'[10]for slip'!$F:$BC,37,0)</f>
        <v>0</v>
      </c>
      <c r="O487" s="2">
        <f>VLOOKUP($C487,'[10]for slip'!$F:$BC,38,0)</f>
        <v>0</v>
      </c>
      <c r="P487" s="2">
        <f>VLOOKUP($C487,'[10]for slip'!$F:$BC,39,0)</f>
        <v>38000</v>
      </c>
      <c r="Q487" s="2">
        <f>VLOOKUP($C487,'[10]for slip'!$F:$BC,40,0)</f>
        <v>31700</v>
      </c>
      <c r="R487" s="2">
        <f>VLOOKUP($C487,'[10]for slip'!$F:$BC,41,0)</f>
        <v>0</v>
      </c>
      <c r="S487" s="2">
        <f>VLOOKUP($C487,'[10]for slip'!$F:$BC,42,0)</f>
        <v>10000</v>
      </c>
      <c r="T487" s="2">
        <f>VLOOKUP($C487,'[10]for slip'!$F:$BC,43,0)</f>
        <v>53430.83</v>
      </c>
      <c r="U487" s="2">
        <f>VLOOKUP($C487,'[10]for slip'!$F:$BC,44,0)</f>
        <v>106861.66</v>
      </c>
      <c r="V487" s="2">
        <f>VLOOKUP($C487,'[10]for slip'!$F:$BC,45,0)</f>
        <v>53430.83</v>
      </c>
      <c r="W487" s="2">
        <f>VLOOKUP($C487,'[10]for slip'!$F:$BC,48,0)</f>
        <v>15604.584590750002</v>
      </c>
    </row>
    <row r="488" spans="1:23" x14ac:dyDescent="0.25">
      <c r="A488" s="1">
        <v>487</v>
      </c>
      <c r="B488" s="2" t="s">
        <v>995</v>
      </c>
      <c r="C488" s="2" t="s">
        <v>996</v>
      </c>
      <c r="D488" s="2" t="str">
        <f>VLOOKUP($C488,'[10]for slip'!$F:$BC,3,0)</f>
        <v>Pelaksana</v>
      </c>
      <c r="E488" s="2" t="str">
        <f>VLOOKUP($C488,'[10]for slip'!$F:$BC,4,0)</f>
        <v>FG &amp; ID PC</v>
      </c>
      <c r="F488" s="2">
        <f>VLOOKUP($C488,'[10]for slip'!$F:$BC,14,0)</f>
        <v>5343083</v>
      </c>
      <c r="G488" s="2">
        <f>VLOOKUP($C488,'[10]for slip'!$F:$BC,15,0)</f>
        <v>0</v>
      </c>
      <c r="H488" s="2">
        <f>VLOOKUP($C488,'[10]for slip'!$F:$BC,16,0)</f>
        <v>0</v>
      </c>
      <c r="I488" s="2">
        <f>VLOOKUP($C488,'[10]for slip'!$F:$BC,17,0)</f>
        <v>0</v>
      </c>
      <c r="J488" s="2">
        <f>VLOOKUP($C488,'[10]for slip'!$F:$BC,27,0)</f>
        <v>0</v>
      </c>
      <c r="K488" s="2">
        <f>VLOOKUP($C488,'[10]for slip'!$F:$BC,31,0)</f>
        <v>0</v>
      </c>
      <c r="L488" s="2">
        <f>VLOOKUP($C488,'[10]for slip'!$F:$BC,35,0)</f>
        <v>0</v>
      </c>
      <c r="M488" s="2">
        <f>VLOOKUP($C488,'[10]for slip'!$F:$BC,36,0)</f>
        <v>0</v>
      </c>
      <c r="N488" s="2">
        <f>VLOOKUP($C488,'[10]for slip'!$F:$BC,37,0)</f>
        <v>0</v>
      </c>
      <c r="O488" s="2">
        <f>VLOOKUP($C488,'[10]for slip'!$F:$BC,38,0)</f>
        <v>0</v>
      </c>
      <c r="P488" s="2">
        <f>VLOOKUP($C488,'[10]for slip'!$F:$BC,39,0)</f>
        <v>38000</v>
      </c>
      <c r="Q488" s="2">
        <f>VLOOKUP($C488,'[10]for slip'!$F:$BC,40,0)</f>
        <v>31700</v>
      </c>
      <c r="R488" s="2">
        <f>VLOOKUP($C488,'[10]for slip'!$F:$BC,41,0)</f>
        <v>0</v>
      </c>
      <c r="S488" s="2">
        <f>VLOOKUP($C488,'[10]for slip'!$F:$BC,42,0)</f>
        <v>0</v>
      </c>
      <c r="T488" s="2">
        <f>VLOOKUP($C488,'[10]for slip'!$F:$BC,43,0)</f>
        <v>53430.83</v>
      </c>
      <c r="U488" s="2">
        <f>VLOOKUP($C488,'[10]for slip'!$F:$BC,44,0)</f>
        <v>106861.66</v>
      </c>
      <c r="V488" s="2">
        <f>VLOOKUP($C488,'[10]for slip'!$F:$BC,45,0)</f>
        <v>53430.83</v>
      </c>
      <c r="W488" s="2">
        <f>VLOOKUP($C488,'[10]for slip'!$F:$BC,48,0)</f>
        <v>0</v>
      </c>
    </row>
    <row r="489" spans="1:23" x14ac:dyDescent="0.25">
      <c r="A489" s="1">
        <v>488</v>
      </c>
      <c r="B489" s="2" t="s">
        <v>997</v>
      </c>
      <c r="C489" s="2" t="s">
        <v>998</v>
      </c>
      <c r="D489" s="2" t="str">
        <f>VLOOKUP($C489,'[10]for slip'!$F:$BC,3,0)</f>
        <v>Pelaksana</v>
      </c>
      <c r="E489" s="2" t="str">
        <f>VLOOKUP($C489,'[10]for slip'!$F:$BC,4,0)</f>
        <v>FG &amp; ID PC</v>
      </c>
      <c r="F489" s="2">
        <f>VLOOKUP($C489,'[10]for slip'!$F:$BC,14,0)</f>
        <v>5343083</v>
      </c>
      <c r="G489" s="2">
        <f>VLOOKUP($C489,'[10]for slip'!$F:$BC,15,0)</f>
        <v>0</v>
      </c>
      <c r="H489" s="2">
        <f>VLOOKUP($C489,'[10]for slip'!$F:$BC,16,0)</f>
        <v>0</v>
      </c>
      <c r="I489" s="2">
        <f>VLOOKUP($C489,'[10]for slip'!$F:$BC,17,0)</f>
        <v>0</v>
      </c>
      <c r="J489" s="2">
        <f>VLOOKUP($C489,'[10]for slip'!$F:$BC,27,0)</f>
        <v>0</v>
      </c>
      <c r="K489" s="2">
        <f>VLOOKUP($C489,'[10]for slip'!$F:$BC,31,0)</f>
        <v>0</v>
      </c>
      <c r="L489" s="2">
        <f>VLOOKUP($C489,'[10]for slip'!$F:$BC,35,0)</f>
        <v>34354.584590750004</v>
      </c>
      <c r="M489" s="2">
        <f>VLOOKUP($C489,'[10]for slip'!$F:$BC,36,0)</f>
        <v>0</v>
      </c>
      <c r="N489" s="2">
        <f>VLOOKUP($C489,'[10]for slip'!$F:$BC,37,0)</f>
        <v>0</v>
      </c>
      <c r="O489" s="2">
        <f>VLOOKUP($C489,'[10]for slip'!$F:$BC,38,0)</f>
        <v>0</v>
      </c>
      <c r="P489" s="2">
        <f>VLOOKUP($C489,'[10]for slip'!$F:$BC,39,0)</f>
        <v>38000</v>
      </c>
      <c r="Q489" s="2">
        <f>VLOOKUP($C489,'[10]for slip'!$F:$BC,40,0)</f>
        <v>31700</v>
      </c>
      <c r="R489" s="2">
        <f>VLOOKUP($C489,'[10]for slip'!$F:$BC,41,0)</f>
        <v>0</v>
      </c>
      <c r="S489" s="2">
        <f>VLOOKUP($C489,'[10]for slip'!$F:$BC,42,0)</f>
        <v>0</v>
      </c>
      <c r="T489" s="2">
        <f>VLOOKUP($C489,'[10]for slip'!$F:$BC,43,0)</f>
        <v>53430.83</v>
      </c>
      <c r="U489" s="2">
        <f>VLOOKUP($C489,'[10]for slip'!$F:$BC,44,0)</f>
        <v>106861.66</v>
      </c>
      <c r="V489" s="2">
        <f>VLOOKUP($C489,'[10]for slip'!$F:$BC,45,0)</f>
        <v>53430.83</v>
      </c>
      <c r="W489" s="2">
        <f>VLOOKUP($C489,'[10]for slip'!$F:$BC,48,0)</f>
        <v>34354.584590750004</v>
      </c>
    </row>
    <row r="490" spans="1:23" x14ac:dyDescent="0.25">
      <c r="A490" s="1">
        <v>489</v>
      </c>
      <c r="B490" s="2" t="s">
        <v>999</v>
      </c>
      <c r="C490" s="2" t="s">
        <v>1000</v>
      </c>
      <c r="D490" s="2" t="str">
        <f>VLOOKUP($C490,'[10]for slip'!$F:$BC,3,0)</f>
        <v>Pelaksana</v>
      </c>
      <c r="E490" s="2" t="str">
        <f>VLOOKUP($C490,'[10]for slip'!$F:$BC,4,0)</f>
        <v>FG &amp; ID PC</v>
      </c>
      <c r="F490" s="2">
        <f>VLOOKUP($C490,'[10]for slip'!$F:$BC,14,0)</f>
        <v>5343083</v>
      </c>
      <c r="G490" s="2">
        <f>VLOOKUP($C490,'[10]for slip'!$F:$BC,15,0)</f>
        <v>0</v>
      </c>
      <c r="H490" s="2">
        <f>VLOOKUP($C490,'[10]for slip'!$F:$BC,16,0)</f>
        <v>0</v>
      </c>
      <c r="I490" s="2">
        <f>VLOOKUP($C490,'[10]for slip'!$F:$BC,17,0)</f>
        <v>0</v>
      </c>
      <c r="J490" s="2">
        <f>VLOOKUP($C490,'[10]for slip'!$F:$BC,27,0)</f>
        <v>0</v>
      </c>
      <c r="K490" s="2">
        <f>VLOOKUP($C490,'[10]for slip'!$F:$BC,31,0)</f>
        <v>0</v>
      </c>
      <c r="L490" s="2">
        <f>VLOOKUP($C490,'[10]for slip'!$F:$BC,35,0)</f>
        <v>0</v>
      </c>
      <c r="M490" s="2">
        <f>VLOOKUP($C490,'[10]for slip'!$F:$BC,36,0)</f>
        <v>0</v>
      </c>
      <c r="N490" s="2">
        <f>VLOOKUP($C490,'[10]for slip'!$F:$BC,37,0)</f>
        <v>0</v>
      </c>
      <c r="O490" s="2">
        <f>VLOOKUP($C490,'[10]for slip'!$F:$BC,38,0)</f>
        <v>0</v>
      </c>
      <c r="P490" s="2">
        <f>VLOOKUP($C490,'[10]for slip'!$F:$BC,39,0)</f>
        <v>38000</v>
      </c>
      <c r="Q490" s="2">
        <f>VLOOKUP($C490,'[10]for slip'!$F:$BC,40,0)</f>
        <v>31700</v>
      </c>
      <c r="R490" s="2">
        <f>VLOOKUP($C490,'[10]for slip'!$F:$BC,41,0)</f>
        <v>0</v>
      </c>
      <c r="S490" s="2">
        <f>VLOOKUP($C490,'[10]for slip'!$F:$BC,42,0)</f>
        <v>0</v>
      </c>
      <c r="T490" s="2">
        <f>VLOOKUP($C490,'[10]for slip'!$F:$BC,43,0)</f>
        <v>53430.83</v>
      </c>
      <c r="U490" s="2">
        <f>VLOOKUP($C490,'[10]for slip'!$F:$BC,44,0)</f>
        <v>106861.66</v>
      </c>
      <c r="V490" s="2">
        <f>VLOOKUP($C490,'[10]for slip'!$F:$BC,45,0)</f>
        <v>53430.83</v>
      </c>
      <c r="W490" s="2">
        <f>VLOOKUP($C490,'[10]for slip'!$F:$BC,48,0)</f>
        <v>0</v>
      </c>
    </row>
    <row r="491" spans="1:23" x14ac:dyDescent="0.25">
      <c r="A491" s="1">
        <v>490</v>
      </c>
      <c r="B491" s="2" t="s">
        <v>1001</v>
      </c>
      <c r="C491" s="2" t="s">
        <v>1002</v>
      </c>
      <c r="D491" s="2" t="str">
        <f>VLOOKUP($C491,'[10]for slip'!$F:$BC,3,0)</f>
        <v>Pelaksana</v>
      </c>
      <c r="E491" s="2" t="str">
        <f>VLOOKUP($C491,'[10]for slip'!$F:$BC,4,0)</f>
        <v>FG &amp; ID PC</v>
      </c>
      <c r="F491" s="2">
        <f>VLOOKUP($C491,'[10]for slip'!$F:$BC,14,0)</f>
        <v>5343083</v>
      </c>
      <c r="G491" s="2">
        <f>VLOOKUP($C491,'[10]for slip'!$F:$BC,15,0)</f>
        <v>0</v>
      </c>
      <c r="H491" s="2">
        <f>VLOOKUP($C491,'[10]for slip'!$F:$BC,16,0)</f>
        <v>0</v>
      </c>
      <c r="I491" s="2">
        <f>VLOOKUP($C491,'[10]for slip'!$F:$BC,17,0)</f>
        <v>0</v>
      </c>
      <c r="J491" s="2">
        <f>VLOOKUP($C491,'[10]for slip'!$F:$BC,27,0)</f>
        <v>0</v>
      </c>
      <c r="K491" s="2">
        <f>VLOOKUP($C491,'[10]for slip'!$F:$BC,31,0)</f>
        <v>0</v>
      </c>
      <c r="L491" s="2">
        <f>VLOOKUP($C491,'[10]for slip'!$F:$BC,35,0)</f>
        <v>0</v>
      </c>
      <c r="M491" s="2">
        <f>VLOOKUP($C491,'[10]for slip'!$F:$BC,36,0)</f>
        <v>0</v>
      </c>
      <c r="N491" s="2">
        <f>VLOOKUP($C491,'[10]for slip'!$F:$BC,37,0)</f>
        <v>0</v>
      </c>
      <c r="O491" s="2">
        <f>VLOOKUP($C491,'[10]for slip'!$F:$BC,38,0)</f>
        <v>0</v>
      </c>
      <c r="P491" s="2">
        <f>VLOOKUP($C491,'[10]for slip'!$F:$BC,39,0)</f>
        <v>0</v>
      </c>
      <c r="Q491" s="2">
        <f>VLOOKUP($C491,'[10]for slip'!$F:$BC,40,0)</f>
        <v>31700</v>
      </c>
      <c r="R491" s="2">
        <f>VLOOKUP($C491,'[10]for slip'!$F:$BC,41,0)</f>
        <v>0</v>
      </c>
      <c r="S491" s="2">
        <f>VLOOKUP($C491,'[10]for slip'!$F:$BC,42,0)</f>
        <v>0</v>
      </c>
      <c r="T491" s="2">
        <f>VLOOKUP($C491,'[10]for slip'!$F:$BC,43,0)</f>
        <v>53430.83</v>
      </c>
      <c r="U491" s="2">
        <f>VLOOKUP($C491,'[10]for slip'!$F:$BC,44,0)</f>
        <v>106861.66</v>
      </c>
      <c r="V491" s="2">
        <f>VLOOKUP($C491,'[10]for slip'!$F:$BC,45,0)</f>
        <v>53430.83</v>
      </c>
      <c r="W491" s="2">
        <f>VLOOKUP($C491,'[10]for slip'!$F:$BC,48,0)</f>
        <v>0</v>
      </c>
    </row>
    <row r="492" spans="1:23" x14ac:dyDescent="0.25">
      <c r="A492" s="1">
        <v>491</v>
      </c>
      <c r="B492" s="2" t="s">
        <v>1003</v>
      </c>
      <c r="C492" s="2" t="s">
        <v>1004</v>
      </c>
      <c r="D492" s="2" t="str">
        <f>VLOOKUP($C492,'[10]for slip'!$F:$BC,3,0)</f>
        <v>Pelaksana</v>
      </c>
      <c r="E492" s="2" t="str">
        <f>VLOOKUP($C492,'[10]for slip'!$F:$BC,4,0)</f>
        <v>FG &amp; ID PC</v>
      </c>
      <c r="F492" s="2">
        <f>VLOOKUP($C492,'[10]for slip'!$F:$BC,14,0)</f>
        <v>5343083</v>
      </c>
      <c r="G492" s="2">
        <f>VLOOKUP($C492,'[10]for slip'!$F:$BC,15,0)</f>
        <v>0</v>
      </c>
      <c r="H492" s="2">
        <f>VLOOKUP($C492,'[10]for slip'!$F:$BC,16,0)</f>
        <v>0</v>
      </c>
      <c r="I492" s="2">
        <f>VLOOKUP($C492,'[10]for slip'!$F:$BC,17,0)</f>
        <v>0</v>
      </c>
      <c r="J492" s="2">
        <f>VLOOKUP($C492,'[10]for slip'!$F:$BC,27,0)</f>
        <v>0</v>
      </c>
      <c r="K492" s="2">
        <f>VLOOKUP($C492,'[10]for slip'!$F:$BC,31,0)</f>
        <v>0</v>
      </c>
      <c r="L492" s="2">
        <f>VLOOKUP($C492,'[10]for slip'!$F:$BC,35,0)</f>
        <v>34354.584590750004</v>
      </c>
      <c r="M492" s="2">
        <f>VLOOKUP($C492,'[10]for slip'!$F:$BC,36,0)</f>
        <v>0</v>
      </c>
      <c r="N492" s="2">
        <f>VLOOKUP($C492,'[10]for slip'!$F:$BC,37,0)</f>
        <v>0</v>
      </c>
      <c r="O492" s="2">
        <f>VLOOKUP($C492,'[10]for slip'!$F:$BC,38,0)</f>
        <v>0</v>
      </c>
      <c r="P492" s="2">
        <f>VLOOKUP($C492,'[10]for slip'!$F:$BC,39,0)</f>
        <v>0</v>
      </c>
      <c r="Q492" s="2">
        <f>VLOOKUP($C492,'[10]for slip'!$F:$BC,40,0)</f>
        <v>31700</v>
      </c>
      <c r="R492" s="2">
        <f>VLOOKUP($C492,'[10]for slip'!$F:$BC,41,0)</f>
        <v>0</v>
      </c>
      <c r="S492" s="2">
        <f>VLOOKUP($C492,'[10]for slip'!$F:$BC,42,0)</f>
        <v>0</v>
      </c>
      <c r="T492" s="2">
        <f>VLOOKUP($C492,'[10]for slip'!$F:$BC,43,0)</f>
        <v>53430.83</v>
      </c>
      <c r="U492" s="2">
        <f>VLOOKUP($C492,'[10]for slip'!$F:$BC,44,0)</f>
        <v>106861.66</v>
      </c>
      <c r="V492" s="2">
        <f>VLOOKUP($C492,'[10]for slip'!$F:$BC,45,0)</f>
        <v>53430.83</v>
      </c>
      <c r="W492" s="2">
        <f>VLOOKUP($C492,'[10]for slip'!$F:$BC,48,0)</f>
        <v>34354.584590750004</v>
      </c>
    </row>
    <row r="493" spans="1:23" x14ac:dyDescent="0.25">
      <c r="A493" s="1">
        <v>492</v>
      </c>
      <c r="B493" s="2" t="s">
        <v>1005</v>
      </c>
      <c r="C493" s="2" t="s">
        <v>1006</v>
      </c>
      <c r="D493" s="2" t="str">
        <f>VLOOKUP($C493,'[10]for slip'!$F:$BC,3,0)</f>
        <v>Pelaksana</v>
      </c>
      <c r="E493" s="2" t="str">
        <f>VLOOKUP($C493,'[10]for slip'!$F:$BC,4,0)</f>
        <v>FG &amp; ID PC</v>
      </c>
      <c r="F493" s="2">
        <f>VLOOKUP($C493,'[10]for slip'!$F:$BC,14,0)</f>
        <v>5343083</v>
      </c>
      <c r="G493" s="2">
        <f>VLOOKUP($C493,'[10]for slip'!$F:$BC,15,0)</f>
        <v>0</v>
      </c>
      <c r="H493" s="2">
        <f>VLOOKUP($C493,'[10]for slip'!$F:$BC,16,0)</f>
        <v>0</v>
      </c>
      <c r="I493" s="2">
        <f>VLOOKUP($C493,'[10]for slip'!$F:$BC,17,0)</f>
        <v>0</v>
      </c>
      <c r="J493" s="2">
        <f>VLOOKUP($C493,'[10]for slip'!$F:$BC,27,0)</f>
        <v>0</v>
      </c>
      <c r="K493" s="2">
        <f>VLOOKUP($C493,'[10]for slip'!$F:$BC,31,0)</f>
        <v>0</v>
      </c>
      <c r="L493" s="2">
        <f>VLOOKUP($C493,'[10]for slip'!$F:$BC,35,0)</f>
        <v>34354.584590750004</v>
      </c>
      <c r="M493" s="2">
        <f>VLOOKUP($C493,'[10]for slip'!$F:$BC,36,0)</f>
        <v>0</v>
      </c>
      <c r="N493" s="2">
        <f>VLOOKUP($C493,'[10]for slip'!$F:$BC,37,0)</f>
        <v>0</v>
      </c>
      <c r="O493" s="2">
        <f>VLOOKUP($C493,'[10]for slip'!$F:$BC,38,0)</f>
        <v>0</v>
      </c>
      <c r="P493" s="2">
        <f>VLOOKUP($C493,'[10]for slip'!$F:$BC,39,0)</f>
        <v>38000</v>
      </c>
      <c r="Q493" s="2">
        <f>VLOOKUP($C493,'[10]for slip'!$F:$BC,40,0)</f>
        <v>31700</v>
      </c>
      <c r="R493" s="2">
        <f>VLOOKUP($C493,'[10]for slip'!$F:$BC,41,0)</f>
        <v>0</v>
      </c>
      <c r="S493" s="2">
        <f>VLOOKUP($C493,'[10]for slip'!$F:$BC,42,0)</f>
        <v>0</v>
      </c>
      <c r="T493" s="2">
        <f>VLOOKUP($C493,'[10]for slip'!$F:$BC,43,0)</f>
        <v>53430.83</v>
      </c>
      <c r="U493" s="2">
        <f>VLOOKUP($C493,'[10]for slip'!$F:$BC,44,0)</f>
        <v>106861.66</v>
      </c>
      <c r="V493" s="2">
        <f>VLOOKUP($C493,'[10]for slip'!$F:$BC,45,0)</f>
        <v>53430.83</v>
      </c>
      <c r="W493" s="2">
        <f>VLOOKUP($C493,'[10]for slip'!$F:$BC,48,0)</f>
        <v>34354.584590750004</v>
      </c>
    </row>
    <row r="494" spans="1:23" x14ac:dyDescent="0.25">
      <c r="A494" s="1">
        <v>493</v>
      </c>
      <c r="B494" s="2" t="s">
        <v>1007</v>
      </c>
      <c r="C494" s="2" t="s">
        <v>1008</v>
      </c>
      <c r="D494" s="2" t="str">
        <f>VLOOKUP($C494,'[10]for slip'!$F:$BC,3,0)</f>
        <v>Pelaksana</v>
      </c>
      <c r="E494" s="2" t="str">
        <f>VLOOKUP($C494,'[10]for slip'!$F:$BC,4,0)</f>
        <v>FG &amp; ID PC</v>
      </c>
      <c r="F494" s="2">
        <f>VLOOKUP($C494,'[10]for slip'!$F:$BC,14,0)</f>
        <v>5343083</v>
      </c>
      <c r="G494" s="2">
        <f>VLOOKUP($C494,'[10]for slip'!$F:$BC,15,0)</f>
        <v>0</v>
      </c>
      <c r="H494" s="2">
        <f>VLOOKUP($C494,'[10]for slip'!$F:$BC,16,0)</f>
        <v>0</v>
      </c>
      <c r="I494" s="2">
        <f>VLOOKUP($C494,'[10]for slip'!$F:$BC,17,0)</f>
        <v>0</v>
      </c>
      <c r="J494" s="2">
        <f>VLOOKUP($C494,'[10]for slip'!$F:$BC,27,0)</f>
        <v>0</v>
      </c>
      <c r="K494" s="2">
        <f>VLOOKUP($C494,'[10]for slip'!$F:$BC,31,0)</f>
        <v>0</v>
      </c>
      <c r="L494" s="2">
        <f>VLOOKUP($C494,'[10]for slip'!$F:$BC,35,0)</f>
        <v>34354.584590750004</v>
      </c>
      <c r="M494" s="2">
        <f>VLOOKUP($C494,'[10]for slip'!$F:$BC,36,0)</f>
        <v>0</v>
      </c>
      <c r="N494" s="2">
        <f>VLOOKUP($C494,'[10]for slip'!$F:$BC,37,0)</f>
        <v>0</v>
      </c>
      <c r="O494" s="2">
        <f>VLOOKUP($C494,'[10]for slip'!$F:$BC,38,0)</f>
        <v>0</v>
      </c>
      <c r="P494" s="2">
        <f>VLOOKUP($C494,'[10]for slip'!$F:$BC,39,0)</f>
        <v>0</v>
      </c>
      <c r="Q494" s="2">
        <f>VLOOKUP($C494,'[10]for slip'!$F:$BC,40,0)</f>
        <v>31700</v>
      </c>
      <c r="R494" s="2">
        <f>VLOOKUP($C494,'[10]for slip'!$F:$BC,41,0)</f>
        <v>0</v>
      </c>
      <c r="S494" s="2">
        <f>VLOOKUP($C494,'[10]for slip'!$F:$BC,42,0)</f>
        <v>10000</v>
      </c>
      <c r="T494" s="2">
        <f>VLOOKUP($C494,'[10]for slip'!$F:$BC,43,0)</f>
        <v>53430.83</v>
      </c>
      <c r="U494" s="2">
        <f>VLOOKUP($C494,'[10]for slip'!$F:$BC,44,0)</f>
        <v>106861.66</v>
      </c>
      <c r="V494" s="2">
        <f>VLOOKUP($C494,'[10]for slip'!$F:$BC,45,0)</f>
        <v>53430.83</v>
      </c>
      <c r="W494" s="2">
        <f>VLOOKUP($C494,'[10]for slip'!$F:$BC,48,0)</f>
        <v>34354.584590750004</v>
      </c>
    </row>
    <row r="495" spans="1:23" x14ac:dyDescent="0.25">
      <c r="A495" s="1">
        <v>494</v>
      </c>
      <c r="B495" s="2" t="s">
        <v>1009</v>
      </c>
      <c r="C495" s="2" t="s">
        <v>1010</v>
      </c>
      <c r="D495" s="2" t="str">
        <f>VLOOKUP($C495,'[10]for slip'!$F:$BC,3,0)</f>
        <v>Pelaksana</v>
      </c>
      <c r="E495" s="2" t="str">
        <f>VLOOKUP($C495,'[10]for slip'!$F:$BC,4,0)</f>
        <v>FG &amp; ID PC</v>
      </c>
      <c r="F495" s="2">
        <f>VLOOKUP($C495,'[10]for slip'!$F:$BC,14,0)</f>
        <v>5343083</v>
      </c>
      <c r="G495" s="2">
        <f>VLOOKUP($C495,'[10]for slip'!$F:$BC,15,0)</f>
        <v>0</v>
      </c>
      <c r="H495" s="2">
        <f>VLOOKUP($C495,'[10]for slip'!$F:$BC,16,0)</f>
        <v>0</v>
      </c>
      <c r="I495" s="2">
        <f>VLOOKUP($C495,'[10]for slip'!$F:$BC,17,0)</f>
        <v>0</v>
      </c>
      <c r="J495" s="2">
        <f>VLOOKUP($C495,'[10]for slip'!$F:$BC,27,0)</f>
        <v>0</v>
      </c>
      <c r="K495" s="2">
        <f>VLOOKUP($C495,'[10]for slip'!$F:$BC,31,0)</f>
        <v>0</v>
      </c>
      <c r="L495" s="2">
        <f>VLOOKUP($C495,'[10]for slip'!$F:$BC,35,0)</f>
        <v>0</v>
      </c>
      <c r="M495" s="2">
        <f>VLOOKUP($C495,'[10]for slip'!$F:$BC,36,0)</f>
        <v>0</v>
      </c>
      <c r="N495" s="2">
        <f>VLOOKUP($C495,'[10]for slip'!$F:$BC,37,0)</f>
        <v>1</v>
      </c>
      <c r="O495" s="2">
        <f>VLOOKUP($C495,'[10]for slip'!$F:$BC,38,0)</f>
        <v>254433</v>
      </c>
      <c r="P495" s="2">
        <f>VLOOKUP($C495,'[10]for slip'!$F:$BC,39,0)</f>
        <v>0</v>
      </c>
      <c r="Q495" s="2">
        <f>VLOOKUP($C495,'[10]for slip'!$F:$BC,40,0)</f>
        <v>31700</v>
      </c>
      <c r="R495" s="2">
        <f>VLOOKUP($C495,'[10]for slip'!$F:$BC,41,0)</f>
        <v>0</v>
      </c>
      <c r="S495" s="2">
        <f>VLOOKUP($C495,'[10]for slip'!$F:$BC,42,0)</f>
        <v>0</v>
      </c>
      <c r="T495" s="2">
        <f>VLOOKUP($C495,'[10]for slip'!$F:$BC,43,0)</f>
        <v>53430.83</v>
      </c>
      <c r="U495" s="2">
        <f>VLOOKUP($C495,'[10]for slip'!$F:$BC,44,0)</f>
        <v>106861.66</v>
      </c>
      <c r="V495" s="2">
        <f>VLOOKUP($C495,'[10]for slip'!$F:$BC,45,0)</f>
        <v>53430.83</v>
      </c>
      <c r="W495" s="2">
        <f>VLOOKUP($C495,'[10]for slip'!$F:$BC,48,0)</f>
        <v>0</v>
      </c>
    </row>
    <row r="496" spans="1:23" x14ac:dyDescent="0.25">
      <c r="A496" s="1">
        <v>495</v>
      </c>
      <c r="B496" s="2" t="s">
        <v>1011</v>
      </c>
      <c r="C496" s="2" t="s">
        <v>1012</v>
      </c>
      <c r="D496" s="2" t="str">
        <f>VLOOKUP($C496,'[10]for slip'!$F:$BC,3,0)</f>
        <v>Pelaksana</v>
      </c>
      <c r="E496" s="2" t="str">
        <f>VLOOKUP($C496,'[10]for slip'!$F:$BC,4,0)</f>
        <v>FG &amp; ID PC</v>
      </c>
      <c r="F496" s="2">
        <f>VLOOKUP($C496,'[10]for slip'!$F:$BC,14,0)</f>
        <v>5343083</v>
      </c>
      <c r="G496" s="2">
        <f>VLOOKUP($C496,'[10]for slip'!$F:$BC,15,0)</f>
        <v>0</v>
      </c>
      <c r="H496" s="2">
        <f>VLOOKUP($C496,'[10]for slip'!$F:$BC,16,0)</f>
        <v>0</v>
      </c>
      <c r="I496" s="2">
        <f>VLOOKUP($C496,'[10]for slip'!$F:$BC,17,0)</f>
        <v>0</v>
      </c>
      <c r="J496" s="2">
        <f>VLOOKUP($C496,'[10]for slip'!$F:$BC,27,0)</f>
        <v>0</v>
      </c>
      <c r="K496" s="2">
        <f>VLOOKUP($C496,'[10]for slip'!$F:$BC,31,0)</f>
        <v>0</v>
      </c>
      <c r="L496" s="2">
        <f>VLOOKUP($C496,'[10]for slip'!$F:$BC,35,0)</f>
        <v>34354.584590750004</v>
      </c>
      <c r="M496" s="2">
        <f>VLOOKUP($C496,'[10]for slip'!$F:$BC,36,0)</f>
        <v>0</v>
      </c>
      <c r="N496" s="2">
        <f>VLOOKUP($C496,'[10]for slip'!$F:$BC,37,0)</f>
        <v>0</v>
      </c>
      <c r="O496" s="2">
        <f>VLOOKUP($C496,'[10]for slip'!$F:$BC,38,0)</f>
        <v>0</v>
      </c>
      <c r="P496" s="2">
        <f>VLOOKUP($C496,'[10]for slip'!$F:$BC,39,0)</f>
        <v>38000</v>
      </c>
      <c r="Q496" s="2">
        <f>VLOOKUP($C496,'[10]for slip'!$F:$BC,40,0)</f>
        <v>31700</v>
      </c>
      <c r="R496" s="2">
        <f>VLOOKUP($C496,'[10]for slip'!$F:$BC,41,0)</f>
        <v>0</v>
      </c>
      <c r="S496" s="2">
        <f>VLOOKUP($C496,'[10]for slip'!$F:$BC,42,0)</f>
        <v>10000</v>
      </c>
      <c r="T496" s="2">
        <f>VLOOKUP($C496,'[10]for slip'!$F:$BC,43,0)</f>
        <v>53430.83</v>
      </c>
      <c r="U496" s="2">
        <f>VLOOKUP($C496,'[10]for slip'!$F:$BC,44,0)</f>
        <v>106861.66</v>
      </c>
      <c r="V496" s="2">
        <f>VLOOKUP($C496,'[10]for slip'!$F:$BC,45,0)</f>
        <v>53430.83</v>
      </c>
      <c r="W496" s="2">
        <f>VLOOKUP($C496,'[10]for slip'!$F:$BC,48,0)</f>
        <v>34354.584590750004</v>
      </c>
    </row>
    <row r="497" spans="1:23" x14ac:dyDescent="0.25">
      <c r="A497" s="1">
        <v>496</v>
      </c>
      <c r="B497" s="2" t="s">
        <v>1013</v>
      </c>
      <c r="C497" s="2" t="s">
        <v>1014</v>
      </c>
      <c r="D497" s="2" t="str">
        <f>VLOOKUP($C497,'[10]for slip'!$F:$BC,3,0)</f>
        <v>Pelaksana</v>
      </c>
      <c r="E497" s="2" t="str">
        <f>VLOOKUP($C497,'[10]for slip'!$F:$BC,4,0)</f>
        <v>FG &amp; ID PC</v>
      </c>
      <c r="F497" s="2">
        <f>VLOOKUP($C497,'[10]for slip'!$F:$BC,14,0)</f>
        <v>5343083</v>
      </c>
      <c r="G497" s="2">
        <f>VLOOKUP($C497,'[10]for slip'!$F:$BC,15,0)</f>
        <v>0</v>
      </c>
      <c r="H497" s="2">
        <f>VLOOKUP($C497,'[10]for slip'!$F:$BC,16,0)</f>
        <v>0</v>
      </c>
      <c r="I497" s="2">
        <f>VLOOKUP($C497,'[10]for slip'!$F:$BC,17,0)</f>
        <v>0</v>
      </c>
      <c r="J497" s="2">
        <f>VLOOKUP($C497,'[10]for slip'!$F:$BC,27,0)</f>
        <v>0</v>
      </c>
      <c r="K497" s="2">
        <f>VLOOKUP($C497,'[10]for slip'!$F:$BC,31,0)</f>
        <v>0</v>
      </c>
      <c r="L497" s="2">
        <f>VLOOKUP($C497,'[10]for slip'!$F:$BC,35,0)</f>
        <v>34354.584590750004</v>
      </c>
      <c r="M497" s="2">
        <f>VLOOKUP($C497,'[10]for slip'!$F:$BC,36,0)</f>
        <v>0</v>
      </c>
      <c r="N497" s="2">
        <f>VLOOKUP($C497,'[10]for slip'!$F:$BC,37,0)</f>
        <v>0</v>
      </c>
      <c r="O497" s="2">
        <f>VLOOKUP($C497,'[10]for slip'!$F:$BC,38,0)</f>
        <v>0</v>
      </c>
      <c r="P497" s="2">
        <f>VLOOKUP($C497,'[10]for slip'!$F:$BC,39,0)</f>
        <v>38000</v>
      </c>
      <c r="Q497" s="2">
        <f>VLOOKUP($C497,'[10]for slip'!$F:$BC,40,0)</f>
        <v>31700</v>
      </c>
      <c r="R497" s="2">
        <f>VLOOKUP($C497,'[10]for slip'!$F:$BC,41,0)</f>
        <v>0</v>
      </c>
      <c r="S497" s="2">
        <f>VLOOKUP($C497,'[10]for slip'!$F:$BC,42,0)</f>
        <v>0</v>
      </c>
      <c r="T497" s="2">
        <f>VLOOKUP($C497,'[10]for slip'!$F:$BC,43,0)</f>
        <v>53430.83</v>
      </c>
      <c r="U497" s="2">
        <f>VLOOKUP($C497,'[10]for slip'!$F:$BC,44,0)</f>
        <v>106861.66</v>
      </c>
      <c r="V497" s="2">
        <f>VLOOKUP($C497,'[10]for slip'!$F:$BC,45,0)</f>
        <v>53430.83</v>
      </c>
      <c r="W497" s="2">
        <f>VLOOKUP($C497,'[10]for slip'!$F:$BC,48,0)</f>
        <v>34354.584590750004</v>
      </c>
    </row>
    <row r="498" spans="1:23" x14ac:dyDescent="0.25">
      <c r="A498" s="1">
        <v>497</v>
      </c>
      <c r="B498" s="2" t="s">
        <v>1015</v>
      </c>
      <c r="C498" s="2" t="s">
        <v>1016</v>
      </c>
      <c r="D498" s="2" t="str">
        <f>VLOOKUP($C498,'[10]for slip'!$F:$BC,3,0)</f>
        <v>Pelaksana</v>
      </c>
      <c r="E498" s="2" t="str">
        <f>VLOOKUP($C498,'[10]for slip'!$F:$BC,4,0)</f>
        <v>FG &amp; ID PC</v>
      </c>
      <c r="F498" s="2">
        <f>VLOOKUP($C498,'[10]for slip'!$F:$BC,14,0)</f>
        <v>5343083</v>
      </c>
      <c r="G498" s="2">
        <f>VLOOKUP($C498,'[10]for slip'!$F:$BC,15,0)</f>
        <v>0</v>
      </c>
      <c r="H498" s="2">
        <f>VLOOKUP($C498,'[10]for slip'!$F:$BC,16,0)</f>
        <v>0</v>
      </c>
      <c r="I498" s="2">
        <f>VLOOKUP($C498,'[10]for slip'!$F:$BC,17,0)</f>
        <v>0</v>
      </c>
      <c r="J498" s="2">
        <f>VLOOKUP($C498,'[10]for slip'!$F:$BC,27,0)</f>
        <v>0</v>
      </c>
      <c r="K498" s="2">
        <f>VLOOKUP($C498,'[10]for slip'!$F:$BC,31,0)</f>
        <v>0</v>
      </c>
      <c r="L498" s="2">
        <f>VLOOKUP($C498,'[10]for slip'!$F:$BC,35,0)</f>
        <v>0</v>
      </c>
      <c r="M498" s="2">
        <f>VLOOKUP($C498,'[10]for slip'!$F:$BC,36,0)</f>
        <v>0</v>
      </c>
      <c r="N498" s="2">
        <f>VLOOKUP($C498,'[10]for slip'!$F:$BC,37,0)</f>
        <v>0</v>
      </c>
      <c r="O498" s="2">
        <f>VLOOKUP($C498,'[10]for slip'!$F:$BC,38,0)</f>
        <v>0</v>
      </c>
      <c r="P498" s="2">
        <f>VLOOKUP($C498,'[10]for slip'!$F:$BC,39,0)</f>
        <v>38000</v>
      </c>
      <c r="Q498" s="2">
        <f>VLOOKUP($C498,'[10]for slip'!$F:$BC,40,0)</f>
        <v>31700</v>
      </c>
      <c r="R498" s="2">
        <f>VLOOKUP($C498,'[10]for slip'!$F:$BC,41,0)</f>
        <v>0</v>
      </c>
      <c r="S498" s="2">
        <f>VLOOKUP($C498,'[10]for slip'!$F:$BC,42,0)</f>
        <v>10000</v>
      </c>
      <c r="T498" s="2">
        <f>VLOOKUP($C498,'[10]for slip'!$F:$BC,43,0)</f>
        <v>53430.83</v>
      </c>
      <c r="U498" s="2">
        <f>VLOOKUP($C498,'[10]for slip'!$F:$BC,44,0)</f>
        <v>106861.66</v>
      </c>
      <c r="V498" s="2">
        <f>VLOOKUP($C498,'[10]for slip'!$F:$BC,45,0)</f>
        <v>53430.83</v>
      </c>
      <c r="W498" s="2">
        <f>VLOOKUP($C498,'[10]for slip'!$F:$BC,48,0)</f>
        <v>0</v>
      </c>
    </row>
    <row r="499" spans="1:23" x14ac:dyDescent="0.25">
      <c r="A499" s="1">
        <v>498</v>
      </c>
      <c r="B499" s="2" t="s">
        <v>1017</v>
      </c>
      <c r="C499" s="2" t="s">
        <v>1018</v>
      </c>
      <c r="D499" s="2" t="str">
        <f>VLOOKUP($C499,'[10]for slip'!$F:$BC,3,0)</f>
        <v>Pelaksana</v>
      </c>
      <c r="E499" s="2" t="str">
        <f>VLOOKUP($C499,'[10]for slip'!$F:$BC,4,0)</f>
        <v>FG &amp; ID PC</v>
      </c>
      <c r="F499" s="2">
        <f>VLOOKUP($C499,'[10]for slip'!$F:$BC,14,0)</f>
        <v>5343083</v>
      </c>
      <c r="G499" s="2">
        <f>VLOOKUP($C499,'[10]for slip'!$F:$BC,15,0)</f>
        <v>0</v>
      </c>
      <c r="H499" s="2">
        <f>VLOOKUP($C499,'[10]for slip'!$F:$BC,16,0)</f>
        <v>0</v>
      </c>
      <c r="I499" s="2">
        <f>VLOOKUP($C499,'[10]for slip'!$F:$BC,17,0)</f>
        <v>0</v>
      </c>
      <c r="J499" s="2">
        <f>VLOOKUP($C499,'[10]for slip'!$F:$BC,27,0)</f>
        <v>0</v>
      </c>
      <c r="K499" s="2">
        <f>VLOOKUP($C499,'[10]for slip'!$F:$BC,31,0)</f>
        <v>0</v>
      </c>
      <c r="L499" s="2">
        <f>VLOOKUP($C499,'[10]for slip'!$F:$BC,35,0)</f>
        <v>15604.584590750002</v>
      </c>
      <c r="M499" s="2">
        <f>VLOOKUP($C499,'[10]for slip'!$F:$BC,36,0)</f>
        <v>0</v>
      </c>
      <c r="N499" s="2">
        <f>VLOOKUP($C499,'[10]for slip'!$F:$BC,37,0)</f>
        <v>0</v>
      </c>
      <c r="O499" s="2">
        <f>VLOOKUP($C499,'[10]for slip'!$F:$BC,38,0)</f>
        <v>0</v>
      </c>
      <c r="P499" s="2">
        <f>VLOOKUP($C499,'[10]for slip'!$F:$BC,39,0)</f>
        <v>0</v>
      </c>
      <c r="Q499" s="2">
        <f>VLOOKUP($C499,'[10]for slip'!$F:$BC,40,0)</f>
        <v>31700</v>
      </c>
      <c r="R499" s="2">
        <f>VLOOKUP($C499,'[10]for slip'!$F:$BC,41,0)</f>
        <v>0</v>
      </c>
      <c r="S499" s="2">
        <f>VLOOKUP($C499,'[10]for slip'!$F:$BC,42,0)</f>
        <v>0</v>
      </c>
      <c r="T499" s="2">
        <f>VLOOKUP($C499,'[10]for slip'!$F:$BC,43,0)</f>
        <v>53430.83</v>
      </c>
      <c r="U499" s="2">
        <f>VLOOKUP($C499,'[10]for slip'!$F:$BC,44,0)</f>
        <v>106861.66</v>
      </c>
      <c r="V499" s="2">
        <f>VLOOKUP($C499,'[10]for slip'!$F:$BC,45,0)</f>
        <v>53430.83</v>
      </c>
      <c r="W499" s="2">
        <f>VLOOKUP($C499,'[10]for slip'!$F:$BC,48,0)</f>
        <v>15604.584590750002</v>
      </c>
    </row>
    <row r="500" spans="1:23" x14ac:dyDescent="0.25">
      <c r="A500" s="1">
        <v>499</v>
      </c>
      <c r="B500" s="2" t="s">
        <v>1019</v>
      </c>
      <c r="C500" s="2" t="s">
        <v>1020</v>
      </c>
      <c r="D500" s="2" t="str">
        <f>VLOOKUP($C500,'[10]for slip'!$F:$BC,3,0)</f>
        <v>Leader</v>
      </c>
      <c r="E500" s="2" t="str">
        <f>VLOOKUP($C500,'[10]for slip'!$F:$BC,4,0)</f>
        <v>FG &amp; ID PC</v>
      </c>
      <c r="F500" s="2">
        <f>VLOOKUP($C500,'[10]for slip'!$F:$BC,14,0)</f>
        <v>5343083</v>
      </c>
      <c r="G500" s="2">
        <f>VLOOKUP($C500,'[10]for slip'!$F:$BC,15,0)</f>
        <v>500000</v>
      </c>
      <c r="H500" s="2">
        <f>VLOOKUP($C500,'[10]for slip'!$F:$BC,16,0)</f>
        <v>0</v>
      </c>
      <c r="I500" s="2">
        <f>VLOOKUP($C500,'[10]for slip'!$F:$BC,17,0)</f>
        <v>0</v>
      </c>
      <c r="J500" s="2">
        <f>VLOOKUP($C500,'[10]for slip'!$F:$BC,27,0)</f>
        <v>0</v>
      </c>
      <c r="K500" s="2">
        <f>VLOOKUP($C500,'[10]for slip'!$F:$BC,31,0)</f>
        <v>0</v>
      </c>
      <c r="L500" s="2">
        <f>VLOOKUP($C500,'[10]for slip'!$F:$BC,35,0)</f>
        <v>0</v>
      </c>
      <c r="M500" s="2">
        <f>VLOOKUP($C500,'[10]for slip'!$F:$BC,36,0)</f>
        <v>0</v>
      </c>
      <c r="N500" s="2">
        <f>VLOOKUP($C500,'[10]for slip'!$F:$BC,37,0)</f>
        <v>0</v>
      </c>
      <c r="O500" s="2">
        <f>VLOOKUP($C500,'[10]for slip'!$F:$BC,38,0)</f>
        <v>0</v>
      </c>
      <c r="P500" s="2">
        <f>VLOOKUP($C500,'[10]for slip'!$F:$BC,39,0)</f>
        <v>38000</v>
      </c>
      <c r="Q500" s="2">
        <f>VLOOKUP($C500,'[10]for slip'!$F:$BC,40,0)</f>
        <v>0</v>
      </c>
      <c r="R500" s="2">
        <f>VLOOKUP($C500,'[10]for slip'!$F:$BC,41,0)</f>
        <v>2591500</v>
      </c>
      <c r="S500" s="2">
        <f>VLOOKUP($C500,'[10]for slip'!$F:$BC,42,0)</f>
        <v>10000</v>
      </c>
      <c r="T500" s="2">
        <f>VLOOKUP($C500,'[10]for slip'!$F:$BC,43,0)</f>
        <v>58430.83</v>
      </c>
      <c r="U500" s="2">
        <f>VLOOKUP($C500,'[10]for slip'!$F:$BC,44,0)</f>
        <v>116861.66</v>
      </c>
      <c r="V500" s="2">
        <f>VLOOKUP($C500,'[10]for slip'!$F:$BC,45,0)</f>
        <v>58430.83</v>
      </c>
      <c r="W500" s="2">
        <f>VLOOKUP($C500,'[10]for slip'!$F:$BC,48,0)</f>
        <v>0</v>
      </c>
    </row>
    <row r="501" spans="1:23" x14ac:dyDescent="0.25">
      <c r="A501" s="1">
        <v>500</v>
      </c>
      <c r="B501" s="2" t="s">
        <v>1021</v>
      </c>
      <c r="C501" s="2" t="s">
        <v>1022</v>
      </c>
      <c r="D501" s="2" t="str">
        <f>VLOOKUP($C501,'[10]for slip'!$F:$BC,3,0)</f>
        <v>Pelaksana</v>
      </c>
      <c r="E501" s="2" t="str">
        <f>VLOOKUP($C501,'[10]for slip'!$F:$BC,4,0)</f>
        <v>FG &amp; ID PC</v>
      </c>
      <c r="F501" s="2">
        <f>VLOOKUP($C501,'[10]for slip'!$F:$BC,14,0)</f>
        <v>5343083</v>
      </c>
      <c r="G501" s="2">
        <f>VLOOKUP($C501,'[10]for slip'!$F:$BC,15,0)</f>
        <v>0</v>
      </c>
      <c r="H501" s="2">
        <f>VLOOKUP($C501,'[10]for slip'!$F:$BC,16,0)</f>
        <v>0</v>
      </c>
      <c r="I501" s="2">
        <f>VLOOKUP($C501,'[10]for slip'!$F:$BC,17,0)</f>
        <v>0</v>
      </c>
      <c r="J501" s="2">
        <f>VLOOKUP($C501,'[10]for slip'!$F:$BC,27,0)</f>
        <v>0</v>
      </c>
      <c r="K501" s="2">
        <f>VLOOKUP($C501,'[10]for slip'!$F:$BC,31,0)</f>
        <v>0</v>
      </c>
      <c r="L501" s="2">
        <f>VLOOKUP($C501,'[10]for slip'!$F:$BC,35,0)</f>
        <v>34354.584590750004</v>
      </c>
      <c r="M501" s="2">
        <f>VLOOKUP($C501,'[10]for slip'!$F:$BC,36,0)</f>
        <v>0</v>
      </c>
      <c r="N501" s="2">
        <f>VLOOKUP($C501,'[10]for slip'!$F:$BC,37,0)</f>
        <v>0</v>
      </c>
      <c r="O501" s="2">
        <f>VLOOKUP($C501,'[10]for slip'!$F:$BC,38,0)</f>
        <v>0</v>
      </c>
      <c r="P501" s="2">
        <f>VLOOKUP($C501,'[10]for slip'!$F:$BC,39,0)</f>
        <v>38000</v>
      </c>
      <c r="Q501" s="2">
        <f>VLOOKUP($C501,'[10]for slip'!$F:$BC,40,0)</f>
        <v>31700</v>
      </c>
      <c r="R501" s="2">
        <f>VLOOKUP($C501,'[10]for slip'!$F:$BC,41,0)</f>
        <v>0</v>
      </c>
      <c r="S501" s="2">
        <f>VLOOKUP($C501,'[10]for slip'!$F:$BC,42,0)</f>
        <v>0</v>
      </c>
      <c r="T501" s="2">
        <f>VLOOKUP($C501,'[10]for slip'!$F:$BC,43,0)</f>
        <v>53430.83</v>
      </c>
      <c r="U501" s="2">
        <f>VLOOKUP($C501,'[10]for slip'!$F:$BC,44,0)</f>
        <v>106861.66</v>
      </c>
      <c r="V501" s="2">
        <f>VLOOKUP($C501,'[10]for slip'!$F:$BC,45,0)</f>
        <v>53430.83</v>
      </c>
      <c r="W501" s="2">
        <f>VLOOKUP($C501,'[10]for slip'!$F:$BC,48,0)</f>
        <v>34354.584590750004</v>
      </c>
    </row>
    <row r="502" spans="1:23" x14ac:dyDescent="0.25">
      <c r="A502" s="1">
        <v>501</v>
      </c>
      <c r="B502" s="2" t="s">
        <v>1023</v>
      </c>
      <c r="C502" s="2" t="s">
        <v>1024</v>
      </c>
      <c r="D502" s="2" t="str">
        <f>VLOOKUP($C502,'[10]for slip'!$F:$BC,3,0)</f>
        <v>Pelaksana</v>
      </c>
      <c r="E502" s="2" t="str">
        <f>VLOOKUP($C502,'[10]for slip'!$F:$BC,4,0)</f>
        <v>FG &amp; ID PC</v>
      </c>
      <c r="F502" s="2">
        <f>VLOOKUP($C502,'[10]for slip'!$F:$BC,14,0)</f>
        <v>5343083</v>
      </c>
      <c r="G502" s="2">
        <f>VLOOKUP($C502,'[10]for slip'!$F:$BC,15,0)</f>
        <v>0</v>
      </c>
      <c r="H502" s="2">
        <f>VLOOKUP($C502,'[10]for slip'!$F:$BC,16,0)</f>
        <v>0</v>
      </c>
      <c r="I502" s="2">
        <f>VLOOKUP($C502,'[10]for slip'!$F:$BC,17,0)</f>
        <v>0</v>
      </c>
      <c r="J502" s="2">
        <f>VLOOKUP($C502,'[10]for slip'!$F:$BC,27,0)</f>
        <v>0</v>
      </c>
      <c r="K502" s="2">
        <f>VLOOKUP($C502,'[10]for slip'!$F:$BC,31,0)</f>
        <v>0</v>
      </c>
      <c r="L502" s="2">
        <f>VLOOKUP($C502,'[10]for slip'!$F:$BC,35,0)</f>
        <v>0</v>
      </c>
      <c r="M502" s="2">
        <f>VLOOKUP($C502,'[10]for slip'!$F:$BC,36,0)</f>
        <v>0</v>
      </c>
      <c r="N502" s="2">
        <f>VLOOKUP($C502,'[10]for slip'!$F:$BC,37,0)</f>
        <v>0</v>
      </c>
      <c r="O502" s="2">
        <f>VLOOKUP($C502,'[10]for slip'!$F:$BC,38,0)</f>
        <v>0</v>
      </c>
      <c r="P502" s="2">
        <f>VLOOKUP($C502,'[10]for slip'!$F:$BC,39,0)</f>
        <v>38000</v>
      </c>
      <c r="Q502" s="2">
        <f>VLOOKUP($C502,'[10]for slip'!$F:$BC,40,0)</f>
        <v>31700</v>
      </c>
      <c r="R502" s="2">
        <f>VLOOKUP($C502,'[10]for slip'!$F:$BC,41,0)</f>
        <v>0</v>
      </c>
      <c r="S502" s="2">
        <f>VLOOKUP($C502,'[10]for slip'!$F:$BC,42,0)</f>
        <v>0</v>
      </c>
      <c r="T502" s="2">
        <f>VLOOKUP($C502,'[10]for slip'!$F:$BC,43,0)</f>
        <v>53430.83</v>
      </c>
      <c r="U502" s="2">
        <f>VLOOKUP($C502,'[10]for slip'!$F:$BC,44,0)</f>
        <v>106861.66</v>
      </c>
      <c r="V502" s="2">
        <f>VLOOKUP($C502,'[10]for slip'!$F:$BC,45,0)</f>
        <v>53430.83</v>
      </c>
      <c r="W502" s="2">
        <f>VLOOKUP($C502,'[10]for slip'!$F:$BC,48,0)</f>
        <v>0</v>
      </c>
    </row>
    <row r="503" spans="1:23" x14ac:dyDescent="0.25">
      <c r="A503" s="1">
        <v>502</v>
      </c>
      <c r="B503" s="2" t="s">
        <v>1025</v>
      </c>
      <c r="C503" s="2" t="s">
        <v>1026</v>
      </c>
      <c r="D503" s="2" t="str">
        <f>VLOOKUP($C503,'[10]for slip'!$F:$BC,3,0)</f>
        <v>Pelaksana</v>
      </c>
      <c r="E503" s="2" t="str">
        <f>VLOOKUP($C503,'[10]for slip'!$F:$BC,4,0)</f>
        <v>FG &amp; ID PC</v>
      </c>
      <c r="F503" s="2">
        <f>VLOOKUP($C503,'[10]for slip'!$F:$BC,14,0)</f>
        <v>5343083</v>
      </c>
      <c r="G503" s="2">
        <f>VLOOKUP($C503,'[10]for slip'!$F:$BC,15,0)</f>
        <v>0</v>
      </c>
      <c r="H503" s="2">
        <f>VLOOKUP($C503,'[10]for slip'!$F:$BC,16,0)</f>
        <v>0</v>
      </c>
      <c r="I503" s="2">
        <f>VLOOKUP($C503,'[10]for slip'!$F:$BC,17,0)</f>
        <v>0</v>
      </c>
      <c r="J503" s="2">
        <f>VLOOKUP($C503,'[10]for slip'!$F:$BC,27,0)</f>
        <v>0</v>
      </c>
      <c r="K503" s="2">
        <f>VLOOKUP($C503,'[10]for slip'!$F:$BC,31,0)</f>
        <v>0</v>
      </c>
      <c r="L503" s="2">
        <f>VLOOKUP($C503,'[10]for slip'!$F:$BC,35,0)</f>
        <v>0</v>
      </c>
      <c r="M503" s="2">
        <f>VLOOKUP($C503,'[10]for slip'!$F:$BC,36,0)</f>
        <v>0</v>
      </c>
      <c r="N503" s="2">
        <f>VLOOKUP($C503,'[10]for slip'!$F:$BC,37,0)</f>
        <v>0</v>
      </c>
      <c r="O503" s="2">
        <f>VLOOKUP($C503,'[10]for slip'!$F:$BC,38,0)</f>
        <v>0</v>
      </c>
      <c r="P503" s="2">
        <f>VLOOKUP($C503,'[10]for slip'!$F:$BC,39,0)</f>
        <v>38000</v>
      </c>
      <c r="Q503" s="2">
        <f>VLOOKUP($C503,'[10]for slip'!$F:$BC,40,0)</f>
        <v>31700</v>
      </c>
      <c r="R503" s="2">
        <f>VLOOKUP($C503,'[10]for slip'!$F:$BC,41,0)</f>
        <v>0</v>
      </c>
      <c r="S503" s="2">
        <f>VLOOKUP($C503,'[10]for slip'!$F:$BC,42,0)</f>
        <v>0</v>
      </c>
      <c r="T503" s="2">
        <f>VLOOKUP($C503,'[10]for slip'!$F:$BC,43,0)</f>
        <v>53430.83</v>
      </c>
      <c r="U503" s="2">
        <f>VLOOKUP($C503,'[10]for slip'!$F:$BC,44,0)</f>
        <v>106861.66</v>
      </c>
      <c r="V503" s="2">
        <f>VLOOKUP($C503,'[10]for slip'!$F:$BC,45,0)</f>
        <v>53430.83</v>
      </c>
      <c r="W503" s="2">
        <f>VLOOKUP($C503,'[10]for slip'!$F:$BC,48,0)</f>
        <v>0</v>
      </c>
    </row>
    <row r="504" spans="1:23" x14ac:dyDescent="0.25">
      <c r="A504" s="1">
        <v>503</v>
      </c>
      <c r="B504" s="2" t="s">
        <v>1027</v>
      </c>
      <c r="C504" s="2" t="s">
        <v>1028</v>
      </c>
      <c r="D504" s="2" t="str">
        <f>VLOOKUP($C504,'[10]for slip'!$F:$BC,3,0)</f>
        <v>Pelaksana</v>
      </c>
      <c r="E504" s="2" t="str">
        <f>VLOOKUP($C504,'[10]for slip'!$F:$BC,4,0)</f>
        <v>FG &amp; ID PC</v>
      </c>
      <c r="F504" s="2">
        <f>VLOOKUP($C504,'[10]for slip'!$F:$BC,14,0)</f>
        <v>5343083</v>
      </c>
      <c r="G504" s="2">
        <f>VLOOKUP($C504,'[10]for slip'!$F:$BC,15,0)</f>
        <v>0</v>
      </c>
      <c r="H504" s="2">
        <f>VLOOKUP($C504,'[10]for slip'!$F:$BC,16,0)</f>
        <v>0</v>
      </c>
      <c r="I504" s="2">
        <f>VLOOKUP($C504,'[10]for slip'!$F:$BC,17,0)</f>
        <v>0</v>
      </c>
      <c r="J504" s="2">
        <f>VLOOKUP($C504,'[10]for slip'!$F:$BC,27,0)</f>
        <v>0</v>
      </c>
      <c r="K504" s="2">
        <f>VLOOKUP($C504,'[10]for slip'!$F:$BC,31,0)</f>
        <v>0</v>
      </c>
      <c r="L504" s="2">
        <f>VLOOKUP($C504,'[10]for slip'!$F:$BC,35,0)</f>
        <v>0</v>
      </c>
      <c r="M504" s="2">
        <f>VLOOKUP($C504,'[10]for slip'!$F:$BC,36,0)</f>
        <v>0</v>
      </c>
      <c r="N504" s="2">
        <f>VLOOKUP($C504,'[10]for slip'!$F:$BC,37,0)</f>
        <v>0</v>
      </c>
      <c r="O504" s="2">
        <f>VLOOKUP($C504,'[10]for slip'!$F:$BC,38,0)</f>
        <v>0</v>
      </c>
      <c r="P504" s="2">
        <f>VLOOKUP($C504,'[10]for slip'!$F:$BC,39,0)</f>
        <v>38000</v>
      </c>
      <c r="Q504" s="2">
        <f>VLOOKUP($C504,'[10]for slip'!$F:$BC,40,0)</f>
        <v>31700</v>
      </c>
      <c r="R504" s="2">
        <f>VLOOKUP($C504,'[10]for slip'!$F:$BC,41,0)</f>
        <v>0</v>
      </c>
      <c r="S504" s="2">
        <f>VLOOKUP($C504,'[10]for slip'!$F:$BC,42,0)</f>
        <v>10000</v>
      </c>
      <c r="T504" s="2">
        <f>VLOOKUP($C504,'[10]for slip'!$F:$BC,43,0)</f>
        <v>53430.83</v>
      </c>
      <c r="U504" s="2">
        <f>VLOOKUP($C504,'[10]for slip'!$F:$BC,44,0)</f>
        <v>106861.66</v>
      </c>
      <c r="V504" s="2">
        <f>VLOOKUP($C504,'[10]for slip'!$F:$BC,45,0)</f>
        <v>53430.83</v>
      </c>
      <c r="W504" s="2">
        <f>VLOOKUP($C504,'[10]for slip'!$F:$BC,48,0)</f>
        <v>0</v>
      </c>
    </row>
    <row r="505" spans="1:23" x14ac:dyDescent="0.25">
      <c r="A505" s="1">
        <v>504</v>
      </c>
      <c r="B505" s="2" t="s">
        <v>1029</v>
      </c>
      <c r="C505" s="2" t="s">
        <v>1030</v>
      </c>
      <c r="D505" s="2" t="str">
        <f>VLOOKUP($C505,'[10]for slip'!$F:$BC,3,0)</f>
        <v>Leader</v>
      </c>
      <c r="E505" s="2" t="str">
        <f>VLOOKUP($C505,'[10]for slip'!$F:$BC,4,0)</f>
        <v>FG &amp; ID PC</v>
      </c>
      <c r="F505" s="2">
        <f>VLOOKUP($C505,'[10]for slip'!$F:$BC,14,0)</f>
        <v>5343083</v>
      </c>
      <c r="G505" s="2">
        <f>VLOOKUP($C505,'[10]for slip'!$F:$BC,15,0)</f>
        <v>300000</v>
      </c>
      <c r="H505" s="2">
        <f>VLOOKUP($C505,'[10]for slip'!$F:$BC,16,0)</f>
        <v>0</v>
      </c>
      <c r="I505" s="2">
        <f>VLOOKUP($C505,'[10]for slip'!$F:$BC,17,0)</f>
        <v>0</v>
      </c>
      <c r="J505" s="2">
        <f>VLOOKUP($C505,'[10]for slip'!$F:$BC,27,0)</f>
        <v>0</v>
      </c>
      <c r="K505" s="2">
        <f>VLOOKUP($C505,'[10]for slip'!$F:$BC,31,0)</f>
        <v>0</v>
      </c>
      <c r="L505" s="2">
        <f>VLOOKUP($C505,'[10]for slip'!$F:$BC,35,0)</f>
        <v>30166.659590749972</v>
      </c>
      <c r="M505" s="2">
        <f>VLOOKUP($C505,'[10]for slip'!$F:$BC,36,0)</f>
        <v>0</v>
      </c>
      <c r="N505" s="2">
        <f>VLOOKUP($C505,'[10]for slip'!$F:$BC,37,0)</f>
        <v>0</v>
      </c>
      <c r="O505" s="2">
        <f>VLOOKUP($C505,'[10]for slip'!$F:$BC,38,0)</f>
        <v>0</v>
      </c>
      <c r="P505" s="2">
        <f>VLOOKUP($C505,'[10]for slip'!$F:$BC,39,0)</f>
        <v>0</v>
      </c>
      <c r="Q505" s="2">
        <f>VLOOKUP($C505,'[10]for slip'!$F:$BC,40,0)</f>
        <v>31700</v>
      </c>
      <c r="R505" s="2">
        <f>VLOOKUP($C505,'[10]for slip'!$F:$BC,41,0)</f>
        <v>0</v>
      </c>
      <c r="S505" s="2">
        <f>VLOOKUP($C505,'[10]for slip'!$F:$BC,42,0)</f>
        <v>0</v>
      </c>
      <c r="T505" s="2">
        <f>VLOOKUP($C505,'[10]for slip'!$F:$BC,43,0)</f>
        <v>56430.83</v>
      </c>
      <c r="U505" s="2">
        <f>VLOOKUP($C505,'[10]for slip'!$F:$BC,44,0)</f>
        <v>112861.66</v>
      </c>
      <c r="V505" s="2">
        <f>VLOOKUP($C505,'[10]for slip'!$F:$BC,45,0)</f>
        <v>56430.83</v>
      </c>
      <c r="W505" s="2">
        <f>VLOOKUP($C505,'[10]for slip'!$F:$BC,48,0)</f>
        <v>30166.659590749972</v>
      </c>
    </row>
    <row r="506" spans="1:23" x14ac:dyDescent="0.25">
      <c r="A506" s="1">
        <v>505</v>
      </c>
      <c r="B506" s="2" t="s">
        <v>1031</v>
      </c>
      <c r="C506" s="2" t="s">
        <v>1032</v>
      </c>
      <c r="D506" s="2" t="str">
        <f>VLOOKUP($C506,'[10]for slip'!$F:$BC,3,0)</f>
        <v>Pelaksana</v>
      </c>
      <c r="E506" s="2" t="str">
        <f>VLOOKUP($C506,'[10]for slip'!$F:$BC,4,0)</f>
        <v>FG &amp; ID PC</v>
      </c>
      <c r="F506" s="2">
        <f>VLOOKUP($C506,'[10]for slip'!$F:$BC,14,0)</f>
        <v>5343083</v>
      </c>
      <c r="G506" s="2">
        <f>VLOOKUP($C506,'[10]for slip'!$F:$BC,15,0)</f>
        <v>0</v>
      </c>
      <c r="H506" s="2">
        <f>VLOOKUP($C506,'[10]for slip'!$F:$BC,16,0)</f>
        <v>0</v>
      </c>
      <c r="I506" s="2">
        <f>VLOOKUP($C506,'[10]for slip'!$F:$BC,17,0)</f>
        <v>0</v>
      </c>
      <c r="J506" s="2">
        <f>VLOOKUP($C506,'[10]for slip'!$F:$BC,27,0)</f>
        <v>0</v>
      </c>
      <c r="K506" s="2">
        <f>VLOOKUP($C506,'[10]for slip'!$F:$BC,31,0)</f>
        <v>0</v>
      </c>
      <c r="L506" s="2">
        <f>VLOOKUP($C506,'[10]for slip'!$F:$BC,35,0)</f>
        <v>0</v>
      </c>
      <c r="M506" s="2">
        <f>VLOOKUP($C506,'[10]for slip'!$F:$BC,36,0)</f>
        <v>0</v>
      </c>
      <c r="N506" s="2">
        <f>VLOOKUP($C506,'[10]for slip'!$F:$BC,37,0)</f>
        <v>0</v>
      </c>
      <c r="O506" s="2">
        <f>VLOOKUP($C506,'[10]for slip'!$F:$BC,38,0)</f>
        <v>0</v>
      </c>
      <c r="P506" s="2">
        <f>VLOOKUP($C506,'[10]for slip'!$F:$BC,39,0)</f>
        <v>0</v>
      </c>
      <c r="Q506" s="2">
        <f>VLOOKUP($C506,'[10]for slip'!$F:$BC,40,0)</f>
        <v>31700</v>
      </c>
      <c r="R506" s="2">
        <f>VLOOKUP($C506,'[10]for slip'!$F:$BC,41,0)</f>
        <v>0</v>
      </c>
      <c r="S506" s="2">
        <f>VLOOKUP($C506,'[10]for slip'!$F:$BC,42,0)</f>
        <v>0</v>
      </c>
      <c r="T506" s="2">
        <f>VLOOKUP($C506,'[10]for slip'!$F:$BC,43,0)</f>
        <v>53430.83</v>
      </c>
      <c r="U506" s="2">
        <f>VLOOKUP($C506,'[10]for slip'!$F:$BC,44,0)</f>
        <v>106861.66</v>
      </c>
      <c r="V506" s="2">
        <f>VLOOKUP($C506,'[10]for slip'!$F:$BC,45,0)</f>
        <v>53430.83</v>
      </c>
      <c r="W506" s="2">
        <f>VLOOKUP($C506,'[10]for slip'!$F:$BC,48,0)</f>
        <v>0</v>
      </c>
    </row>
    <row r="507" spans="1:23" x14ac:dyDescent="0.25">
      <c r="A507" s="1">
        <v>506</v>
      </c>
      <c r="B507" s="2" t="s">
        <v>1033</v>
      </c>
      <c r="C507" s="2" t="s">
        <v>1034</v>
      </c>
      <c r="D507" s="2" t="str">
        <f>VLOOKUP($C507,'[10]for slip'!$F:$BC,3,0)</f>
        <v>Pelaksana</v>
      </c>
      <c r="E507" s="2" t="str">
        <f>VLOOKUP($C507,'[10]for slip'!$F:$BC,4,0)</f>
        <v>FG &amp; ID PC</v>
      </c>
      <c r="F507" s="2">
        <f>VLOOKUP($C507,'[10]for slip'!$F:$BC,14,0)</f>
        <v>5343083</v>
      </c>
      <c r="G507" s="2">
        <f>VLOOKUP($C507,'[10]for slip'!$F:$BC,15,0)</f>
        <v>0</v>
      </c>
      <c r="H507" s="2">
        <f>VLOOKUP($C507,'[10]for slip'!$F:$BC,16,0)</f>
        <v>0</v>
      </c>
      <c r="I507" s="2">
        <f>VLOOKUP($C507,'[10]for slip'!$F:$BC,17,0)</f>
        <v>0</v>
      </c>
      <c r="J507" s="2">
        <f>VLOOKUP($C507,'[10]for slip'!$F:$BC,27,0)</f>
        <v>0</v>
      </c>
      <c r="K507" s="2">
        <f>VLOOKUP($C507,'[10]for slip'!$F:$BC,31,0)</f>
        <v>0</v>
      </c>
      <c r="L507" s="2">
        <f>VLOOKUP($C507,'[10]for slip'!$F:$BC,35,0)</f>
        <v>34354.584590750004</v>
      </c>
      <c r="M507" s="2">
        <f>VLOOKUP($C507,'[10]for slip'!$F:$BC,36,0)</f>
        <v>0</v>
      </c>
      <c r="N507" s="2">
        <f>VLOOKUP($C507,'[10]for slip'!$F:$BC,37,0)</f>
        <v>0</v>
      </c>
      <c r="O507" s="2">
        <f>VLOOKUP($C507,'[10]for slip'!$F:$BC,38,0)</f>
        <v>0</v>
      </c>
      <c r="P507" s="2">
        <f>VLOOKUP($C507,'[10]for slip'!$F:$BC,39,0)</f>
        <v>38000</v>
      </c>
      <c r="Q507" s="2">
        <f>VLOOKUP($C507,'[10]for slip'!$F:$BC,40,0)</f>
        <v>31700</v>
      </c>
      <c r="R507" s="2">
        <f>VLOOKUP($C507,'[10]for slip'!$F:$BC,41,0)</f>
        <v>0</v>
      </c>
      <c r="S507" s="2">
        <f>VLOOKUP($C507,'[10]for slip'!$F:$BC,42,0)</f>
        <v>0</v>
      </c>
      <c r="T507" s="2">
        <f>VLOOKUP($C507,'[10]for slip'!$F:$BC,43,0)</f>
        <v>53430.83</v>
      </c>
      <c r="U507" s="2">
        <f>VLOOKUP($C507,'[10]for slip'!$F:$BC,44,0)</f>
        <v>106861.66</v>
      </c>
      <c r="V507" s="2">
        <f>VLOOKUP($C507,'[10]for slip'!$F:$BC,45,0)</f>
        <v>53430.83</v>
      </c>
      <c r="W507" s="2">
        <f>VLOOKUP($C507,'[10]for slip'!$F:$BC,48,0)</f>
        <v>34354.584590750004</v>
      </c>
    </row>
    <row r="508" spans="1:23" x14ac:dyDescent="0.25">
      <c r="A508" s="1">
        <v>507</v>
      </c>
      <c r="B508" s="2" t="s">
        <v>1035</v>
      </c>
      <c r="C508" s="2" t="s">
        <v>1036</v>
      </c>
      <c r="D508" s="2" t="str">
        <f>VLOOKUP($C508,'[10]for slip'!$F:$BC,3,0)</f>
        <v>Pelaksana</v>
      </c>
      <c r="E508" s="2" t="str">
        <f>VLOOKUP($C508,'[10]for slip'!$F:$BC,4,0)</f>
        <v>FG &amp; ID PC</v>
      </c>
      <c r="F508" s="2">
        <f>VLOOKUP($C508,'[10]for slip'!$F:$BC,14,0)</f>
        <v>5343083</v>
      </c>
      <c r="G508" s="2">
        <f>VLOOKUP($C508,'[10]for slip'!$F:$BC,15,0)</f>
        <v>0</v>
      </c>
      <c r="H508" s="2">
        <f>VLOOKUP($C508,'[10]for slip'!$F:$BC,16,0)</f>
        <v>0</v>
      </c>
      <c r="I508" s="2">
        <f>VLOOKUP($C508,'[10]for slip'!$F:$BC,17,0)</f>
        <v>0</v>
      </c>
      <c r="J508" s="2">
        <f>VLOOKUP($C508,'[10]for slip'!$F:$BC,27,0)</f>
        <v>0</v>
      </c>
      <c r="K508" s="2">
        <f>VLOOKUP($C508,'[10]for slip'!$F:$BC,31,0)</f>
        <v>0</v>
      </c>
      <c r="L508" s="2">
        <f>VLOOKUP($C508,'[10]for slip'!$F:$BC,35,0)</f>
        <v>0</v>
      </c>
      <c r="M508" s="2">
        <f>VLOOKUP($C508,'[10]for slip'!$F:$BC,36,0)</f>
        <v>0</v>
      </c>
      <c r="N508" s="2">
        <f>VLOOKUP($C508,'[10]for slip'!$F:$BC,37,0)</f>
        <v>0</v>
      </c>
      <c r="O508" s="2">
        <f>VLOOKUP($C508,'[10]for slip'!$F:$BC,38,0)</f>
        <v>0</v>
      </c>
      <c r="P508" s="2">
        <f>VLOOKUP($C508,'[10]for slip'!$F:$BC,39,0)</f>
        <v>38000</v>
      </c>
      <c r="Q508" s="2">
        <f>VLOOKUP($C508,'[10]for slip'!$F:$BC,40,0)</f>
        <v>31700</v>
      </c>
      <c r="R508" s="2">
        <f>VLOOKUP($C508,'[10]for slip'!$F:$BC,41,0)</f>
        <v>0</v>
      </c>
      <c r="S508" s="2">
        <f>VLOOKUP($C508,'[10]for slip'!$F:$BC,42,0)</f>
        <v>0</v>
      </c>
      <c r="T508" s="2">
        <f>VLOOKUP($C508,'[10]for slip'!$F:$BC,43,0)</f>
        <v>53430.83</v>
      </c>
      <c r="U508" s="2">
        <f>VLOOKUP($C508,'[10]for slip'!$F:$BC,44,0)</f>
        <v>106861.66</v>
      </c>
      <c r="V508" s="2">
        <f>VLOOKUP($C508,'[10]for slip'!$F:$BC,45,0)</f>
        <v>53430.83</v>
      </c>
      <c r="W508" s="2">
        <f>VLOOKUP($C508,'[10]for slip'!$F:$BC,48,0)</f>
        <v>0</v>
      </c>
    </row>
    <row r="509" spans="1:23" x14ac:dyDescent="0.25">
      <c r="A509" s="1">
        <v>508</v>
      </c>
      <c r="B509" s="2" t="s">
        <v>1037</v>
      </c>
      <c r="C509" s="2" t="s">
        <v>1038</v>
      </c>
      <c r="D509" s="2" t="str">
        <f>VLOOKUP($C509,'[10]for slip'!$F:$BC,3,0)</f>
        <v>Pelaksana</v>
      </c>
      <c r="E509" s="2" t="str">
        <f>VLOOKUP($C509,'[10]for slip'!$F:$BC,4,0)</f>
        <v>FG &amp; ID PC</v>
      </c>
      <c r="F509" s="2">
        <f>VLOOKUP($C509,'[10]for slip'!$F:$BC,14,0)</f>
        <v>5343083</v>
      </c>
      <c r="G509" s="2">
        <f>VLOOKUP($C509,'[10]for slip'!$F:$BC,15,0)</f>
        <v>0</v>
      </c>
      <c r="H509" s="2">
        <f>VLOOKUP($C509,'[10]for slip'!$F:$BC,16,0)</f>
        <v>0</v>
      </c>
      <c r="I509" s="2">
        <f>VLOOKUP($C509,'[10]for slip'!$F:$BC,17,0)</f>
        <v>0</v>
      </c>
      <c r="J509" s="2">
        <f>VLOOKUP($C509,'[10]for slip'!$F:$BC,27,0)</f>
        <v>0</v>
      </c>
      <c r="K509" s="2">
        <f>VLOOKUP($C509,'[10]for slip'!$F:$BC,31,0)</f>
        <v>0</v>
      </c>
      <c r="L509" s="2">
        <f>VLOOKUP($C509,'[10]for slip'!$F:$BC,35,0)</f>
        <v>0</v>
      </c>
      <c r="M509" s="2">
        <f>VLOOKUP($C509,'[10]for slip'!$F:$BC,36,0)</f>
        <v>0</v>
      </c>
      <c r="N509" s="2">
        <f>VLOOKUP($C509,'[10]for slip'!$F:$BC,37,0)</f>
        <v>0</v>
      </c>
      <c r="O509" s="2">
        <f>VLOOKUP($C509,'[10]for slip'!$F:$BC,38,0)</f>
        <v>0</v>
      </c>
      <c r="P509" s="2">
        <f>VLOOKUP($C509,'[10]for slip'!$F:$BC,39,0)</f>
        <v>38000</v>
      </c>
      <c r="Q509" s="2">
        <f>VLOOKUP($C509,'[10]for slip'!$F:$BC,40,0)</f>
        <v>31700</v>
      </c>
      <c r="R509" s="2">
        <f>VLOOKUP($C509,'[10]for slip'!$F:$BC,41,0)</f>
        <v>0</v>
      </c>
      <c r="S509" s="2">
        <f>VLOOKUP($C509,'[10]for slip'!$F:$BC,42,0)</f>
        <v>0</v>
      </c>
      <c r="T509" s="2">
        <f>VLOOKUP($C509,'[10]for slip'!$F:$BC,43,0)</f>
        <v>53430.83</v>
      </c>
      <c r="U509" s="2">
        <f>VLOOKUP($C509,'[10]for slip'!$F:$BC,44,0)</f>
        <v>106861.66</v>
      </c>
      <c r="V509" s="2">
        <f>VLOOKUP($C509,'[10]for slip'!$F:$BC,45,0)</f>
        <v>53430.83</v>
      </c>
      <c r="W509" s="2">
        <f>VLOOKUP($C509,'[10]for slip'!$F:$BC,48,0)</f>
        <v>0</v>
      </c>
    </row>
    <row r="510" spans="1:23" x14ac:dyDescent="0.25">
      <c r="A510" s="1">
        <v>509</v>
      </c>
      <c r="B510" s="2" t="s">
        <v>1039</v>
      </c>
      <c r="C510" s="2" t="s">
        <v>1040</v>
      </c>
      <c r="D510" s="2" t="str">
        <f>VLOOKUP($C510,'[10]for slip'!$F:$BC,3,0)</f>
        <v>Leader</v>
      </c>
      <c r="E510" s="2" t="str">
        <f>VLOOKUP($C510,'[10]for slip'!$F:$BC,4,0)</f>
        <v>FG &amp; ID PC</v>
      </c>
      <c r="F510" s="2">
        <f>VLOOKUP($C510,'[10]for slip'!$F:$BC,14,0)</f>
        <v>5343083</v>
      </c>
      <c r="G510" s="2">
        <f>VLOOKUP($C510,'[10]for slip'!$F:$BC,15,0)</f>
        <v>500000</v>
      </c>
      <c r="H510" s="2">
        <f>VLOOKUP($C510,'[10]for slip'!$F:$BC,16,0)</f>
        <v>0</v>
      </c>
      <c r="I510" s="2">
        <f>VLOOKUP($C510,'[10]for slip'!$F:$BC,17,0)</f>
        <v>0</v>
      </c>
      <c r="J510" s="2">
        <f>VLOOKUP($C510,'[10]for slip'!$F:$BC,27,0)</f>
        <v>0</v>
      </c>
      <c r="K510" s="2">
        <f>VLOOKUP($C510,'[10]for slip'!$F:$BC,31,0)</f>
        <v>0</v>
      </c>
      <c r="L510" s="2">
        <f>VLOOKUP($C510,'[10]for slip'!$F:$BC,35,0)</f>
        <v>0</v>
      </c>
      <c r="M510" s="2">
        <f>VLOOKUP($C510,'[10]for slip'!$F:$BC,36,0)</f>
        <v>0</v>
      </c>
      <c r="N510" s="2">
        <f>VLOOKUP($C510,'[10]for slip'!$F:$BC,37,0)</f>
        <v>0</v>
      </c>
      <c r="O510" s="2">
        <f>VLOOKUP($C510,'[10]for slip'!$F:$BC,38,0)</f>
        <v>0</v>
      </c>
      <c r="P510" s="2">
        <f>VLOOKUP($C510,'[10]for slip'!$F:$BC,39,0)</f>
        <v>38000</v>
      </c>
      <c r="Q510" s="2">
        <f>VLOOKUP($C510,'[10]for slip'!$F:$BC,40,0)</f>
        <v>31700</v>
      </c>
      <c r="R510" s="2">
        <f>VLOOKUP($C510,'[10]for slip'!$F:$BC,41,0)</f>
        <v>0</v>
      </c>
      <c r="S510" s="2">
        <f>VLOOKUP($C510,'[10]for slip'!$F:$BC,42,0)</f>
        <v>10000</v>
      </c>
      <c r="T510" s="2">
        <f>VLOOKUP($C510,'[10]for slip'!$F:$BC,43,0)</f>
        <v>58430.83</v>
      </c>
      <c r="U510" s="2">
        <f>VLOOKUP($C510,'[10]for slip'!$F:$BC,44,0)</f>
        <v>116861.66</v>
      </c>
      <c r="V510" s="2">
        <f>VLOOKUP($C510,'[10]for slip'!$F:$BC,45,0)</f>
        <v>58430.83</v>
      </c>
      <c r="W510" s="2">
        <f>VLOOKUP($C510,'[10]for slip'!$F:$BC,48,0)</f>
        <v>0</v>
      </c>
    </row>
    <row r="511" spans="1:23" x14ac:dyDescent="0.25">
      <c r="A511" s="1">
        <v>510</v>
      </c>
      <c r="B511" s="2" t="s">
        <v>1041</v>
      </c>
      <c r="C511" s="2" t="s">
        <v>1042</v>
      </c>
      <c r="D511" s="2" t="str">
        <f>VLOOKUP($C511,'[10]for slip'!$F:$BC,3,0)</f>
        <v>Sect Head</v>
      </c>
      <c r="E511" s="2" t="str">
        <f>VLOOKUP($C511,'[10]for slip'!$F:$BC,4,0)</f>
        <v>FG &amp; ID PC</v>
      </c>
      <c r="F511" s="2">
        <f>VLOOKUP($C511,'[10]for slip'!$F:$BC,14,0)</f>
        <v>5343083</v>
      </c>
      <c r="G511" s="2">
        <f>VLOOKUP($C511,'[10]for slip'!$F:$BC,15,0)</f>
        <v>1500000</v>
      </c>
      <c r="H511" s="2">
        <f>VLOOKUP($C511,'[10]for slip'!$F:$BC,16,0)</f>
        <v>0</v>
      </c>
      <c r="I511" s="2">
        <f>VLOOKUP($C511,'[10]for slip'!$F:$BC,17,0)</f>
        <v>151054</v>
      </c>
      <c r="J511" s="2">
        <f>VLOOKUP($C511,'[10]for slip'!$F:$BC,27,0)</f>
        <v>0</v>
      </c>
      <c r="K511" s="2">
        <f>VLOOKUP($C511,'[10]for slip'!$F:$BC,31,0)</f>
        <v>0</v>
      </c>
      <c r="L511" s="2">
        <f>VLOOKUP($C511,'[10]for slip'!$F:$BC,35,0)</f>
        <v>76997.158514250012</v>
      </c>
      <c r="M511" s="2">
        <f>VLOOKUP($C511,'[10]for slip'!$F:$BC,36,0)</f>
        <v>0</v>
      </c>
      <c r="N511" s="2">
        <f>VLOOKUP($C511,'[10]for slip'!$F:$BC,37,0)</f>
        <v>0</v>
      </c>
      <c r="O511" s="2">
        <f>VLOOKUP($C511,'[10]for slip'!$F:$BC,38,0)</f>
        <v>0</v>
      </c>
      <c r="P511" s="2">
        <f>VLOOKUP($C511,'[10]for slip'!$F:$BC,39,0)</f>
        <v>38000</v>
      </c>
      <c r="Q511" s="2">
        <f>VLOOKUP($C511,'[10]for slip'!$F:$BC,40,0)</f>
        <v>31700</v>
      </c>
      <c r="R511" s="2">
        <f>VLOOKUP($C511,'[10]for slip'!$F:$BC,41,0)</f>
        <v>0</v>
      </c>
      <c r="S511" s="2">
        <f>VLOOKUP($C511,'[10]for slip'!$F:$BC,42,0)</f>
        <v>10000</v>
      </c>
      <c r="T511" s="2">
        <f>VLOOKUP($C511,'[10]for slip'!$F:$BC,43,0)</f>
        <v>69941.37</v>
      </c>
      <c r="U511" s="2">
        <f>VLOOKUP($C511,'[10]for slip'!$F:$BC,44,0)</f>
        <v>139882.74</v>
      </c>
      <c r="V511" s="2">
        <f>VLOOKUP($C511,'[10]for slip'!$F:$BC,45,0)</f>
        <v>69941.37</v>
      </c>
      <c r="W511" s="2">
        <f>VLOOKUP($C511,'[10]for slip'!$F:$BC,48,0)</f>
        <v>76997.158514250012</v>
      </c>
    </row>
    <row r="512" spans="1:23" x14ac:dyDescent="0.25">
      <c r="A512" s="1">
        <v>511</v>
      </c>
      <c r="B512" s="2" t="s">
        <v>1043</v>
      </c>
      <c r="C512" s="2" t="s">
        <v>1044</v>
      </c>
      <c r="D512" s="2" t="str">
        <f>VLOOKUP($C512,'[10]for slip'!$F:$BC,3,0)</f>
        <v>Leader</v>
      </c>
      <c r="E512" s="2" t="str">
        <f>VLOOKUP($C512,'[10]for slip'!$F:$BC,4,0)</f>
        <v>PPIC</v>
      </c>
      <c r="F512" s="2">
        <f>VLOOKUP($C512,'[10]for slip'!$F:$BC,14,0)</f>
        <v>5343083</v>
      </c>
      <c r="G512" s="2">
        <f>VLOOKUP($C512,'[10]for slip'!$F:$BC,15,0)</f>
        <v>500000</v>
      </c>
      <c r="H512" s="2">
        <f>VLOOKUP($C512,'[10]for slip'!$F:$BC,16,0)</f>
        <v>0</v>
      </c>
      <c r="I512" s="2">
        <f>VLOOKUP($C512,'[10]for slip'!$F:$BC,17,0)</f>
        <v>220000</v>
      </c>
      <c r="J512" s="2">
        <f>VLOOKUP($C512,'[10]for slip'!$F:$BC,27,0)</f>
        <v>0</v>
      </c>
      <c r="K512" s="2">
        <f>VLOOKUP($C512,'[10]for slip'!$F:$BC,31,0)</f>
        <v>0</v>
      </c>
      <c r="L512" s="2">
        <f>VLOOKUP($C512,'[10]for slip'!$F:$BC,35,0)</f>
        <v>31803.564590749953</v>
      </c>
      <c r="M512" s="2">
        <f>VLOOKUP($C512,'[10]for slip'!$F:$BC,36,0)</f>
        <v>0</v>
      </c>
      <c r="N512" s="2">
        <f>VLOOKUP($C512,'[10]for slip'!$F:$BC,37,0)</f>
        <v>0</v>
      </c>
      <c r="O512" s="2">
        <f>VLOOKUP($C512,'[10]for slip'!$F:$BC,38,0)</f>
        <v>0</v>
      </c>
      <c r="P512" s="2">
        <f>VLOOKUP($C512,'[10]for slip'!$F:$BC,39,0)</f>
        <v>38000</v>
      </c>
      <c r="Q512" s="2">
        <f>VLOOKUP($C512,'[10]for slip'!$F:$BC,40,0)</f>
        <v>31700</v>
      </c>
      <c r="R512" s="2">
        <f>VLOOKUP($C512,'[10]for slip'!$F:$BC,41,0)</f>
        <v>0</v>
      </c>
      <c r="S512" s="2">
        <f>VLOOKUP($C512,'[10]for slip'!$F:$BC,42,0)</f>
        <v>10000</v>
      </c>
      <c r="T512" s="2">
        <f>VLOOKUP($C512,'[10]for slip'!$F:$BC,43,0)</f>
        <v>60630.83</v>
      </c>
      <c r="U512" s="2">
        <f>VLOOKUP($C512,'[10]for slip'!$F:$BC,44,0)</f>
        <v>121261.66</v>
      </c>
      <c r="V512" s="2">
        <f>VLOOKUP($C512,'[10]for slip'!$F:$BC,45,0)</f>
        <v>60630.83</v>
      </c>
      <c r="W512" s="2">
        <f>VLOOKUP($C512,'[10]for slip'!$F:$BC,48,0)</f>
        <v>31803.564590749953</v>
      </c>
    </row>
    <row r="513" spans="1:23" x14ac:dyDescent="0.25">
      <c r="A513" s="1">
        <v>512</v>
      </c>
      <c r="B513" s="2" t="s">
        <v>1045</v>
      </c>
      <c r="C513" s="2" t="s">
        <v>1046</v>
      </c>
      <c r="D513" s="2" t="str">
        <f>VLOOKUP($C513,'[10]for slip'!$F:$BC,3,0)</f>
        <v>Leader</v>
      </c>
      <c r="E513" s="2" t="str">
        <f>VLOOKUP($C513,'[10]for slip'!$F:$BC,4,0)</f>
        <v>PPIC</v>
      </c>
      <c r="F513" s="2">
        <f>VLOOKUP($C513,'[10]for slip'!$F:$BC,14,0)</f>
        <v>5343083</v>
      </c>
      <c r="G513" s="2">
        <f>VLOOKUP($C513,'[10]for slip'!$F:$BC,15,0)</f>
        <v>500000</v>
      </c>
      <c r="H513" s="2">
        <f>VLOOKUP($C513,'[10]for slip'!$F:$BC,16,0)</f>
        <v>0</v>
      </c>
      <c r="I513" s="2">
        <f>VLOOKUP($C513,'[10]for slip'!$F:$BC,17,0)</f>
        <v>0</v>
      </c>
      <c r="J513" s="2">
        <f>VLOOKUP($C513,'[10]for slip'!$F:$BC,27,0)</f>
        <v>0</v>
      </c>
      <c r="K513" s="2">
        <f>VLOOKUP($C513,'[10]for slip'!$F:$BC,31,0)</f>
        <v>0</v>
      </c>
      <c r="L513" s="2">
        <f>VLOOKUP($C513,'[10]for slip'!$F:$BC,35,0)</f>
        <v>21124.709590749942</v>
      </c>
      <c r="M513" s="2">
        <f>VLOOKUP($C513,'[10]for slip'!$F:$BC,36,0)</f>
        <v>0</v>
      </c>
      <c r="N513" s="2">
        <f>VLOOKUP($C513,'[10]for slip'!$F:$BC,37,0)</f>
        <v>0</v>
      </c>
      <c r="O513" s="2">
        <f>VLOOKUP($C513,'[10]for slip'!$F:$BC,38,0)</f>
        <v>0</v>
      </c>
      <c r="P513" s="2">
        <f>VLOOKUP($C513,'[10]for slip'!$F:$BC,39,0)</f>
        <v>38000</v>
      </c>
      <c r="Q513" s="2">
        <f>VLOOKUP($C513,'[10]for slip'!$F:$BC,40,0)</f>
        <v>31700</v>
      </c>
      <c r="R513" s="2">
        <f>VLOOKUP($C513,'[10]for slip'!$F:$BC,41,0)</f>
        <v>0</v>
      </c>
      <c r="S513" s="2">
        <f>VLOOKUP($C513,'[10]for slip'!$F:$BC,42,0)</f>
        <v>0</v>
      </c>
      <c r="T513" s="2">
        <f>VLOOKUP($C513,'[10]for slip'!$F:$BC,43,0)</f>
        <v>58430.83</v>
      </c>
      <c r="U513" s="2">
        <f>VLOOKUP($C513,'[10]for slip'!$F:$BC,44,0)</f>
        <v>116861.66</v>
      </c>
      <c r="V513" s="2">
        <f>VLOOKUP($C513,'[10]for slip'!$F:$BC,45,0)</f>
        <v>58430.83</v>
      </c>
      <c r="W513" s="2">
        <f>VLOOKUP($C513,'[10]for slip'!$F:$BC,48,0)</f>
        <v>21124.709590749942</v>
      </c>
    </row>
    <row r="514" spans="1:23" x14ac:dyDescent="0.25">
      <c r="A514" s="1">
        <v>513</v>
      </c>
      <c r="B514" s="2" t="s">
        <v>1047</v>
      </c>
      <c r="C514" s="2" t="s">
        <v>1048</v>
      </c>
      <c r="D514" s="2" t="str">
        <f>VLOOKUP($C514,'[10]for slip'!$F:$BC,3,0)</f>
        <v>Staff</v>
      </c>
      <c r="E514" s="2" t="str">
        <f>VLOOKUP($C514,'[10]for slip'!$F:$BC,4,0)</f>
        <v>FG &amp; ID PC</v>
      </c>
      <c r="F514" s="2">
        <f>VLOOKUP($C514,'[10]for slip'!$F:$BC,14,0)</f>
        <v>5343083</v>
      </c>
      <c r="G514" s="2">
        <f>VLOOKUP($C514,'[10]for slip'!$F:$BC,15,0)</f>
        <v>0</v>
      </c>
      <c r="H514" s="2">
        <f>VLOOKUP($C514,'[10]for slip'!$F:$BC,16,0)</f>
        <v>0</v>
      </c>
      <c r="I514" s="2">
        <f>VLOOKUP($C514,'[10]for slip'!$F:$BC,17,0)</f>
        <v>0</v>
      </c>
      <c r="J514" s="2">
        <f>VLOOKUP($C514,'[10]for slip'!$F:$BC,27,0)</f>
        <v>0</v>
      </c>
      <c r="K514" s="2">
        <f>VLOOKUP($C514,'[10]for slip'!$F:$BC,31,0)</f>
        <v>0</v>
      </c>
      <c r="L514" s="2">
        <f>VLOOKUP($C514,'[10]for slip'!$F:$BC,35,0)</f>
        <v>34354.584590750004</v>
      </c>
      <c r="M514" s="2">
        <f>VLOOKUP($C514,'[10]for slip'!$F:$BC,36,0)</f>
        <v>0</v>
      </c>
      <c r="N514" s="2">
        <f>VLOOKUP($C514,'[10]for slip'!$F:$BC,37,0)</f>
        <v>0</v>
      </c>
      <c r="O514" s="2">
        <f>VLOOKUP($C514,'[10]for slip'!$F:$BC,38,0)</f>
        <v>0</v>
      </c>
      <c r="P514" s="2">
        <f>VLOOKUP($C514,'[10]for slip'!$F:$BC,39,0)</f>
        <v>38000</v>
      </c>
      <c r="Q514" s="2">
        <f>VLOOKUP($C514,'[10]for slip'!$F:$BC,40,0)</f>
        <v>31700</v>
      </c>
      <c r="R514" s="2">
        <f>VLOOKUP($C514,'[10]for slip'!$F:$BC,41,0)</f>
        <v>0</v>
      </c>
      <c r="S514" s="2">
        <f>VLOOKUP($C514,'[10]for slip'!$F:$BC,42,0)</f>
        <v>10000</v>
      </c>
      <c r="T514" s="2">
        <f>VLOOKUP($C514,'[10]for slip'!$F:$BC,43,0)</f>
        <v>53430.83</v>
      </c>
      <c r="U514" s="2">
        <f>VLOOKUP($C514,'[10]for slip'!$F:$BC,44,0)</f>
        <v>106861.66</v>
      </c>
      <c r="V514" s="2">
        <f>VLOOKUP($C514,'[10]for slip'!$F:$BC,45,0)</f>
        <v>53430.83</v>
      </c>
      <c r="W514" s="2">
        <f>VLOOKUP($C514,'[10]for slip'!$F:$BC,48,0)</f>
        <v>34354.584590750004</v>
      </c>
    </row>
    <row r="515" spans="1:23" x14ac:dyDescent="0.25">
      <c r="A515" s="1">
        <v>514</v>
      </c>
      <c r="B515" s="2" t="s">
        <v>1049</v>
      </c>
      <c r="C515" s="2" t="s">
        <v>1050</v>
      </c>
      <c r="D515" s="2" t="str">
        <f>VLOOKUP($C515,'[10]for slip'!$F:$BC,3,0)</f>
        <v>Pelaksana</v>
      </c>
      <c r="E515" s="2" t="str">
        <f>VLOOKUP($C515,'[10]for slip'!$F:$BC,4,0)</f>
        <v>FG &amp; ID PC</v>
      </c>
      <c r="F515" s="2">
        <f>VLOOKUP($C515,'[10]for slip'!$F:$BC,14,0)</f>
        <v>5343083</v>
      </c>
      <c r="G515" s="2">
        <f>VLOOKUP($C515,'[10]for slip'!$F:$BC,15,0)</f>
        <v>0</v>
      </c>
      <c r="H515" s="2">
        <f>VLOOKUP($C515,'[10]for slip'!$F:$BC,16,0)</f>
        <v>0</v>
      </c>
      <c r="I515" s="2">
        <f>VLOOKUP($C515,'[10]for slip'!$F:$BC,17,0)</f>
        <v>0</v>
      </c>
      <c r="J515" s="2">
        <f>VLOOKUP($C515,'[10]for slip'!$F:$BC,27,0)</f>
        <v>0</v>
      </c>
      <c r="K515" s="2">
        <f>VLOOKUP($C515,'[10]for slip'!$F:$BC,31,0)</f>
        <v>0</v>
      </c>
      <c r="L515" s="2">
        <f>VLOOKUP($C515,'[10]for slip'!$F:$BC,35,0)</f>
        <v>0</v>
      </c>
      <c r="M515" s="2">
        <f>VLOOKUP($C515,'[10]for slip'!$F:$BC,36,0)</f>
        <v>0</v>
      </c>
      <c r="N515" s="2">
        <f>VLOOKUP($C515,'[10]for slip'!$F:$BC,37,0)</f>
        <v>0</v>
      </c>
      <c r="O515" s="2">
        <f>VLOOKUP($C515,'[10]for slip'!$F:$BC,38,0)</f>
        <v>0</v>
      </c>
      <c r="P515" s="2">
        <f>VLOOKUP($C515,'[10]for slip'!$F:$BC,39,0)</f>
        <v>38000</v>
      </c>
      <c r="Q515" s="2">
        <f>VLOOKUP($C515,'[10]for slip'!$F:$BC,40,0)</f>
        <v>31700</v>
      </c>
      <c r="R515" s="2">
        <f>VLOOKUP($C515,'[10]for slip'!$F:$BC,41,0)</f>
        <v>0</v>
      </c>
      <c r="S515" s="2">
        <f>VLOOKUP($C515,'[10]for slip'!$F:$BC,42,0)</f>
        <v>10000</v>
      </c>
      <c r="T515" s="2">
        <f>VLOOKUP($C515,'[10]for slip'!$F:$BC,43,0)</f>
        <v>53430.83</v>
      </c>
      <c r="U515" s="2">
        <f>VLOOKUP($C515,'[10]for slip'!$F:$BC,44,0)</f>
        <v>106861.66</v>
      </c>
      <c r="V515" s="2">
        <f>VLOOKUP($C515,'[10]for slip'!$F:$BC,45,0)</f>
        <v>53430.83</v>
      </c>
      <c r="W515" s="2">
        <f>VLOOKUP($C515,'[10]for slip'!$F:$BC,48,0)</f>
        <v>0</v>
      </c>
    </row>
    <row r="516" spans="1:23" x14ac:dyDescent="0.25">
      <c r="A516" s="1">
        <v>515</v>
      </c>
      <c r="B516" s="2" t="s">
        <v>1051</v>
      </c>
      <c r="C516" s="2" t="s">
        <v>1052</v>
      </c>
      <c r="D516" s="2" t="str">
        <f>VLOOKUP($C516,'[10]for slip'!$F:$BC,3,0)</f>
        <v>Leader</v>
      </c>
      <c r="E516" s="2" t="str">
        <f>VLOOKUP($C516,'[10]for slip'!$F:$BC,4,0)</f>
        <v>FG &amp; ID PC</v>
      </c>
      <c r="F516" s="2">
        <f>VLOOKUP($C516,'[10]for slip'!$F:$BC,14,0)</f>
        <v>5343083</v>
      </c>
      <c r="G516" s="2">
        <f>VLOOKUP($C516,'[10]for slip'!$F:$BC,15,0)</f>
        <v>400000</v>
      </c>
      <c r="H516" s="2">
        <f>VLOOKUP($C516,'[10]for slip'!$F:$BC,16,0)</f>
        <v>0</v>
      </c>
      <c r="I516" s="2">
        <f>VLOOKUP($C516,'[10]for slip'!$F:$BC,17,0)</f>
        <v>0</v>
      </c>
      <c r="J516" s="2">
        <f>VLOOKUP($C516,'[10]for slip'!$F:$BC,27,0)</f>
        <v>0</v>
      </c>
      <c r="K516" s="2">
        <f>VLOOKUP($C516,'[10]for slip'!$F:$BC,31,0)</f>
        <v>0</v>
      </c>
      <c r="L516" s="2">
        <f>VLOOKUP($C516,'[10]for slip'!$F:$BC,35,0)</f>
        <v>53770.684590749974</v>
      </c>
      <c r="M516" s="2">
        <f>VLOOKUP($C516,'[10]for slip'!$F:$BC,36,0)</f>
        <v>0</v>
      </c>
      <c r="N516" s="2">
        <f>VLOOKUP($C516,'[10]for slip'!$F:$BC,37,0)</f>
        <v>0</v>
      </c>
      <c r="O516" s="2">
        <f>VLOOKUP($C516,'[10]for slip'!$F:$BC,38,0)</f>
        <v>0</v>
      </c>
      <c r="P516" s="2">
        <f>VLOOKUP($C516,'[10]for slip'!$F:$BC,39,0)</f>
        <v>38000</v>
      </c>
      <c r="Q516" s="2">
        <f>VLOOKUP($C516,'[10]for slip'!$F:$BC,40,0)</f>
        <v>31700</v>
      </c>
      <c r="R516" s="2">
        <f>VLOOKUP($C516,'[10]for slip'!$F:$BC,41,0)</f>
        <v>0</v>
      </c>
      <c r="S516" s="2">
        <f>VLOOKUP($C516,'[10]for slip'!$F:$BC,42,0)</f>
        <v>10000</v>
      </c>
      <c r="T516" s="2">
        <f>VLOOKUP($C516,'[10]for slip'!$F:$BC,43,0)</f>
        <v>57430.83</v>
      </c>
      <c r="U516" s="2">
        <f>VLOOKUP($C516,'[10]for slip'!$F:$BC,44,0)</f>
        <v>114861.66</v>
      </c>
      <c r="V516" s="2">
        <f>VLOOKUP($C516,'[10]for slip'!$F:$BC,45,0)</f>
        <v>57430.83</v>
      </c>
      <c r="W516" s="2">
        <f>VLOOKUP($C516,'[10]for slip'!$F:$BC,48,0)</f>
        <v>53770.684590749974</v>
      </c>
    </row>
    <row r="517" spans="1:23" x14ac:dyDescent="0.25">
      <c r="A517" s="1">
        <v>516</v>
      </c>
      <c r="B517" s="2" t="s">
        <v>1053</v>
      </c>
      <c r="C517" s="2" t="s">
        <v>1054</v>
      </c>
      <c r="D517" s="2" t="str">
        <f>VLOOKUP($C517,'[10]for slip'!$F:$BC,3,0)</f>
        <v>Pelaksana</v>
      </c>
      <c r="E517" s="2" t="str">
        <f>VLOOKUP($C517,'[10]for slip'!$F:$BC,4,0)</f>
        <v>FG &amp; ID PC</v>
      </c>
      <c r="F517" s="2">
        <f>VLOOKUP($C517,'[10]for slip'!$F:$BC,14,0)</f>
        <v>5343083</v>
      </c>
      <c r="G517" s="2">
        <f>VLOOKUP($C517,'[10]for slip'!$F:$BC,15,0)</f>
        <v>0</v>
      </c>
      <c r="H517" s="2">
        <f>VLOOKUP($C517,'[10]for slip'!$F:$BC,16,0)</f>
        <v>0</v>
      </c>
      <c r="I517" s="2">
        <f>VLOOKUP($C517,'[10]for slip'!$F:$BC,17,0)</f>
        <v>0</v>
      </c>
      <c r="J517" s="2">
        <f>VLOOKUP($C517,'[10]for slip'!$F:$BC,27,0)</f>
        <v>0</v>
      </c>
      <c r="K517" s="2">
        <f>VLOOKUP($C517,'[10]for slip'!$F:$BC,31,0)</f>
        <v>0</v>
      </c>
      <c r="L517" s="2">
        <f>VLOOKUP($C517,'[10]for slip'!$F:$BC,35,0)</f>
        <v>0</v>
      </c>
      <c r="M517" s="2">
        <f>VLOOKUP($C517,'[10]for slip'!$F:$BC,36,0)</f>
        <v>0</v>
      </c>
      <c r="N517" s="2">
        <f>VLOOKUP($C517,'[10]for slip'!$F:$BC,37,0)</f>
        <v>0</v>
      </c>
      <c r="O517" s="2">
        <f>VLOOKUP($C517,'[10]for slip'!$F:$BC,38,0)</f>
        <v>0</v>
      </c>
      <c r="P517" s="2">
        <f>VLOOKUP($C517,'[10]for slip'!$F:$BC,39,0)</f>
        <v>38000</v>
      </c>
      <c r="Q517" s="2">
        <f>VLOOKUP($C517,'[10]for slip'!$F:$BC,40,0)</f>
        <v>31700</v>
      </c>
      <c r="R517" s="2">
        <f>VLOOKUP($C517,'[10]for slip'!$F:$BC,41,0)</f>
        <v>0</v>
      </c>
      <c r="S517" s="2">
        <f>VLOOKUP($C517,'[10]for slip'!$F:$BC,42,0)</f>
        <v>10000</v>
      </c>
      <c r="T517" s="2">
        <f>VLOOKUP($C517,'[10]for slip'!$F:$BC,43,0)</f>
        <v>53430.83</v>
      </c>
      <c r="U517" s="2">
        <f>VLOOKUP($C517,'[10]for slip'!$F:$BC,44,0)</f>
        <v>106861.66</v>
      </c>
      <c r="V517" s="2">
        <f>VLOOKUP($C517,'[10]for slip'!$F:$BC,45,0)</f>
        <v>53430.83</v>
      </c>
      <c r="W517" s="2">
        <f>VLOOKUP($C517,'[10]for slip'!$F:$BC,48,0)</f>
        <v>0</v>
      </c>
    </row>
    <row r="518" spans="1:23" x14ac:dyDescent="0.25">
      <c r="A518" s="1">
        <v>517</v>
      </c>
      <c r="B518" s="2" t="s">
        <v>1055</v>
      </c>
      <c r="C518" s="2" t="s">
        <v>1056</v>
      </c>
      <c r="D518" s="2" t="str">
        <f>VLOOKUP($C518,'[10]for slip'!$F:$BC,3,0)</f>
        <v>Pelaksana</v>
      </c>
      <c r="E518" s="2" t="str">
        <f>VLOOKUP($C518,'[10]for slip'!$F:$BC,4,0)</f>
        <v>FG &amp; ID PC</v>
      </c>
      <c r="F518" s="2">
        <f>VLOOKUP($C518,'[10]for slip'!$F:$BC,14,0)</f>
        <v>5343083</v>
      </c>
      <c r="G518" s="2">
        <f>VLOOKUP($C518,'[10]for slip'!$F:$BC,15,0)</f>
        <v>0</v>
      </c>
      <c r="H518" s="2">
        <f>VLOOKUP($C518,'[10]for slip'!$F:$BC,16,0)</f>
        <v>0</v>
      </c>
      <c r="I518" s="2">
        <f>VLOOKUP($C518,'[10]for slip'!$F:$BC,17,0)</f>
        <v>0</v>
      </c>
      <c r="J518" s="2">
        <f>VLOOKUP($C518,'[10]for slip'!$F:$BC,27,0)</f>
        <v>0</v>
      </c>
      <c r="K518" s="2">
        <f>VLOOKUP($C518,'[10]for slip'!$F:$BC,31,0)</f>
        <v>0</v>
      </c>
      <c r="L518" s="2">
        <f>VLOOKUP($C518,'[10]for slip'!$F:$BC,35,0)</f>
        <v>0</v>
      </c>
      <c r="M518" s="2">
        <f>VLOOKUP($C518,'[10]for slip'!$F:$BC,36,0)</f>
        <v>0</v>
      </c>
      <c r="N518" s="2">
        <f>VLOOKUP($C518,'[10]for slip'!$F:$BC,37,0)</f>
        <v>0</v>
      </c>
      <c r="O518" s="2">
        <f>VLOOKUP($C518,'[10]for slip'!$F:$BC,38,0)</f>
        <v>0</v>
      </c>
      <c r="P518" s="2">
        <f>VLOOKUP($C518,'[10]for slip'!$F:$BC,39,0)</f>
        <v>38000</v>
      </c>
      <c r="Q518" s="2">
        <f>VLOOKUP($C518,'[10]for slip'!$F:$BC,40,0)</f>
        <v>31700</v>
      </c>
      <c r="R518" s="2">
        <f>VLOOKUP($C518,'[10]for slip'!$F:$BC,41,0)</f>
        <v>0</v>
      </c>
      <c r="S518" s="2">
        <f>VLOOKUP($C518,'[10]for slip'!$F:$BC,42,0)</f>
        <v>0</v>
      </c>
      <c r="T518" s="2">
        <f>VLOOKUP($C518,'[10]for slip'!$F:$BC,43,0)</f>
        <v>53430.83</v>
      </c>
      <c r="U518" s="2">
        <f>VLOOKUP($C518,'[10]for slip'!$F:$BC,44,0)</f>
        <v>106861.66</v>
      </c>
      <c r="V518" s="2">
        <f>VLOOKUP($C518,'[10]for slip'!$F:$BC,45,0)</f>
        <v>53430.83</v>
      </c>
      <c r="W518" s="2">
        <f>VLOOKUP($C518,'[10]for slip'!$F:$BC,48,0)</f>
        <v>0</v>
      </c>
    </row>
    <row r="519" spans="1:23" x14ac:dyDescent="0.25">
      <c r="A519" s="1">
        <v>518</v>
      </c>
      <c r="B519" s="2" t="s">
        <v>1057</v>
      </c>
      <c r="C519" s="2" t="s">
        <v>1058</v>
      </c>
      <c r="D519" s="2" t="str">
        <f>VLOOKUP($C519,'[10]for slip'!$F:$BC,3,0)</f>
        <v>Sect Head</v>
      </c>
      <c r="E519" s="2" t="str">
        <f>VLOOKUP($C519,'[10]for slip'!$F:$BC,4,0)</f>
        <v>Tool Manufacture</v>
      </c>
      <c r="F519" s="2">
        <f>VLOOKUP($C519,'[10]for slip'!$F:$BC,14,0)</f>
        <v>6500000</v>
      </c>
      <c r="G519" s="2">
        <f>VLOOKUP($C519,'[10]for slip'!$F:$BC,15,0)</f>
        <v>1500000</v>
      </c>
      <c r="H519" s="2">
        <f>VLOOKUP($C519,'[10]for slip'!$F:$BC,16,0)</f>
        <v>0</v>
      </c>
      <c r="I519" s="2">
        <f>VLOOKUP($C519,'[10]for slip'!$F:$BC,17,0)</f>
        <v>195000</v>
      </c>
      <c r="J519" s="2">
        <f>VLOOKUP($C519,'[10]for slip'!$F:$BC,27,0)</f>
        <v>0</v>
      </c>
      <c r="K519" s="2">
        <f>VLOOKUP($C519,'[10]for slip'!$F:$BC,31,0)</f>
        <v>0</v>
      </c>
      <c r="L519" s="2">
        <f>VLOOKUP($C519,'[10]for slip'!$F:$BC,35,0)</f>
        <v>97787.348750000019</v>
      </c>
      <c r="M519" s="2">
        <f>VLOOKUP($C519,'[10]for slip'!$F:$BC,36,0)</f>
        <v>0</v>
      </c>
      <c r="N519" s="2">
        <f>VLOOKUP($C519,'[10]for slip'!$F:$BC,37,0)</f>
        <v>0</v>
      </c>
      <c r="O519" s="2">
        <f>VLOOKUP($C519,'[10]for slip'!$F:$BC,38,0)</f>
        <v>0</v>
      </c>
      <c r="P519" s="2">
        <f>VLOOKUP($C519,'[10]for slip'!$F:$BC,39,0)</f>
        <v>0</v>
      </c>
      <c r="Q519" s="2">
        <f>VLOOKUP($C519,'[10]for slip'!$F:$BC,40,0)</f>
        <v>31700</v>
      </c>
      <c r="R519" s="2">
        <f>VLOOKUP($C519,'[10]for slip'!$F:$BC,41,0)</f>
        <v>2613833</v>
      </c>
      <c r="S519" s="2">
        <f>VLOOKUP($C519,'[10]for slip'!$F:$BC,42,0)</f>
        <v>0</v>
      </c>
      <c r="T519" s="2">
        <f>VLOOKUP($C519,'[10]for slip'!$F:$BC,43,0)</f>
        <v>81950</v>
      </c>
      <c r="U519" s="2">
        <f>VLOOKUP($C519,'[10]for slip'!$F:$BC,44,0)</f>
        <v>163900</v>
      </c>
      <c r="V519" s="2">
        <f>VLOOKUP($C519,'[10]for slip'!$F:$BC,45,0)</f>
        <v>81950</v>
      </c>
      <c r="W519" s="2">
        <f>VLOOKUP($C519,'[10]for slip'!$F:$BC,48,0)</f>
        <v>97787.348750000019</v>
      </c>
    </row>
    <row r="520" spans="1:23" x14ac:dyDescent="0.25">
      <c r="A520" s="1">
        <v>519</v>
      </c>
      <c r="B520" s="2" t="s">
        <v>1059</v>
      </c>
      <c r="C520" s="2" t="s">
        <v>1060</v>
      </c>
      <c r="D520" s="2" t="str">
        <f>VLOOKUP($C520,'[10]for slip'!$F:$BC,3,0)</f>
        <v>Specialist</v>
      </c>
      <c r="E520" s="2" t="str">
        <f>VLOOKUP($C520,'[10]for slip'!$F:$BC,4,0)</f>
        <v>Tool Manufacture</v>
      </c>
      <c r="F520" s="2">
        <f>VLOOKUP($C520,'[10]for slip'!$F:$BC,14,0)</f>
        <v>6014855</v>
      </c>
      <c r="G520" s="2">
        <f>VLOOKUP($C520,'[10]for slip'!$F:$BC,15,0)</f>
        <v>1000000</v>
      </c>
      <c r="H520" s="2">
        <f>VLOOKUP($C520,'[10]for slip'!$F:$BC,16,0)</f>
        <v>0</v>
      </c>
      <c r="I520" s="2">
        <f>VLOOKUP($C520,'[10]for slip'!$F:$BC,17,0)</f>
        <v>175253</v>
      </c>
      <c r="J520" s="2">
        <f>VLOOKUP($C520,'[10]for slip'!$F:$BC,27,0)</f>
        <v>0</v>
      </c>
      <c r="K520" s="2">
        <f>VLOOKUP($C520,'[10]for slip'!$F:$BC,31,0)</f>
        <v>0</v>
      </c>
      <c r="L520" s="2">
        <f>VLOOKUP($C520,'[10]for slip'!$F:$BC,35,0)</f>
        <v>124009.63984700001</v>
      </c>
      <c r="M520" s="2">
        <f>VLOOKUP($C520,'[10]for slip'!$F:$BC,36,0)</f>
        <v>0</v>
      </c>
      <c r="N520" s="2">
        <f>VLOOKUP($C520,'[10]for slip'!$F:$BC,37,0)</f>
        <v>0</v>
      </c>
      <c r="O520" s="2">
        <f>VLOOKUP($C520,'[10]for slip'!$F:$BC,38,0)</f>
        <v>0</v>
      </c>
      <c r="P520" s="2">
        <f>VLOOKUP($C520,'[10]for slip'!$F:$BC,39,0)</f>
        <v>0</v>
      </c>
      <c r="Q520" s="2">
        <f>VLOOKUP($C520,'[10]for slip'!$F:$BC,40,0)</f>
        <v>31700</v>
      </c>
      <c r="R520" s="2">
        <f>VLOOKUP($C520,'[10]for slip'!$F:$BC,41,0)</f>
        <v>0</v>
      </c>
      <c r="S520" s="2">
        <f>VLOOKUP($C520,'[10]for slip'!$F:$BC,42,0)</f>
        <v>0</v>
      </c>
      <c r="T520" s="2">
        <f>VLOOKUP($C520,'[10]for slip'!$F:$BC,43,0)</f>
        <v>71901.08</v>
      </c>
      <c r="U520" s="2">
        <f>VLOOKUP($C520,'[10]for slip'!$F:$BC,44,0)</f>
        <v>143802.16</v>
      </c>
      <c r="V520" s="2">
        <f>VLOOKUP($C520,'[10]for slip'!$F:$BC,45,0)</f>
        <v>71901.08</v>
      </c>
      <c r="W520" s="2">
        <f>VLOOKUP($C520,'[10]for slip'!$F:$BC,48,0)</f>
        <v>124009.63984700001</v>
      </c>
    </row>
    <row r="521" spans="1:23" x14ac:dyDescent="0.25">
      <c r="A521" s="1">
        <v>520</v>
      </c>
      <c r="B521" s="2" t="s">
        <v>1061</v>
      </c>
      <c r="C521" s="2" t="s">
        <v>1062</v>
      </c>
      <c r="D521" s="2" t="str">
        <f>VLOOKUP($C521,'[10]for slip'!$F:$BC,3,0)</f>
        <v>Leader</v>
      </c>
      <c r="E521" s="2" t="str">
        <f>VLOOKUP($C521,'[10]for slip'!$F:$BC,4,0)</f>
        <v>Tool Manufacture</v>
      </c>
      <c r="F521" s="2">
        <f>VLOOKUP($C521,'[10]for slip'!$F:$BC,14,0)</f>
        <v>4770024</v>
      </c>
      <c r="G521" s="2">
        <f>VLOOKUP($C521,'[10]for slip'!$F:$BC,15,0)</f>
        <v>0</v>
      </c>
      <c r="H521" s="2">
        <f>VLOOKUP($C521,'[10]for slip'!$F:$BC,16,0)</f>
        <v>727300</v>
      </c>
      <c r="I521" s="2">
        <f>VLOOKUP($C521,'[10]for slip'!$F:$BC,17,0)</f>
        <v>183538</v>
      </c>
      <c r="J521" s="2">
        <f>VLOOKUP($C521,'[10]for slip'!$F:$BC,27,0)</f>
        <v>0</v>
      </c>
      <c r="K521" s="2">
        <f>VLOOKUP($C521,'[10]for slip'!$F:$BC,31,0)</f>
        <v>0</v>
      </c>
      <c r="L521" s="2">
        <f>VLOOKUP($C521,'[10]for slip'!$F:$BC,35,0)</f>
        <v>0</v>
      </c>
      <c r="M521" s="2">
        <f>VLOOKUP($C521,'[10]for slip'!$F:$BC,36,0)</f>
        <v>0</v>
      </c>
      <c r="N521" s="2">
        <f>VLOOKUP($C521,'[10]for slip'!$F:$BC,37,0)</f>
        <v>0</v>
      </c>
      <c r="O521" s="2">
        <f>VLOOKUP($C521,'[10]for slip'!$F:$BC,38,0)</f>
        <v>0</v>
      </c>
      <c r="P521" s="2">
        <f>VLOOKUP($C521,'[10]for slip'!$F:$BC,39,0)</f>
        <v>0</v>
      </c>
      <c r="Q521" s="2">
        <f>VLOOKUP($C521,'[10]for slip'!$F:$BC,40,0)</f>
        <v>31700</v>
      </c>
      <c r="R521" s="2">
        <f>VLOOKUP($C521,'[10]for slip'!$F:$BC,41,0)</f>
        <v>0</v>
      </c>
      <c r="S521" s="2">
        <f>VLOOKUP($C521,'[10]for slip'!$F:$BC,42,0)</f>
        <v>0</v>
      </c>
      <c r="T521" s="2">
        <f>VLOOKUP($C521,'[10]for slip'!$F:$BC,43,0)</f>
        <v>56808.62</v>
      </c>
      <c r="U521" s="2">
        <f>VLOOKUP($C521,'[10]for slip'!$F:$BC,44,0)</f>
        <v>113617.24</v>
      </c>
      <c r="V521" s="2">
        <f>VLOOKUP($C521,'[10]for slip'!$F:$BC,45,0)</f>
        <v>56808.62</v>
      </c>
      <c r="W521" s="2">
        <f>VLOOKUP($C521,'[10]for slip'!$F:$BC,48,0)</f>
        <v>0</v>
      </c>
    </row>
    <row r="522" spans="1:23" x14ac:dyDescent="0.25">
      <c r="A522" s="1">
        <v>521</v>
      </c>
      <c r="B522" s="2" t="s">
        <v>1063</v>
      </c>
      <c r="C522" s="2" t="s">
        <v>1064</v>
      </c>
      <c r="D522" s="2" t="str">
        <f>VLOOKUP($C522,'[10]for slip'!$F:$BC,3,0)</f>
        <v>Leader</v>
      </c>
      <c r="E522" s="2" t="str">
        <f>VLOOKUP($C522,'[10]for slip'!$F:$BC,4,0)</f>
        <v>Tool Manufacture</v>
      </c>
      <c r="F522" s="2">
        <f>VLOOKUP($C522,'[10]for slip'!$F:$BC,14,0)</f>
        <v>5343083</v>
      </c>
      <c r="G522" s="2">
        <f>VLOOKUP($C522,'[10]for slip'!$F:$BC,15,0)</f>
        <v>500000</v>
      </c>
      <c r="H522" s="2">
        <f>VLOOKUP($C522,'[10]for slip'!$F:$BC,16,0)</f>
        <v>0</v>
      </c>
      <c r="I522" s="2">
        <f>VLOOKUP($C522,'[10]for slip'!$F:$BC,17,0)</f>
        <v>0</v>
      </c>
      <c r="J522" s="2">
        <f>VLOOKUP($C522,'[10]for slip'!$F:$BC,27,0)</f>
        <v>0</v>
      </c>
      <c r="K522" s="2">
        <f>VLOOKUP($C522,'[10]for slip'!$F:$BC,31,0)</f>
        <v>0</v>
      </c>
      <c r="L522" s="2">
        <f>VLOOKUP($C522,'[10]for slip'!$F:$BC,35,0)</f>
        <v>2238.995305035698</v>
      </c>
      <c r="M522" s="2">
        <f>VLOOKUP($C522,'[10]for slip'!$F:$BC,36,0)</f>
        <v>0</v>
      </c>
      <c r="N522" s="2">
        <f>VLOOKUP($C522,'[10]for slip'!$F:$BC,37,0)</f>
        <v>0</v>
      </c>
      <c r="O522" s="2">
        <f>VLOOKUP($C522,'[10]for slip'!$F:$BC,38,0)</f>
        <v>0</v>
      </c>
      <c r="P522" s="2">
        <f>VLOOKUP($C522,'[10]for slip'!$F:$BC,39,0)</f>
        <v>38000</v>
      </c>
      <c r="Q522" s="2">
        <f>VLOOKUP($C522,'[10]for slip'!$F:$BC,40,0)</f>
        <v>31700</v>
      </c>
      <c r="R522" s="2">
        <f>VLOOKUP($C522,'[10]for slip'!$F:$BC,41,0)</f>
        <v>0</v>
      </c>
      <c r="S522" s="2">
        <f>VLOOKUP($C522,'[10]for slip'!$F:$BC,42,0)</f>
        <v>0</v>
      </c>
      <c r="T522" s="2">
        <f>VLOOKUP($C522,'[10]for slip'!$F:$BC,43,0)</f>
        <v>57716.544285714284</v>
      </c>
      <c r="U522" s="2">
        <f>VLOOKUP($C522,'[10]for slip'!$F:$BC,44,0)</f>
        <v>116861.66</v>
      </c>
      <c r="V522" s="2">
        <f>VLOOKUP($C522,'[10]for slip'!$F:$BC,45,0)</f>
        <v>58430.83</v>
      </c>
      <c r="W522" s="2">
        <f>VLOOKUP($C522,'[10]for slip'!$F:$BC,48,0)</f>
        <v>2238.995305035698</v>
      </c>
    </row>
    <row r="523" spans="1:23" x14ac:dyDescent="0.25">
      <c r="A523" s="1">
        <v>522</v>
      </c>
      <c r="B523" s="2" t="s">
        <v>1065</v>
      </c>
      <c r="C523" s="2" t="s">
        <v>1066</v>
      </c>
      <c r="D523" s="2" t="str">
        <f>VLOOKUP($C523,'[10]for slip'!$F:$BC,3,0)</f>
        <v>Leader</v>
      </c>
      <c r="E523" s="2" t="str">
        <f>VLOOKUP($C523,'[10]for slip'!$F:$BC,4,0)</f>
        <v>Tool Manufacture</v>
      </c>
      <c r="F523" s="2">
        <f>VLOOKUP($C523,'[10]for slip'!$F:$BC,14,0)</f>
        <v>5343083</v>
      </c>
      <c r="G523" s="2">
        <f>VLOOKUP($C523,'[10]for slip'!$F:$BC,15,0)</f>
        <v>0</v>
      </c>
      <c r="H523" s="2">
        <f>VLOOKUP($C523,'[10]for slip'!$F:$BC,16,0)</f>
        <v>250000</v>
      </c>
      <c r="I523" s="2">
        <f>VLOOKUP($C523,'[10]for slip'!$F:$BC,17,0)</f>
        <v>0</v>
      </c>
      <c r="J523" s="2">
        <f>VLOOKUP($C523,'[10]for slip'!$F:$BC,27,0)</f>
        <v>0</v>
      </c>
      <c r="K523" s="2">
        <f>VLOOKUP($C523,'[10]for slip'!$F:$BC,31,0)</f>
        <v>0</v>
      </c>
      <c r="L523" s="2">
        <f>VLOOKUP($C523,'[10]for slip'!$F:$BC,35,0)</f>
        <v>0</v>
      </c>
      <c r="M523" s="2">
        <f>VLOOKUP($C523,'[10]for slip'!$F:$BC,36,0)</f>
        <v>0</v>
      </c>
      <c r="N523" s="2">
        <f>VLOOKUP($C523,'[10]for slip'!$F:$BC,37,0)</f>
        <v>0</v>
      </c>
      <c r="O523" s="2">
        <f>VLOOKUP($C523,'[10]for slip'!$F:$BC,38,0)</f>
        <v>0</v>
      </c>
      <c r="P523" s="2">
        <f>VLOOKUP($C523,'[10]for slip'!$F:$BC,39,0)</f>
        <v>38000</v>
      </c>
      <c r="Q523" s="2">
        <f>VLOOKUP($C523,'[10]for slip'!$F:$BC,40,0)</f>
        <v>31700</v>
      </c>
      <c r="R523" s="2">
        <f>VLOOKUP($C523,'[10]for slip'!$F:$BC,41,0)</f>
        <v>0</v>
      </c>
      <c r="S523" s="2">
        <f>VLOOKUP($C523,'[10]for slip'!$F:$BC,42,0)</f>
        <v>0</v>
      </c>
      <c r="T523" s="2">
        <f>VLOOKUP($C523,'[10]for slip'!$F:$BC,43,0)</f>
        <v>53430.83</v>
      </c>
      <c r="U523" s="2">
        <f>VLOOKUP($C523,'[10]for slip'!$F:$BC,44,0)</f>
        <v>111861.66</v>
      </c>
      <c r="V523" s="2">
        <f>VLOOKUP($C523,'[10]for slip'!$F:$BC,45,0)</f>
        <v>55930.83</v>
      </c>
      <c r="W523" s="2">
        <f>VLOOKUP($C523,'[10]for slip'!$F:$BC,48,0)</f>
        <v>0</v>
      </c>
    </row>
    <row r="524" spans="1:23" x14ac:dyDescent="0.25">
      <c r="A524" s="1">
        <v>523</v>
      </c>
      <c r="B524" s="2" t="s">
        <v>1067</v>
      </c>
      <c r="C524" s="2" t="s">
        <v>1068</v>
      </c>
      <c r="D524" s="2" t="str">
        <f>VLOOKUP($C524,'[10]for slip'!$F:$BC,3,0)</f>
        <v>Staff</v>
      </c>
      <c r="E524" s="2" t="str">
        <f>VLOOKUP($C524,'[10]for slip'!$F:$BC,4,0)</f>
        <v>Tool Manufacture</v>
      </c>
      <c r="F524" s="2">
        <f>VLOOKUP($C524,'[10]for slip'!$F:$BC,14,0)</f>
        <v>5343083</v>
      </c>
      <c r="G524" s="2">
        <f>VLOOKUP($C524,'[10]for slip'!$F:$BC,15,0)</f>
        <v>0</v>
      </c>
      <c r="H524" s="2">
        <f>VLOOKUP($C524,'[10]for slip'!$F:$BC,16,0)</f>
        <v>431580</v>
      </c>
      <c r="I524" s="2">
        <f>VLOOKUP($C524,'[10]for slip'!$F:$BC,17,0)</f>
        <v>0</v>
      </c>
      <c r="J524" s="2">
        <f>VLOOKUP($C524,'[10]for slip'!$F:$BC,27,0)</f>
        <v>0</v>
      </c>
      <c r="K524" s="2">
        <f>VLOOKUP($C524,'[10]for slip'!$F:$BC,31,0)</f>
        <v>0</v>
      </c>
      <c r="L524" s="2">
        <f>VLOOKUP($C524,'[10]for slip'!$F:$BC,35,0)</f>
        <v>0</v>
      </c>
      <c r="M524" s="2">
        <f>VLOOKUP($C524,'[10]for slip'!$F:$BC,36,0)</f>
        <v>0</v>
      </c>
      <c r="N524" s="2">
        <f>VLOOKUP($C524,'[10]for slip'!$F:$BC,37,0)</f>
        <v>5</v>
      </c>
      <c r="O524" s="2">
        <f>VLOOKUP($C524,'[10]for slip'!$F:$BC,38,0)</f>
        <v>1374920</v>
      </c>
      <c r="P524" s="2">
        <f>VLOOKUP($C524,'[10]for slip'!$F:$BC,39,0)</f>
        <v>38000</v>
      </c>
      <c r="Q524" s="2">
        <f>VLOOKUP($C524,'[10]for slip'!$F:$BC,40,0)</f>
        <v>0</v>
      </c>
      <c r="R524" s="2">
        <f>VLOOKUP($C524,'[10]for slip'!$F:$BC,41,0)</f>
        <v>0</v>
      </c>
      <c r="S524" s="2">
        <f>VLOOKUP($C524,'[10]for slip'!$F:$BC,42,0)</f>
        <v>0</v>
      </c>
      <c r="T524" s="2">
        <f>VLOOKUP($C524,'[10]for slip'!$F:$BC,43,0)</f>
        <v>55246.630000000005</v>
      </c>
      <c r="U524" s="2">
        <f>VLOOKUP($C524,'[10]for slip'!$F:$BC,44,0)</f>
        <v>115493.26000000001</v>
      </c>
      <c r="V524" s="2">
        <f>VLOOKUP($C524,'[10]for slip'!$F:$BC,45,0)</f>
        <v>57746.630000000005</v>
      </c>
      <c r="W524" s="2">
        <f>VLOOKUP($C524,'[10]for slip'!$F:$BC,48,0)</f>
        <v>0</v>
      </c>
    </row>
    <row r="525" spans="1:23" x14ac:dyDescent="0.25">
      <c r="A525" s="1">
        <v>524</v>
      </c>
      <c r="B525" s="2" t="s">
        <v>1069</v>
      </c>
      <c r="C525" s="2" t="s">
        <v>1070</v>
      </c>
      <c r="D525" s="2" t="str">
        <f>VLOOKUP($C525,'[10]for slip'!$F:$BC,3,0)</f>
        <v>Leader</v>
      </c>
      <c r="E525" s="2" t="str">
        <f>VLOOKUP($C525,'[10]for slip'!$F:$BC,4,0)</f>
        <v>Tool Manufacture</v>
      </c>
      <c r="F525" s="2">
        <f>VLOOKUP($C525,'[10]for slip'!$F:$BC,14,0)</f>
        <v>5343083</v>
      </c>
      <c r="G525" s="2">
        <f>VLOOKUP($C525,'[10]for slip'!$F:$BC,15,0)</f>
        <v>500000</v>
      </c>
      <c r="H525" s="2">
        <f>VLOOKUP($C525,'[10]for slip'!$F:$BC,16,0)</f>
        <v>250000</v>
      </c>
      <c r="I525" s="2">
        <f>VLOOKUP($C525,'[10]for slip'!$F:$BC,17,0)</f>
        <v>0</v>
      </c>
      <c r="J525" s="2">
        <f>VLOOKUP($C525,'[10]for slip'!$F:$BC,27,0)</f>
        <v>0</v>
      </c>
      <c r="K525" s="2">
        <f>VLOOKUP($C525,'[10]for slip'!$F:$BC,31,0)</f>
        <v>0</v>
      </c>
      <c r="L525" s="2">
        <f>VLOOKUP($C525,'[10]for slip'!$F:$BC,35,0)</f>
        <v>14034.772090749941</v>
      </c>
      <c r="M525" s="2">
        <f>VLOOKUP($C525,'[10]for slip'!$F:$BC,36,0)</f>
        <v>0</v>
      </c>
      <c r="N525" s="2">
        <f>VLOOKUP($C525,'[10]for slip'!$F:$BC,37,0)</f>
        <v>0</v>
      </c>
      <c r="O525" s="2">
        <f>VLOOKUP($C525,'[10]for slip'!$F:$BC,38,0)</f>
        <v>0</v>
      </c>
      <c r="P525" s="2">
        <f>VLOOKUP($C525,'[10]for slip'!$F:$BC,39,0)</f>
        <v>38000</v>
      </c>
      <c r="Q525" s="2">
        <f>VLOOKUP($C525,'[10]for slip'!$F:$BC,40,0)</f>
        <v>31700</v>
      </c>
      <c r="R525" s="2">
        <f>VLOOKUP($C525,'[10]for slip'!$F:$BC,41,0)</f>
        <v>0</v>
      </c>
      <c r="S525" s="2">
        <f>VLOOKUP($C525,'[10]for slip'!$F:$BC,42,0)</f>
        <v>10000</v>
      </c>
      <c r="T525" s="2">
        <f>VLOOKUP($C525,'[10]for slip'!$F:$BC,43,0)</f>
        <v>58430.83</v>
      </c>
      <c r="U525" s="2">
        <f>VLOOKUP($C525,'[10]for slip'!$F:$BC,44,0)</f>
        <v>121861.66</v>
      </c>
      <c r="V525" s="2">
        <f>VLOOKUP($C525,'[10]for slip'!$F:$BC,45,0)</f>
        <v>60930.83</v>
      </c>
      <c r="W525" s="2">
        <f>VLOOKUP($C525,'[10]for slip'!$F:$BC,48,0)</f>
        <v>14034.772090749941</v>
      </c>
    </row>
    <row r="526" spans="1:23" x14ac:dyDescent="0.25">
      <c r="A526" s="1">
        <v>525</v>
      </c>
      <c r="B526" s="2" t="s">
        <v>1071</v>
      </c>
      <c r="C526" s="2" t="s">
        <v>1072</v>
      </c>
      <c r="D526" s="2" t="str">
        <f>VLOOKUP($C526,'[10]for slip'!$F:$BC,3,0)</f>
        <v>Leader</v>
      </c>
      <c r="E526" s="2" t="str">
        <f>VLOOKUP($C526,'[10]for slip'!$F:$BC,4,0)</f>
        <v>Tool Manufacture</v>
      </c>
      <c r="F526" s="2">
        <f>VLOOKUP($C526,'[10]for slip'!$F:$BC,14,0)</f>
        <v>5343083</v>
      </c>
      <c r="G526" s="2">
        <f>VLOOKUP($C526,'[10]for slip'!$F:$BC,15,0)</f>
        <v>300000</v>
      </c>
      <c r="H526" s="2">
        <f>VLOOKUP($C526,'[10]for slip'!$F:$BC,16,0)</f>
        <v>372177</v>
      </c>
      <c r="I526" s="2">
        <f>VLOOKUP($C526,'[10]for slip'!$F:$BC,17,0)</f>
        <v>0</v>
      </c>
      <c r="J526" s="2">
        <f>VLOOKUP($C526,'[10]for slip'!$F:$BC,27,0)</f>
        <v>0</v>
      </c>
      <c r="K526" s="2">
        <f>VLOOKUP($C526,'[10]for slip'!$F:$BC,31,0)</f>
        <v>0</v>
      </c>
      <c r="L526" s="2">
        <f>VLOOKUP($C526,'[10]for slip'!$F:$BC,35,0)</f>
        <v>29482.224215000064</v>
      </c>
      <c r="M526" s="2">
        <f>VLOOKUP($C526,'[10]for slip'!$F:$BC,36,0)</f>
        <v>0</v>
      </c>
      <c r="N526" s="2">
        <f>VLOOKUP($C526,'[10]for slip'!$F:$BC,37,0)</f>
        <v>0</v>
      </c>
      <c r="O526" s="2">
        <f>VLOOKUP($C526,'[10]for slip'!$F:$BC,38,0)</f>
        <v>0</v>
      </c>
      <c r="P526" s="2">
        <f>VLOOKUP($C526,'[10]for slip'!$F:$BC,39,0)</f>
        <v>38000</v>
      </c>
      <c r="Q526" s="2">
        <f>VLOOKUP($C526,'[10]for slip'!$F:$BC,40,0)</f>
        <v>31700</v>
      </c>
      <c r="R526" s="2">
        <f>VLOOKUP($C526,'[10]for slip'!$F:$BC,41,0)</f>
        <v>0</v>
      </c>
      <c r="S526" s="2">
        <f>VLOOKUP($C526,'[10]for slip'!$F:$BC,42,0)</f>
        <v>10000</v>
      </c>
      <c r="T526" s="2">
        <f>VLOOKUP($C526,'[10]for slip'!$F:$BC,43,0)</f>
        <v>60152.6</v>
      </c>
      <c r="U526" s="2">
        <f>VLOOKUP($C526,'[10]for slip'!$F:$BC,44,0)</f>
        <v>120305.2</v>
      </c>
      <c r="V526" s="2">
        <f>VLOOKUP($C526,'[10]for slip'!$F:$BC,45,0)</f>
        <v>60152.6</v>
      </c>
      <c r="W526" s="2">
        <f>VLOOKUP($C526,'[10]for slip'!$F:$BC,48,0)</f>
        <v>29482.224215000064</v>
      </c>
    </row>
    <row r="527" spans="1:23" x14ac:dyDescent="0.25">
      <c r="A527" s="1">
        <v>526</v>
      </c>
      <c r="B527" s="2" t="s">
        <v>1073</v>
      </c>
      <c r="C527" s="2" t="s">
        <v>1074</v>
      </c>
      <c r="D527" s="2" t="str">
        <f>VLOOKUP($C527,'[10]for slip'!$F:$BC,3,0)</f>
        <v>Leader</v>
      </c>
      <c r="E527" s="2" t="str">
        <f>VLOOKUP($C527,'[10]for slip'!$F:$BC,4,0)</f>
        <v>Tool Manufacture</v>
      </c>
      <c r="F527" s="2">
        <f>VLOOKUP($C527,'[10]for slip'!$F:$BC,14,0)</f>
        <v>5343083</v>
      </c>
      <c r="G527" s="2">
        <f>VLOOKUP($C527,'[10]for slip'!$F:$BC,15,0)</f>
        <v>500000</v>
      </c>
      <c r="H527" s="2">
        <f>VLOOKUP($C527,'[10]for slip'!$F:$BC,16,0)</f>
        <v>0</v>
      </c>
      <c r="I527" s="2">
        <f>VLOOKUP($C527,'[10]for slip'!$F:$BC,17,0)</f>
        <v>0</v>
      </c>
      <c r="J527" s="2">
        <f>VLOOKUP($C527,'[10]for slip'!$F:$BC,27,0)</f>
        <v>0</v>
      </c>
      <c r="K527" s="2">
        <f>VLOOKUP($C527,'[10]for slip'!$F:$BC,31,0)</f>
        <v>0</v>
      </c>
      <c r="L527" s="2">
        <f>VLOOKUP($C527,'[10]for slip'!$F:$BC,35,0)</f>
        <v>0</v>
      </c>
      <c r="M527" s="2">
        <f>VLOOKUP($C527,'[10]for slip'!$F:$BC,36,0)</f>
        <v>0</v>
      </c>
      <c r="N527" s="2">
        <f>VLOOKUP($C527,'[10]for slip'!$F:$BC,37,0)</f>
        <v>0</v>
      </c>
      <c r="O527" s="2">
        <f>VLOOKUP($C527,'[10]for slip'!$F:$BC,38,0)</f>
        <v>0</v>
      </c>
      <c r="P527" s="2">
        <f>VLOOKUP($C527,'[10]for slip'!$F:$BC,39,0)</f>
        <v>0</v>
      </c>
      <c r="Q527" s="2">
        <f>VLOOKUP($C527,'[10]for slip'!$F:$BC,40,0)</f>
        <v>0</v>
      </c>
      <c r="R527" s="2">
        <f>VLOOKUP($C527,'[10]for slip'!$F:$BC,41,0)</f>
        <v>0</v>
      </c>
      <c r="S527" s="2">
        <f>VLOOKUP($C527,'[10]for slip'!$F:$BC,42,0)</f>
        <v>0</v>
      </c>
      <c r="T527" s="2">
        <f>VLOOKUP($C527,'[10]for slip'!$F:$BC,43,0)</f>
        <v>58430.83</v>
      </c>
      <c r="U527" s="2">
        <f>VLOOKUP($C527,'[10]for slip'!$F:$BC,44,0)</f>
        <v>116861.66</v>
      </c>
      <c r="V527" s="2">
        <f>VLOOKUP($C527,'[10]for slip'!$F:$BC,45,0)</f>
        <v>58430.83</v>
      </c>
      <c r="W527" s="2">
        <f>VLOOKUP($C527,'[10]for slip'!$F:$BC,48,0)</f>
        <v>0</v>
      </c>
    </row>
    <row r="528" spans="1:23" x14ac:dyDescent="0.25">
      <c r="A528" s="1">
        <v>527</v>
      </c>
      <c r="B528" s="2" t="s">
        <v>1075</v>
      </c>
      <c r="C528" s="2" t="s">
        <v>1076</v>
      </c>
      <c r="D528" s="2" t="str">
        <f>VLOOKUP($C528,'[10]for slip'!$F:$BC,3,0)</f>
        <v>Leader</v>
      </c>
      <c r="E528" s="2" t="str">
        <f>VLOOKUP($C528,'[10]for slip'!$F:$BC,4,0)</f>
        <v>Tool Manufacture</v>
      </c>
      <c r="F528" s="2">
        <f>VLOOKUP($C528,'[10]for slip'!$F:$BC,14,0)</f>
        <v>5343083</v>
      </c>
      <c r="G528" s="2">
        <f>VLOOKUP($C528,'[10]for slip'!$F:$BC,15,0)</f>
        <v>500000</v>
      </c>
      <c r="H528" s="2">
        <f>VLOOKUP($C528,'[10]for slip'!$F:$BC,16,0)</f>
        <v>200000</v>
      </c>
      <c r="I528" s="2">
        <f>VLOOKUP($C528,'[10]for slip'!$F:$BC,17,0)</f>
        <v>0</v>
      </c>
      <c r="J528" s="2">
        <f>VLOOKUP($C528,'[10]for slip'!$F:$BC,27,0)</f>
        <v>0</v>
      </c>
      <c r="K528" s="2">
        <f>VLOOKUP($C528,'[10]for slip'!$F:$BC,31,0)</f>
        <v>0</v>
      </c>
      <c r="L528" s="2">
        <f>VLOOKUP($C528,'[10]for slip'!$F:$BC,35,0)</f>
        <v>30452.759590749938</v>
      </c>
      <c r="M528" s="2">
        <f>VLOOKUP($C528,'[10]for slip'!$F:$BC,36,0)</f>
        <v>0</v>
      </c>
      <c r="N528" s="2">
        <f>VLOOKUP($C528,'[10]for slip'!$F:$BC,37,0)</f>
        <v>0</v>
      </c>
      <c r="O528" s="2">
        <f>VLOOKUP($C528,'[10]for slip'!$F:$BC,38,0)</f>
        <v>0</v>
      </c>
      <c r="P528" s="2">
        <f>VLOOKUP($C528,'[10]for slip'!$F:$BC,39,0)</f>
        <v>38000</v>
      </c>
      <c r="Q528" s="2">
        <f>VLOOKUP($C528,'[10]for slip'!$F:$BC,40,0)</f>
        <v>31700</v>
      </c>
      <c r="R528" s="2">
        <f>VLOOKUP($C528,'[10]for slip'!$F:$BC,41,0)</f>
        <v>0</v>
      </c>
      <c r="S528" s="2">
        <f>VLOOKUP($C528,'[10]for slip'!$F:$BC,42,0)</f>
        <v>0</v>
      </c>
      <c r="T528" s="2">
        <f>VLOOKUP($C528,'[10]for slip'!$F:$BC,43,0)</f>
        <v>58430.83</v>
      </c>
      <c r="U528" s="2">
        <f>VLOOKUP($C528,'[10]for slip'!$F:$BC,44,0)</f>
        <v>120861.66</v>
      </c>
      <c r="V528" s="2">
        <f>VLOOKUP($C528,'[10]for slip'!$F:$BC,45,0)</f>
        <v>60430.83</v>
      </c>
      <c r="W528" s="2">
        <f>VLOOKUP($C528,'[10]for slip'!$F:$BC,48,0)</f>
        <v>30452.759590749938</v>
      </c>
    </row>
    <row r="529" spans="1:23" x14ac:dyDescent="0.25">
      <c r="A529" s="1">
        <v>528</v>
      </c>
      <c r="B529" s="2" t="s">
        <v>1077</v>
      </c>
      <c r="C529" s="2" t="s">
        <v>1078</v>
      </c>
      <c r="D529" s="2" t="str">
        <f>VLOOKUP($C529,'[10]for slip'!$F:$BC,3,0)</f>
        <v>Staff</v>
      </c>
      <c r="E529" s="2" t="str">
        <f>VLOOKUP($C529,'[10]for slip'!$F:$BC,4,0)</f>
        <v>Tool Manufacture</v>
      </c>
      <c r="F529" s="2">
        <f>VLOOKUP($C529,'[10]for slip'!$F:$BC,14,0)</f>
        <v>5343083</v>
      </c>
      <c r="G529" s="2">
        <f>VLOOKUP($C529,'[10]for slip'!$F:$BC,15,0)</f>
        <v>0</v>
      </c>
      <c r="H529" s="2">
        <f>VLOOKUP($C529,'[10]for slip'!$F:$BC,16,0)</f>
        <v>181740</v>
      </c>
      <c r="I529" s="2">
        <f>VLOOKUP($C529,'[10]for slip'!$F:$BC,17,0)</f>
        <v>0</v>
      </c>
      <c r="J529" s="2">
        <f>VLOOKUP($C529,'[10]for slip'!$F:$BC,27,0)</f>
        <v>0</v>
      </c>
      <c r="K529" s="2">
        <f>VLOOKUP($C529,'[10]for slip'!$F:$BC,31,0)</f>
        <v>0</v>
      </c>
      <c r="L529" s="2">
        <f>VLOOKUP($C529,'[10]for slip'!$F:$BC,35,0)</f>
        <v>5676.2896257499551</v>
      </c>
      <c r="M529" s="2">
        <f>VLOOKUP($C529,'[10]for slip'!$F:$BC,36,0)</f>
        <v>0</v>
      </c>
      <c r="N529" s="2">
        <f>VLOOKUP($C529,'[10]for slip'!$F:$BC,37,0)</f>
        <v>0</v>
      </c>
      <c r="O529" s="2">
        <f>VLOOKUP($C529,'[10]for slip'!$F:$BC,38,0)</f>
        <v>0</v>
      </c>
      <c r="P529" s="2">
        <f>VLOOKUP($C529,'[10]for slip'!$F:$BC,39,0)</f>
        <v>0</v>
      </c>
      <c r="Q529" s="2">
        <f>VLOOKUP($C529,'[10]for slip'!$F:$BC,40,0)</f>
        <v>31700</v>
      </c>
      <c r="R529" s="2">
        <f>VLOOKUP($C529,'[10]for slip'!$F:$BC,41,0)</f>
        <v>0</v>
      </c>
      <c r="S529" s="2">
        <f>VLOOKUP($C529,'[10]for slip'!$F:$BC,42,0)</f>
        <v>0</v>
      </c>
      <c r="T529" s="2">
        <f>VLOOKUP($C529,'[10]for slip'!$F:$BC,43,0)</f>
        <v>55248.23</v>
      </c>
      <c r="U529" s="2">
        <f>VLOOKUP($C529,'[10]for slip'!$F:$BC,44,0)</f>
        <v>110496.46</v>
      </c>
      <c r="V529" s="2">
        <f>VLOOKUP($C529,'[10]for slip'!$F:$BC,45,0)</f>
        <v>55248.23</v>
      </c>
      <c r="W529" s="2">
        <f>VLOOKUP($C529,'[10]for slip'!$F:$BC,48,0)</f>
        <v>5676.2896257499551</v>
      </c>
    </row>
    <row r="530" spans="1:23" x14ac:dyDescent="0.25">
      <c r="A530" s="1">
        <v>529</v>
      </c>
      <c r="B530" s="2" t="s">
        <v>1079</v>
      </c>
      <c r="C530" s="2" t="s">
        <v>1080</v>
      </c>
      <c r="D530" s="2" t="str">
        <f>VLOOKUP($C530,'[10]for slip'!$F:$BC,3,0)</f>
        <v>Staff</v>
      </c>
      <c r="E530" s="2" t="str">
        <f>VLOOKUP($C530,'[10]for slip'!$F:$BC,4,0)</f>
        <v>Tool Manufacture</v>
      </c>
      <c r="F530" s="2">
        <f>VLOOKUP($C530,'[10]for slip'!$F:$BC,14,0)</f>
        <v>5343083</v>
      </c>
      <c r="G530" s="2">
        <f>VLOOKUP($C530,'[10]for slip'!$F:$BC,15,0)</f>
        <v>0</v>
      </c>
      <c r="H530" s="2">
        <f>VLOOKUP($C530,'[10]for slip'!$F:$BC,16,0)</f>
        <v>0</v>
      </c>
      <c r="I530" s="2">
        <f>VLOOKUP($C530,'[10]for slip'!$F:$BC,17,0)</f>
        <v>160292</v>
      </c>
      <c r="J530" s="2">
        <f>VLOOKUP($C530,'[10]for slip'!$F:$BC,27,0)</f>
        <v>0</v>
      </c>
      <c r="K530" s="2">
        <f>VLOOKUP($C530,'[10]for slip'!$F:$BC,31,0)</f>
        <v>0</v>
      </c>
      <c r="L530" s="2">
        <f>VLOOKUP($C530,'[10]for slip'!$F:$BC,35,0)</f>
        <v>4635.1983437499657</v>
      </c>
      <c r="M530" s="2">
        <f>VLOOKUP($C530,'[10]for slip'!$F:$BC,36,0)</f>
        <v>0</v>
      </c>
      <c r="N530" s="2">
        <f>VLOOKUP($C530,'[10]for slip'!$F:$BC,37,0)</f>
        <v>0</v>
      </c>
      <c r="O530" s="2">
        <f>VLOOKUP($C530,'[10]for slip'!$F:$BC,38,0)</f>
        <v>0</v>
      </c>
      <c r="P530" s="2">
        <f>VLOOKUP($C530,'[10]for slip'!$F:$BC,39,0)</f>
        <v>38000</v>
      </c>
      <c r="Q530" s="2">
        <f>VLOOKUP($C530,'[10]for slip'!$F:$BC,40,0)</f>
        <v>31700</v>
      </c>
      <c r="R530" s="2">
        <f>VLOOKUP($C530,'[10]for slip'!$F:$BC,41,0)</f>
        <v>0</v>
      </c>
      <c r="S530" s="2">
        <f>VLOOKUP($C530,'[10]for slip'!$F:$BC,42,0)</f>
        <v>10000</v>
      </c>
      <c r="T530" s="2">
        <f>VLOOKUP($C530,'[10]for slip'!$F:$BC,43,0)</f>
        <v>55033.75</v>
      </c>
      <c r="U530" s="2">
        <f>VLOOKUP($C530,'[10]for slip'!$F:$BC,44,0)</f>
        <v>110067.5</v>
      </c>
      <c r="V530" s="2">
        <f>VLOOKUP($C530,'[10]for slip'!$F:$BC,45,0)</f>
        <v>55033.75</v>
      </c>
      <c r="W530" s="2">
        <f>VLOOKUP($C530,'[10]for slip'!$F:$BC,48,0)</f>
        <v>4635.1983437499657</v>
      </c>
    </row>
    <row r="531" spans="1:23" x14ac:dyDescent="0.25">
      <c r="A531" s="1">
        <v>530</v>
      </c>
      <c r="B531" s="2" t="s">
        <v>1081</v>
      </c>
      <c r="C531" s="2" t="s">
        <v>1082</v>
      </c>
      <c r="D531" s="2" t="str">
        <f>VLOOKUP($C531,'[10]for slip'!$F:$BC,3,0)</f>
        <v>Pelaksana</v>
      </c>
      <c r="E531" s="2" t="str">
        <f>VLOOKUP($C531,'[10]for slip'!$F:$BC,4,0)</f>
        <v>Tool Manufacture</v>
      </c>
      <c r="F531" s="2">
        <f>VLOOKUP($C531,'[10]for slip'!$F:$BC,14,0)</f>
        <v>5343083</v>
      </c>
      <c r="G531" s="2">
        <f>VLOOKUP($C531,'[10]for slip'!$F:$BC,15,0)</f>
        <v>0</v>
      </c>
      <c r="H531" s="2">
        <f>VLOOKUP($C531,'[10]for slip'!$F:$BC,16,0)</f>
        <v>0</v>
      </c>
      <c r="I531" s="2">
        <f>VLOOKUP($C531,'[10]for slip'!$F:$BC,17,0)</f>
        <v>0</v>
      </c>
      <c r="J531" s="2">
        <f>VLOOKUP($C531,'[10]for slip'!$F:$BC,27,0)</f>
        <v>0</v>
      </c>
      <c r="K531" s="2">
        <f>VLOOKUP($C531,'[10]for slip'!$F:$BC,31,0)</f>
        <v>0</v>
      </c>
      <c r="L531" s="2">
        <f>VLOOKUP($C531,'[10]for slip'!$F:$BC,35,0)</f>
        <v>34354.584590750004</v>
      </c>
      <c r="M531" s="2">
        <f>VLOOKUP($C531,'[10]for slip'!$F:$BC,36,0)</f>
        <v>0</v>
      </c>
      <c r="N531" s="2">
        <f>VLOOKUP($C531,'[10]for slip'!$F:$BC,37,0)</f>
        <v>0</v>
      </c>
      <c r="O531" s="2">
        <f>VLOOKUP($C531,'[10]for slip'!$F:$BC,38,0)</f>
        <v>0</v>
      </c>
      <c r="P531" s="2">
        <f>VLOOKUP($C531,'[10]for slip'!$F:$BC,39,0)</f>
        <v>38000</v>
      </c>
      <c r="Q531" s="2">
        <f>VLOOKUP($C531,'[10]for slip'!$F:$BC,40,0)</f>
        <v>31700</v>
      </c>
      <c r="R531" s="2">
        <f>VLOOKUP($C531,'[10]for slip'!$F:$BC,41,0)</f>
        <v>0</v>
      </c>
      <c r="S531" s="2">
        <f>VLOOKUP($C531,'[10]for slip'!$F:$BC,42,0)</f>
        <v>0</v>
      </c>
      <c r="T531" s="2">
        <f>VLOOKUP($C531,'[10]for slip'!$F:$BC,43,0)</f>
        <v>53430.83</v>
      </c>
      <c r="U531" s="2">
        <f>VLOOKUP($C531,'[10]for slip'!$F:$BC,44,0)</f>
        <v>106861.66</v>
      </c>
      <c r="V531" s="2">
        <f>VLOOKUP($C531,'[10]for slip'!$F:$BC,45,0)</f>
        <v>53430.83</v>
      </c>
      <c r="W531" s="2">
        <f>VLOOKUP($C531,'[10]for slip'!$F:$BC,48,0)</f>
        <v>34354.584590750004</v>
      </c>
    </row>
    <row r="532" spans="1:23" x14ac:dyDescent="0.25">
      <c r="A532" s="1">
        <v>531</v>
      </c>
      <c r="B532" s="2" t="s">
        <v>1083</v>
      </c>
      <c r="C532" s="2" t="s">
        <v>1084</v>
      </c>
      <c r="D532" s="2" t="str">
        <f>VLOOKUP($C532,'[10]for slip'!$F:$BC,3,0)</f>
        <v>Adm</v>
      </c>
      <c r="E532" s="2" t="str">
        <f>VLOOKUP($C532,'[10]for slip'!$F:$BC,4,0)</f>
        <v>Tool Manufacture</v>
      </c>
      <c r="F532" s="2">
        <f>VLOOKUP($C532,'[10]for slip'!$F:$BC,14,0)</f>
        <v>5343083</v>
      </c>
      <c r="G532" s="2">
        <f>VLOOKUP($C532,'[10]for slip'!$F:$BC,15,0)</f>
        <v>0</v>
      </c>
      <c r="H532" s="2">
        <f>VLOOKUP($C532,'[10]for slip'!$F:$BC,16,0)</f>
        <v>0</v>
      </c>
      <c r="I532" s="2">
        <f>VLOOKUP($C532,'[10]for slip'!$F:$BC,17,0)</f>
        <v>0</v>
      </c>
      <c r="J532" s="2">
        <f>VLOOKUP($C532,'[10]for slip'!$F:$BC,27,0)</f>
        <v>0</v>
      </c>
      <c r="K532" s="2">
        <f>VLOOKUP($C532,'[10]for slip'!$F:$BC,31,0)</f>
        <v>0</v>
      </c>
      <c r="L532" s="2">
        <f>VLOOKUP($C532,'[10]for slip'!$F:$BC,35,0)</f>
        <v>34354.584590750004</v>
      </c>
      <c r="M532" s="2">
        <f>VLOOKUP($C532,'[10]for slip'!$F:$BC,36,0)</f>
        <v>0</v>
      </c>
      <c r="N532" s="2">
        <f>VLOOKUP($C532,'[10]for slip'!$F:$BC,37,0)</f>
        <v>0</v>
      </c>
      <c r="O532" s="2">
        <f>VLOOKUP($C532,'[10]for slip'!$F:$BC,38,0)</f>
        <v>0</v>
      </c>
      <c r="P532" s="2">
        <f>VLOOKUP($C532,'[10]for slip'!$F:$BC,39,0)</f>
        <v>38000</v>
      </c>
      <c r="Q532" s="2">
        <f>VLOOKUP($C532,'[10]for slip'!$F:$BC,40,0)</f>
        <v>31700</v>
      </c>
      <c r="R532" s="2">
        <f>VLOOKUP($C532,'[10]for slip'!$F:$BC,41,0)</f>
        <v>0</v>
      </c>
      <c r="S532" s="2">
        <f>VLOOKUP($C532,'[10]for slip'!$F:$BC,42,0)</f>
        <v>0</v>
      </c>
      <c r="T532" s="2">
        <f>VLOOKUP($C532,'[10]for slip'!$F:$BC,43,0)</f>
        <v>53430.83</v>
      </c>
      <c r="U532" s="2">
        <f>VLOOKUP($C532,'[10]for slip'!$F:$BC,44,0)</f>
        <v>106861.66</v>
      </c>
      <c r="V532" s="2">
        <f>VLOOKUP($C532,'[10]for slip'!$F:$BC,45,0)</f>
        <v>53430.83</v>
      </c>
      <c r="W532" s="2">
        <f>VLOOKUP($C532,'[10]for slip'!$F:$BC,48,0)</f>
        <v>34354.584590750004</v>
      </c>
    </row>
    <row r="533" spans="1:23" x14ac:dyDescent="0.25">
      <c r="A533" s="1">
        <v>532</v>
      </c>
      <c r="B533" s="2" t="s">
        <v>1085</v>
      </c>
      <c r="C533" s="2" t="s">
        <v>1086</v>
      </c>
      <c r="D533" s="2" t="str">
        <f>VLOOKUP($C533,'[10]for slip'!$F:$BC,3,0)</f>
        <v>Officer</v>
      </c>
      <c r="E533" s="2" t="str">
        <f>VLOOKUP($C533,'[10]for slip'!$F:$BC,4,0)</f>
        <v>Tool Manufacture</v>
      </c>
      <c r="F533" s="2">
        <f>VLOOKUP($C533,'[10]for slip'!$F:$BC,14,0)</f>
        <v>5343083</v>
      </c>
      <c r="G533" s="2">
        <f>VLOOKUP($C533,'[10]for slip'!$F:$BC,15,0)</f>
        <v>500000</v>
      </c>
      <c r="H533" s="2">
        <f>VLOOKUP($C533,'[10]for slip'!$F:$BC,16,0)</f>
        <v>300000</v>
      </c>
      <c r="I533" s="2">
        <f>VLOOKUP($C533,'[10]for slip'!$F:$BC,17,0)</f>
        <v>42500</v>
      </c>
      <c r="J533" s="2">
        <f>VLOOKUP($C533,'[10]for slip'!$F:$BC,27,0)</f>
        <v>0</v>
      </c>
      <c r="K533" s="2">
        <f>VLOOKUP($C533,'[10]for slip'!$F:$BC,31,0)</f>
        <v>0</v>
      </c>
      <c r="L533" s="2">
        <f>VLOOKUP($C533,'[10]for slip'!$F:$BC,35,0)</f>
        <v>74299.745215749994</v>
      </c>
      <c r="M533" s="2">
        <f>VLOOKUP($C533,'[10]for slip'!$F:$BC,36,0)</f>
        <v>0</v>
      </c>
      <c r="N533" s="2">
        <f>VLOOKUP($C533,'[10]for slip'!$F:$BC,37,0)</f>
        <v>0</v>
      </c>
      <c r="O533" s="2">
        <f>VLOOKUP($C533,'[10]for slip'!$F:$BC,38,0)</f>
        <v>0</v>
      </c>
      <c r="P533" s="2">
        <f>VLOOKUP($C533,'[10]for slip'!$F:$BC,39,0)</f>
        <v>38000</v>
      </c>
      <c r="Q533" s="2">
        <f>VLOOKUP($C533,'[10]for slip'!$F:$BC,40,0)</f>
        <v>31700</v>
      </c>
      <c r="R533" s="2">
        <f>VLOOKUP($C533,'[10]for slip'!$F:$BC,41,0)</f>
        <v>0</v>
      </c>
      <c r="S533" s="2">
        <f>VLOOKUP($C533,'[10]for slip'!$F:$BC,42,0)</f>
        <v>0</v>
      </c>
      <c r="T533" s="2">
        <f>VLOOKUP($C533,'[10]for slip'!$F:$BC,43,0)</f>
        <v>56855.83</v>
      </c>
      <c r="U533" s="2">
        <f>VLOOKUP($C533,'[10]for slip'!$F:$BC,44,0)</f>
        <v>123711.66</v>
      </c>
      <c r="V533" s="2">
        <f>VLOOKUP($C533,'[10]for slip'!$F:$BC,45,0)</f>
        <v>61855.83</v>
      </c>
      <c r="W533" s="2">
        <f>VLOOKUP($C533,'[10]for slip'!$F:$BC,48,0)</f>
        <v>74299.745215749994</v>
      </c>
    </row>
    <row r="534" spans="1:23" x14ac:dyDescent="0.25">
      <c r="A534" s="1">
        <v>533</v>
      </c>
      <c r="B534" s="2" t="s">
        <v>1087</v>
      </c>
      <c r="C534" s="2" t="s">
        <v>1088</v>
      </c>
      <c r="D534" s="2" t="str">
        <f>VLOOKUP($C534,'[10]for slip'!$F:$BC,3,0)</f>
        <v>Specialist</v>
      </c>
      <c r="E534" s="2" t="str">
        <f>VLOOKUP($C534,'[10]for slip'!$F:$BC,4,0)</f>
        <v>Tool Manufacture</v>
      </c>
      <c r="F534" s="2">
        <f>VLOOKUP($C534,'[10]for slip'!$F:$BC,14,0)</f>
        <v>5343083</v>
      </c>
      <c r="G534" s="2">
        <f>VLOOKUP($C534,'[10]for slip'!$F:$BC,15,0)</f>
        <v>0</v>
      </c>
      <c r="H534" s="2">
        <f>VLOOKUP($C534,'[10]for slip'!$F:$BC,16,0)</f>
        <v>300000</v>
      </c>
      <c r="I534" s="2">
        <f>VLOOKUP($C534,'[10]for slip'!$F:$BC,17,0)</f>
        <v>0</v>
      </c>
      <c r="J534" s="2">
        <f>VLOOKUP($C534,'[10]for slip'!$F:$BC,27,0)</f>
        <v>0</v>
      </c>
      <c r="K534" s="2">
        <f>VLOOKUP($C534,'[10]for slip'!$F:$BC,31,0)</f>
        <v>0</v>
      </c>
      <c r="L534" s="2">
        <f>VLOOKUP($C534,'[10]for slip'!$F:$BC,35,0)</f>
        <v>0</v>
      </c>
      <c r="M534" s="2">
        <f>VLOOKUP($C534,'[10]for slip'!$F:$BC,36,0)</f>
        <v>0</v>
      </c>
      <c r="N534" s="2">
        <f>VLOOKUP($C534,'[10]for slip'!$F:$BC,37,0)</f>
        <v>0</v>
      </c>
      <c r="O534" s="2">
        <f>VLOOKUP($C534,'[10]for slip'!$F:$BC,38,0)</f>
        <v>0</v>
      </c>
      <c r="P534" s="2">
        <f>VLOOKUP($C534,'[10]for slip'!$F:$BC,39,0)</f>
        <v>0</v>
      </c>
      <c r="Q534" s="2">
        <f>VLOOKUP($C534,'[10]for slip'!$F:$BC,40,0)</f>
        <v>31700</v>
      </c>
      <c r="R534" s="2">
        <f>VLOOKUP($C534,'[10]for slip'!$F:$BC,41,0)</f>
        <v>0</v>
      </c>
      <c r="S534" s="2">
        <f>VLOOKUP($C534,'[10]for slip'!$F:$BC,42,0)</f>
        <v>0</v>
      </c>
      <c r="T534" s="2">
        <f>VLOOKUP($C534,'[10]for slip'!$F:$BC,43,0)</f>
        <v>53430.83</v>
      </c>
      <c r="U534" s="2">
        <f>VLOOKUP($C534,'[10]for slip'!$F:$BC,44,0)</f>
        <v>112861.66</v>
      </c>
      <c r="V534" s="2">
        <f>VLOOKUP($C534,'[10]for slip'!$F:$BC,45,0)</f>
        <v>56430.83</v>
      </c>
      <c r="W534" s="2">
        <f>VLOOKUP($C534,'[10]for slip'!$F:$BC,48,0)</f>
        <v>0</v>
      </c>
    </row>
    <row r="535" spans="1:23" x14ac:dyDescent="0.25">
      <c r="A535" s="1">
        <v>534</v>
      </c>
      <c r="B535" s="2" t="s">
        <v>1089</v>
      </c>
      <c r="C535" s="2" t="s">
        <v>1090</v>
      </c>
      <c r="D535" s="2" t="str">
        <f>VLOOKUP($C535,'[10]for slip'!$F:$BC,3,0)</f>
        <v>Pelaksana</v>
      </c>
      <c r="E535" s="2" t="str">
        <f>VLOOKUP($C535,'[10]for slip'!$F:$BC,4,0)</f>
        <v>Tool Manufacture</v>
      </c>
      <c r="F535" s="2">
        <f>VLOOKUP($C535,'[10]for slip'!$F:$BC,14,0)</f>
        <v>5343083</v>
      </c>
      <c r="G535" s="2">
        <f>VLOOKUP($C535,'[10]for slip'!$F:$BC,15,0)</f>
        <v>0</v>
      </c>
      <c r="H535" s="2">
        <f>VLOOKUP($C535,'[10]for slip'!$F:$BC,16,0)</f>
        <v>0</v>
      </c>
      <c r="I535" s="2">
        <f>VLOOKUP($C535,'[10]for slip'!$F:$BC,17,0)</f>
        <v>0</v>
      </c>
      <c r="J535" s="2">
        <f>VLOOKUP($C535,'[10]for slip'!$F:$BC,27,0)</f>
        <v>0</v>
      </c>
      <c r="K535" s="2">
        <f>VLOOKUP($C535,'[10]for slip'!$F:$BC,31,0)</f>
        <v>0</v>
      </c>
      <c r="L535" s="2">
        <f>VLOOKUP($C535,'[10]for slip'!$F:$BC,35,0)</f>
        <v>34354.584590750004</v>
      </c>
      <c r="M535" s="2">
        <f>VLOOKUP($C535,'[10]for slip'!$F:$BC,36,0)</f>
        <v>0</v>
      </c>
      <c r="N535" s="2">
        <f>VLOOKUP($C535,'[10]for slip'!$F:$BC,37,0)</f>
        <v>0</v>
      </c>
      <c r="O535" s="2">
        <f>VLOOKUP($C535,'[10]for slip'!$F:$BC,38,0)</f>
        <v>0</v>
      </c>
      <c r="P535" s="2">
        <f>VLOOKUP($C535,'[10]for slip'!$F:$BC,39,0)</f>
        <v>38000</v>
      </c>
      <c r="Q535" s="2">
        <f>VLOOKUP($C535,'[10]for slip'!$F:$BC,40,0)</f>
        <v>31700</v>
      </c>
      <c r="R535" s="2">
        <f>VLOOKUP($C535,'[10]for slip'!$F:$BC,41,0)</f>
        <v>0</v>
      </c>
      <c r="S535" s="2">
        <f>VLOOKUP($C535,'[10]for slip'!$F:$BC,42,0)</f>
        <v>0</v>
      </c>
      <c r="T535" s="2">
        <f>VLOOKUP($C535,'[10]for slip'!$F:$BC,43,0)</f>
        <v>53430.83</v>
      </c>
      <c r="U535" s="2">
        <f>VLOOKUP($C535,'[10]for slip'!$F:$BC,44,0)</f>
        <v>106861.66</v>
      </c>
      <c r="V535" s="2">
        <f>VLOOKUP($C535,'[10]for slip'!$F:$BC,45,0)</f>
        <v>53430.83</v>
      </c>
      <c r="W535" s="2">
        <f>VLOOKUP($C535,'[10]for slip'!$F:$BC,48,0)</f>
        <v>34354.584590750004</v>
      </c>
    </row>
    <row r="536" spans="1:23" x14ac:dyDescent="0.25">
      <c r="A536" s="1">
        <v>535</v>
      </c>
      <c r="B536" s="2" t="s">
        <v>1091</v>
      </c>
      <c r="C536" s="2" t="s">
        <v>1092</v>
      </c>
      <c r="D536" s="2" t="str">
        <f>VLOOKUP($C536,'[10]for slip'!$F:$BC,3,0)</f>
        <v>Pelaksana</v>
      </c>
      <c r="E536" s="2" t="str">
        <f>VLOOKUP($C536,'[10]for slip'!$F:$BC,4,0)</f>
        <v>Tool Manufacture</v>
      </c>
      <c r="F536" s="2">
        <f>VLOOKUP($C536,'[10]for slip'!$F:$BC,14,0)</f>
        <v>5343083</v>
      </c>
      <c r="G536" s="2">
        <f>VLOOKUP($C536,'[10]for slip'!$F:$BC,15,0)</f>
        <v>0</v>
      </c>
      <c r="H536" s="2">
        <f>VLOOKUP($C536,'[10]for slip'!$F:$BC,16,0)</f>
        <v>0</v>
      </c>
      <c r="I536" s="2">
        <f>VLOOKUP($C536,'[10]for slip'!$F:$BC,17,0)</f>
        <v>0</v>
      </c>
      <c r="J536" s="2">
        <f>VLOOKUP($C536,'[10]for slip'!$F:$BC,27,0)</f>
        <v>0</v>
      </c>
      <c r="K536" s="2">
        <f>VLOOKUP($C536,'[10]for slip'!$F:$BC,31,0)</f>
        <v>0</v>
      </c>
      <c r="L536" s="2">
        <f>VLOOKUP($C536,'[10]for slip'!$F:$BC,35,0)</f>
        <v>0</v>
      </c>
      <c r="M536" s="2">
        <f>VLOOKUP($C536,'[10]for slip'!$F:$BC,36,0)</f>
        <v>0</v>
      </c>
      <c r="N536" s="2">
        <f>VLOOKUP($C536,'[10]for slip'!$F:$BC,37,0)</f>
        <v>0</v>
      </c>
      <c r="O536" s="2">
        <f>VLOOKUP($C536,'[10]for slip'!$F:$BC,38,0)</f>
        <v>0</v>
      </c>
      <c r="P536" s="2">
        <f>VLOOKUP($C536,'[10]for slip'!$F:$BC,39,0)</f>
        <v>0</v>
      </c>
      <c r="Q536" s="2">
        <f>VLOOKUP($C536,'[10]for slip'!$F:$BC,40,0)</f>
        <v>31700</v>
      </c>
      <c r="R536" s="2">
        <f>VLOOKUP($C536,'[10]for slip'!$F:$BC,41,0)</f>
        <v>0</v>
      </c>
      <c r="S536" s="2">
        <f>VLOOKUP($C536,'[10]for slip'!$F:$BC,42,0)</f>
        <v>0</v>
      </c>
      <c r="T536" s="2">
        <f>VLOOKUP($C536,'[10]for slip'!$F:$BC,43,0)</f>
        <v>53430.83</v>
      </c>
      <c r="U536" s="2">
        <f>VLOOKUP($C536,'[10]for slip'!$F:$BC,44,0)</f>
        <v>106861.66</v>
      </c>
      <c r="V536" s="2">
        <f>VLOOKUP($C536,'[10]for slip'!$F:$BC,45,0)</f>
        <v>53430.83</v>
      </c>
      <c r="W536" s="2">
        <f>VLOOKUP($C536,'[10]for slip'!$F:$BC,48,0)</f>
        <v>0</v>
      </c>
    </row>
    <row r="537" spans="1:23" x14ac:dyDescent="0.25">
      <c r="A537" s="1">
        <v>536</v>
      </c>
      <c r="B537" s="2" t="s">
        <v>1093</v>
      </c>
      <c r="C537" s="2" t="s">
        <v>1094</v>
      </c>
      <c r="D537" s="2" t="str">
        <f>VLOOKUP($C537,'[10]for slip'!$F:$BC,3,0)</f>
        <v>Pelaksana</v>
      </c>
      <c r="E537" s="2" t="str">
        <f>VLOOKUP($C537,'[10]for slip'!$F:$BC,4,0)</f>
        <v>Tool Manufacture</v>
      </c>
      <c r="F537" s="2">
        <f>VLOOKUP($C537,'[10]for slip'!$F:$BC,14,0)</f>
        <v>5343083</v>
      </c>
      <c r="G537" s="2">
        <f>VLOOKUP($C537,'[10]for slip'!$F:$BC,15,0)</f>
        <v>0</v>
      </c>
      <c r="H537" s="2">
        <f>VLOOKUP($C537,'[10]for slip'!$F:$BC,16,0)</f>
        <v>0</v>
      </c>
      <c r="I537" s="2">
        <f>VLOOKUP($C537,'[10]for slip'!$F:$BC,17,0)</f>
        <v>0</v>
      </c>
      <c r="J537" s="2">
        <f>VLOOKUP($C537,'[10]for slip'!$F:$BC,27,0)</f>
        <v>0</v>
      </c>
      <c r="K537" s="2">
        <f>VLOOKUP($C537,'[10]for slip'!$F:$BC,31,0)</f>
        <v>0</v>
      </c>
      <c r="L537" s="2">
        <f>VLOOKUP($C537,'[10]for slip'!$F:$BC,35,0)</f>
        <v>0</v>
      </c>
      <c r="M537" s="2">
        <f>VLOOKUP($C537,'[10]for slip'!$F:$BC,36,0)</f>
        <v>0</v>
      </c>
      <c r="N537" s="2">
        <f>VLOOKUP($C537,'[10]for slip'!$F:$BC,37,0)</f>
        <v>1</v>
      </c>
      <c r="O537" s="2">
        <f>VLOOKUP($C537,'[10]for slip'!$F:$BC,38,0)</f>
        <v>254433</v>
      </c>
      <c r="P537" s="2">
        <f>VLOOKUP($C537,'[10]for slip'!$F:$BC,39,0)</f>
        <v>0</v>
      </c>
      <c r="Q537" s="2">
        <f>VLOOKUP($C537,'[10]for slip'!$F:$BC,40,0)</f>
        <v>31700</v>
      </c>
      <c r="R537" s="2">
        <f>VLOOKUP($C537,'[10]for slip'!$F:$BC,41,0)</f>
        <v>0</v>
      </c>
      <c r="S537" s="2">
        <f>VLOOKUP($C537,'[10]for slip'!$F:$BC,42,0)</f>
        <v>0</v>
      </c>
      <c r="T537" s="2">
        <f>VLOOKUP($C537,'[10]for slip'!$F:$BC,43,0)</f>
        <v>53430.83</v>
      </c>
      <c r="U537" s="2">
        <f>VLOOKUP($C537,'[10]for slip'!$F:$BC,44,0)</f>
        <v>106861.66</v>
      </c>
      <c r="V537" s="2">
        <f>VLOOKUP($C537,'[10]for slip'!$F:$BC,45,0)</f>
        <v>53430.83</v>
      </c>
      <c r="W537" s="2">
        <f>VLOOKUP($C537,'[10]for slip'!$F:$BC,48,0)</f>
        <v>0</v>
      </c>
    </row>
    <row r="538" spans="1:23" x14ac:dyDescent="0.25">
      <c r="A538" s="1">
        <v>537</v>
      </c>
      <c r="B538" s="2" t="s">
        <v>1095</v>
      </c>
      <c r="C538" s="2" t="s">
        <v>1096</v>
      </c>
      <c r="D538" s="2" t="str">
        <f>VLOOKUP($C538,'[10]for slip'!$F:$BC,3,0)</f>
        <v>Pelaksana</v>
      </c>
      <c r="E538" s="2" t="str">
        <f>VLOOKUP($C538,'[10]for slip'!$F:$BC,4,0)</f>
        <v>Tool Manufacture</v>
      </c>
      <c r="F538" s="2">
        <f>VLOOKUP($C538,'[10]for slip'!$F:$BC,14,0)</f>
        <v>5343083</v>
      </c>
      <c r="G538" s="2">
        <f>VLOOKUP($C538,'[10]for slip'!$F:$BC,15,0)</f>
        <v>0</v>
      </c>
      <c r="H538" s="2">
        <f>VLOOKUP($C538,'[10]for slip'!$F:$BC,16,0)</f>
        <v>0</v>
      </c>
      <c r="I538" s="2">
        <f>VLOOKUP($C538,'[10]for slip'!$F:$BC,17,0)</f>
        <v>0</v>
      </c>
      <c r="J538" s="2">
        <f>VLOOKUP($C538,'[10]for slip'!$F:$BC,27,0)</f>
        <v>0</v>
      </c>
      <c r="K538" s="2">
        <f>VLOOKUP($C538,'[10]for slip'!$F:$BC,31,0)</f>
        <v>0</v>
      </c>
      <c r="L538" s="2">
        <f>VLOOKUP($C538,'[10]for slip'!$F:$BC,35,0)</f>
        <v>15604.584590750002</v>
      </c>
      <c r="M538" s="2">
        <f>VLOOKUP($C538,'[10]for slip'!$F:$BC,36,0)</f>
        <v>0</v>
      </c>
      <c r="N538" s="2">
        <f>VLOOKUP($C538,'[10]for slip'!$F:$BC,37,0)</f>
        <v>0</v>
      </c>
      <c r="O538" s="2">
        <f>VLOOKUP($C538,'[10]for slip'!$F:$BC,38,0)</f>
        <v>0</v>
      </c>
      <c r="P538" s="2">
        <f>VLOOKUP($C538,'[10]for slip'!$F:$BC,39,0)</f>
        <v>38000</v>
      </c>
      <c r="Q538" s="2">
        <f>VLOOKUP($C538,'[10]for slip'!$F:$BC,40,0)</f>
        <v>31700</v>
      </c>
      <c r="R538" s="2">
        <f>VLOOKUP($C538,'[10]for slip'!$F:$BC,41,0)</f>
        <v>0</v>
      </c>
      <c r="S538" s="2">
        <f>VLOOKUP($C538,'[10]for slip'!$F:$BC,42,0)</f>
        <v>0</v>
      </c>
      <c r="T538" s="2">
        <f>VLOOKUP($C538,'[10]for slip'!$F:$BC,43,0)</f>
        <v>53430.83</v>
      </c>
      <c r="U538" s="2">
        <f>VLOOKUP($C538,'[10]for slip'!$F:$BC,44,0)</f>
        <v>106861.66</v>
      </c>
      <c r="V538" s="2">
        <f>VLOOKUP($C538,'[10]for slip'!$F:$BC,45,0)</f>
        <v>53430.83</v>
      </c>
      <c r="W538" s="2">
        <f>VLOOKUP($C538,'[10]for slip'!$F:$BC,48,0)</f>
        <v>15604.584590750002</v>
      </c>
    </row>
    <row r="539" spans="1:23" x14ac:dyDescent="0.25">
      <c r="A539" s="1">
        <v>538</v>
      </c>
      <c r="B539" s="2" t="s">
        <v>1097</v>
      </c>
      <c r="C539" s="2" t="s">
        <v>1098</v>
      </c>
      <c r="D539" s="2" t="str">
        <f>VLOOKUP($C539,'[10]for slip'!$F:$BC,3,0)</f>
        <v>Specialist</v>
      </c>
      <c r="E539" s="2" t="str">
        <f>VLOOKUP($C539,'[10]for slip'!$F:$BC,4,0)</f>
        <v>Tool Manufacture</v>
      </c>
      <c r="F539" s="2">
        <f>VLOOKUP($C539,'[10]for slip'!$F:$BC,14,0)</f>
        <v>5343083</v>
      </c>
      <c r="G539" s="2">
        <f>VLOOKUP($C539,'[10]for slip'!$F:$BC,15,0)</f>
        <v>0</v>
      </c>
      <c r="H539" s="2">
        <f>VLOOKUP($C539,'[10]for slip'!$F:$BC,16,0)</f>
        <v>300000</v>
      </c>
      <c r="I539" s="2">
        <f>VLOOKUP($C539,'[10]for slip'!$F:$BC,17,0)</f>
        <v>267154</v>
      </c>
      <c r="J539" s="2">
        <f>VLOOKUP($C539,'[10]for slip'!$F:$BC,27,0)</f>
        <v>0</v>
      </c>
      <c r="K539" s="2">
        <f>VLOOKUP($C539,'[10]for slip'!$F:$BC,31,0)</f>
        <v>0</v>
      </c>
      <c r="L539" s="2">
        <f>VLOOKUP($C539,'[10]for slip'!$F:$BC,35,0)</f>
        <v>61314.381539250047</v>
      </c>
      <c r="M539" s="2">
        <f>VLOOKUP($C539,'[10]for slip'!$F:$BC,36,0)</f>
        <v>0</v>
      </c>
      <c r="N539" s="2">
        <f>VLOOKUP($C539,'[10]for slip'!$F:$BC,37,0)</f>
        <v>0</v>
      </c>
      <c r="O539" s="2">
        <f>VLOOKUP($C539,'[10]for slip'!$F:$BC,38,0)</f>
        <v>0</v>
      </c>
      <c r="P539" s="2">
        <f>VLOOKUP($C539,'[10]for slip'!$F:$BC,39,0)</f>
        <v>38000</v>
      </c>
      <c r="Q539" s="2">
        <f>VLOOKUP($C539,'[10]for slip'!$F:$BC,40,0)</f>
        <v>31700</v>
      </c>
      <c r="R539" s="2">
        <f>VLOOKUP($C539,'[10]for slip'!$F:$BC,41,0)</f>
        <v>0</v>
      </c>
      <c r="S539" s="2">
        <f>VLOOKUP($C539,'[10]for slip'!$F:$BC,42,0)</f>
        <v>0</v>
      </c>
      <c r="T539" s="2">
        <f>VLOOKUP($C539,'[10]for slip'!$F:$BC,43,0)</f>
        <v>56102.37</v>
      </c>
      <c r="U539" s="2">
        <f>VLOOKUP($C539,'[10]for slip'!$F:$BC,44,0)</f>
        <v>118204.74</v>
      </c>
      <c r="V539" s="2">
        <f>VLOOKUP($C539,'[10]for slip'!$F:$BC,45,0)</f>
        <v>59102.37</v>
      </c>
      <c r="W539" s="2">
        <f>VLOOKUP($C539,'[10]for slip'!$F:$BC,48,0)</f>
        <v>61314.381539250047</v>
      </c>
    </row>
    <row r="540" spans="1:23" x14ac:dyDescent="0.25">
      <c r="A540" s="1">
        <v>539</v>
      </c>
      <c r="B540" s="2" t="s">
        <v>1099</v>
      </c>
      <c r="C540" s="2" t="s">
        <v>1100</v>
      </c>
      <c r="D540" s="2" t="str">
        <f>VLOOKUP($C540,'[10]for slip'!$F:$BC,3,0)</f>
        <v>Pelaksana</v>
      </c>
      <c r="E540" s="2" t="str">
        <f>VLOOKUP($C540,'[10]for slip'!$F:$BC,4,0)</f>
        <v>Tool Manufacture</v>
      </c>
      <c r="F540" s="2">
        <f>VLOOKUP($C540,'[10]for slip'!$F:$BC,14,0)</f>
        <v>5343083</v>
      </c>
      <c r="G540" s="2">
        <f>VLOOKUP($C540,'[10]for slip'!$F:$BC,15,0)</f>
        <v>0</v>
      </c>
      <c r="H540" s="2">
        <f>VLOOKUP($C540,'[10]for slip'!$F:$BC,16,0)</f>
        <v>0</v>
      </c>
      <c r="I540" s="2">
        <f>VLOOKUP($C540,'[10]for slip'!$F:$BC,17,0)</f>
        <v>0</v>
      </c>
      <c r="J540" s="2">
        <f>VLOOKUP($C540,'[10]for slip'!$F:$BC,27,0)</f>
        <v>0</v>
      </c>
      <c r="K540" s="2">
        <f>VLOOKUP($C540,'[10]for slip'!$F:$BC,31,0)</f>
        <v>0</v>
      </c>
      <c r="L540" s="2">
        <f>VLOOKUP($C540,'[10]for slip'!$F:$BC,35,0)</f>
        <v>0</v>
      </c>
      <c r="M540" s="2">
        <f>VLOOKUP($C540,'[10]for slip'!$F:$BC,36,0)</f>
        <v>0</v>
      </c>
      <c r="N540" s="2">
        <f>VLOOKUP($C540,'[10]for slip'!$F:$BC,37,0)</f>
        <v>0</v>
      </c>
      <c r="O540" s="2">
        <f>VLOOKUP($C540,'[10]for slip'!$F:$BC,38,0)</f>
        <v>0</v>
      </c>
      <c r="P540" s="2">
        <f>VLOOKUP($C540,'[10]for slip'!$F:$BC,39,0)</f>
        <v>38000</v>
      </c>
      <c r="Q540" s="2">
        <f>VLOOKUP($C540,'[10]for slip'!$F:$BC,40,0)</f>
        <v>31700</v>
      </c>
      <c r="R540" s="2">
        <f>VLOOKUP($C540,'[10]for slip'!$F:$BC,41,0)</f>
        <v>0</v>
      </c>
      <c r="S540" s="2">
        <f>VLOOKUP($C540,'[10]for slip'!$F:$BC,42,0)</f>
        <v>0</v>
      </c>
      <c r="T540" s="2">
        <f>VLOOKUP($C540,'[10]for slip'!$F:$BC,43,0)</f>
        <v>53430.83</v>
      </c>
      <c r="U540" s="2">
        <f>VLOOKUP($C540,'[10]for slip'!$F:$BC,44,0)</f>
        <v>106861.66</v>
      </c>
      <c r="V540" s="2">
        <f>VLOOKUP($C540,'[10]for slip'!$F:$BC,45,0)</f>
        <v>53430.83</v>
      </c>
      <c r="W540" s="2">
        <f>VLOOKUP($C540,'[10]for slip'!$F:$BC,48,0)</f>
        <v>0</v>
      </c>
    </row>
    <row r="541" spans="1:23" x14ac:dyDescent="0.25">
      <c r="A541" s="1">
        <v>540</v>
      </c>
      <c r="B541" s="2" t="s">
        <v>1101</v>
      </c>
      <c r="C541" s="2" t="s">
        <v>1102</v>
      </c>
      <c r="D541" s="2" t="str">
        <f>VLOOKUP($C541,'[10]for slip'!$F:$BC,3,0)</f>
        <v>Pelaksana</v>
      </c>
      <c r="E541" s="2" t="str">
        <f>VLOOKUP($C541,'[10]for slip'!$F:$BC,4,0)</f>
        <v>Tool Manufacture</v>
      </c>
      <c r="F541" s="2">
        <f>VLOOKUP($C541,'[10]for slip'!$F:$BC,14,0)</f>
        <v>5343083</v>
      </c>
      <c r="G541" s="2">
        <f>VLOOKUP($C541,'[10]for slip'!$F:$BC,15,0)</f>
        <v>0</v>
      </c>
      <c r="H541" s="2">
        <f>VLOOKUP($C541,'[10]for slip'!$F:$BC,16,0)</f>
        <v>0</v>
      </c>
      <c r="I541" s="2">
        <f>VLOOKUP($C541,'[10]for slip'!$F:$BC,17,0)</f>
        <v>0</v>
      </c>
      <c r="J541" s="2">
        <f>VLOOKUP($C541,'[10]for slip'!$F:$BC,27,0)</f>
        <v>0</v>
      </c>
      <c r="K541" s="2">
        <f>VLOOKUP($C541,'[10]for slip'!$F:$BC,31,0)</f>
        <v>0</v>
      </c>
      <c r="L541" s="2">
        <f>VLOOKUP($C541,'[10]for slip'!$F:$BC,35,0)</f>
        <v>0</v>
      </c>
      <c r="M541" s="2">
        <f>VLOOKUP($C541,'[10]for slip'!$F:$BC,36,0)</f>
        <v>0</v>
      </c>
      <c r="N541" s="2">
        <f>VLOOKUP($C541,'[10]for slip'!$F:$BC,37,0)</f>
        <v>0</v>
      </c>
      <c r="O541" s="2">
        <f>VLOOKUP($C541,'[10]for slip'!$F:$BC,38,0)</f>
        <v>0</v>
      </c>
      <c r="P541" s="2">
        <f>VLOOKUP($C541,'[10]for slip'!$F:$BC,39,0)</f>
        <v>38000</v>
      </c>
      <c r="Q541" s="2">
        <f>VLOOKUP($C541,'[10]for slip'!$F:$BC,40,0)</f>
        <v>31700</v>
      </c>
      <c r="R541" s="2">
        <f>VLOOKUP($C541,'[10]for slip'!$F:$BC,41,0)</f>
        <v>0</v>
      </c>
      <c r="S541" s="2">
        <f>VLOOKUP($C541,'[10]for slip'!$F:$BC,42,0)</f>
        <v>0</v>
      </c>
      <c r="T541" s="2">
        <f>VLOOKUP($C541,'[10]for slip'!$F:$BC,43,0)</f>
        <v>53430.83</v>
      </c>
      <c r="U541" s="2">
        <f>VLOOKUP($C541,'[10]for slip'!$F:$BC,44,0)</f>
        <v>106861.66</v>
      </c>
      <c r="V541" s="2">
        <f>VLOOKUP($C541,'[10]for slip'!$F:$BC,45,0)</f>
        <v>53430.83</v>
      </c>
      <c r="W541" s="2">
        <f>VLOOKUP($C541,'[10]for slip'!$F:$BC,48,0)</f>
        <v>0</v>
      </c>
    </row>
    <row r="542" spans="1:23" x14ac:dyDescent="0.25">
      <c r="A542" s="1">
        <v>541</v>
      </c>
      <c r="B542" s="2" t="s">
        <v>1103</v>
      </c>
      <c r="C542" s="2" t="s">
        <v>1104</v>
      </c>
      <c r="D542" s="2" t="str">
        <f>VLOOKUP($C542,'[10]for slip'!$F:$BC,3,0)</f>
        <v>Pelaksana</v>
      </c>
      <c r="E542" s="2" t="str">
        <f>VLOOKUP($C542,'[10]for slip'!$F:$BC,4,0)</f>
        <v>Tool Manufacture</v>
      </c>
      <c r="F542" s="2">
        <f>VLOOKUP($C542,'[10]for slip'!$F:$BC,14,0)</f>
        <v>5343083</v>
      </c>
      <c r="G542" s="2">
        <f>VLOOKUP($C542,'[10]for slip'!$F:$BC,15,0)</f>
        <v>0</v>
      </c>
      <c r="H542" s="2">
        <f>VLOOKUP($C542,'[10]for slip'!$F:$BC,16,0)</f>
        <v>0</v>
      </c>
      <c r="I542" s="2">
        <f>VLOOKUP($C542,'[10]for slip'!$F:$BC,17,0)</f>
        <v>0</v>
      </c>
      <c r="J542" s="2">
        <f>VLOOKUP($C542,'[10]for slip'!$F:$BC,27,0)</f>
        <v>0</v>
      </c>
      <c r="K542" s="2">
        <f>VLOOKUP($C542,'[10]for slip'!$F:$BC,31,0)</f>
        <v>0</v>
      </c>
      <c r="L542" s="2">
        <f>VLOOKUP($C542,'[10]for slip'!$F:$BC,35,0)</f>
        <v>34354.584590750004</v>
      </c>
      <c r="M542" s="2">
        <f>VLOOKUP($C542,'[10]for slip'!$F:$BC,36,0)</f>
        <v>0</v>
      </c>
      <c r="N542" s="2">
        <f>VLOOKUP($C542,'[10]for slip'!$F:$BC,37,0)</f>
        <v>0</v>
      </c>
      <c r="O542" s="2">
        <f>VLOOKUP($C542,'[10]for slip'!$F:$BC,38,0)</f>
        <v>0</v>
      </c>
      <c r="P542" s="2">
        <f>VLOOKUP($C542,'[10]for slip'!$F:$BC,39,0)</f>
        <v>0</v>
      </c>
      <c r="Q542" s="2">
        <f>VLOOKUP($C542,'[10]for slip'!$F:$BC,40,0)</f>
        <v>31700</v>
      </c>
      <c r="R542" s="2">
        <f>VLOOKUP($C542,'[10]for slip'!$F:$BC,41,0)</f>
        <v>0</v>
      </c>
      <c r="S542" s="2">
        <f>VLOOKUP($C542,'[10]for slip'!$F:$BC,42,0)</f>
        <v>0</v>
      </c>
      <c r="T542" s="2">
        <f>VLOOKUP($C542,'[10]for slip'!$F:$BC,43,0)</f>
        <v>53430.83</v>
      </c>
      <c r="U542" s="2">
        <f>VLOOKUP($C542,'[10]for slip'!$F:$BC,44,0)</f>
        <v>106861.66</v>
      </c>
      <c r="V542" s="2">
        <f>VLOOKUP($C542,'[10]for slip'!$F:$BC,45,0)</f>
        <v>53430.83</v>
      </c>
      <c r="W542" s="2">
        <f>VLOOKUP($C542,'[10]for slip'!$F:$BC,48,0)</f>
        <v>34354.584590750004</v>
      </c>
    </row>
    <row r="543" spans="1:23" x14ac:dyDescent="0.25">
      <c r="A543" s="1">
        <v>542</v>
      </c>
      <c r="B543" s="2" t="s">
        <v>1105</v>
      </c>
      <c r="C543" s="2" t="s">
        <v>1106</v>
      </c>
      <c r="D543" s="2" t="str">
        <f>VLOOKUP($C543,'[10]for slip'!$F:$BC,3,0)</f>
        <v>Pelaksana</v>
      </c>
      <c r="E543" s="2" t="str">
        <f>VLOOKUP($C543,'[10]for slip'!$F:$BC,4,0)</f>
        <v>Tool Manufacture</v>
      </c>
      <c r="F543" s="2">
        <f>VLOOKUP($C543,'[10]for slip'!$F:$BC,14,0)</f>
        <v>5343083</v>
      </c>
      <c r="G543" s="2">
        <f>VLOOKUP($C543,'[10]for slip'!$F:$BC,15,0)</f>
        <v>0</v>
      </c>
      <c r="H543" s="2">
        <f>VLOOKUP($C543,'[10]for slip'!$F:$BC,16,0)</f>
        <v>250000</v>
      </c>
      <c r="I543" s="2">
        <f>VLOOKUP($C543,'[10]for slip'!$F:$BC,17,0)</f>
        <v>0</v>
      </c>
      <c r="J543" s="2">
        <f>VLOOKUP($C543,'[10]for slip'!$F:$BC,27,0)</f>
        <v>0</v>
      </c>
      <c r="K543" s="2">
        <f>VLOOKUP($C543,'[10]for slip'!$F:$BC,31,0)</f>
        <v>0</v>
      </c>
      <c r="L543" s="2">
        <f>VLOOKUP($C543,'[10]for slip'!$F:$BC,35,0)</f>
        <v>46489.647090749968</v>
      </c>
      <c r="M543" s="2">
        <f>VLOOKUP($C543,'[10]for slip'!$F:$BC,36,0)</f>
        <v>0</v>
      </c>
      <c r="N543" s="2">
        <f>VLOOKUP($C543,'[10]for slip'!$F:$BC,37,0)</f>
        <v>0</v>
      </c>
      <c r="O543" s="2">
        <f>VLOOKUP($C543,'[10]for slip'!$F:$BC,38,0)</f>
        <v>0</v>
      </c>
      <c r="P543" s="2">
        <f>VLOOKUP($C543,'[10]for slip'!$F:$BC,39,0)</f>
        <v>0</v>
      </c>
      <c r="Q543" s="2">
        <f>VLOOKUP($C543,'[10]for slip'!$F:$BC,40,0)</f>
        <v>31700</v>
      </c>
      <c r="R543" s="2">
        <f>VLOOKUP($C543,'[10]for slip'!$F:$BC,41,0)</f>
        <v>0</v>
      </c>
      <c r="S543" s="2">
        <f>VLOOKUP($C543,'[10]for slip'!$F:$BC,42,0)</f>
        <v>0</v>
      </c>
      <c r="T543" s="2">
        <f>VLOOKUP($C543,'[10]for slip'!$F:$BC,43,0)</f>
        <v>55930.83</v>
      </c>
      <c r="U543" s="2">
        <f>VLOOKUP($C543,'[10]for slip'!$F:$BC,44,0)</f>
        <v>111861.66</v>
      </c>
      <c r="V543" s="2">
        <f>VLOOKUP($C543,'[10]for slip'!$F:$BC,45,0)</f>
        <v>55930.83</v>
      </c>
      <c r="W543" s="2">
        <f>VLOOKUP($C543,'[10]for slip'!$F:$BC,48,0)</f>
        <v>46489.647090749968</v>
      </c>
    </row>
    <row r="544" spans="1:23" x14ac:dyDescent="0.25">
      <c r="A544" s="1">
        <v>543</v>
      </c>
      <c r="B544" s="2" t="s">
        <v>1107</v>
      </c>
      <c r="C544" s="2" t="s">
        <v>1108</v>
      </c>
      <c r="D544" s="2" t="str">
        <f>VLOOKUP($C544,'[10]for slip'!$F:$BC,3,0)</f>
        <v>Pelaksana</v>
      </c>
      <c r="E544" s="2" t="str">
        <f>VLOOKUP($C544,'[10]for slip'!$F:$BC,4,0)</f>
        <v>Tool Manufacture</v>
      </c>
      <c r="F544" s="2">
        <f>VLOOKUP($C544,'[10]for slip'!$F:$BC,14,0)</f>
        <v>5343083</v>
      </c>
      <c r="G544" s="2">
        <f>VLOOKUP($C544,'[10]for slip'!$F:$BC,15,0)</f>
        <v>0</v>
      </c>
      <c r="H544" s="2">
        <f>VLOOKUP($C544,'[10]for slip'!$F:$BC,16,0)</f>
        <v>0</v>
      </c>
      <c r="I544" s="2">
        <f>VLOOKUP($C544,'[10]for slip'!$F:$BC,17,0)</f>
        <v>0</v>
      </c>
      <c r="J544" s="2">
        <f>VLOOKUP($C544,'[10]for slip'!$F:$BC,27,0)</f>
        <v>0</v>
      </c>
      <c r="K544" s="2">
        <f>VLOOKUP($C544,'[10]for slip'!$F:$BC,31,0)</f>
        <v>0</v>
      </c>
      <c r="L544" s="2">
        <f>VLOOKUP($C544,'[10]for slip'!$F:$BC,35,0)</f>
        <v>0</v>
      </c>
      <c r="M544" s="2">
        <f>VLOOKUP($C544,'[10]for slip'!$F:$BC,36,0)</f>
        <v>0</v>
      </c>
      <c r="N544" s="2">
        <f>VLOOKUP($C544,'[10]for slip'!$F:$BC,37,0)</f>
        <v>0</v>
      </c>
      <c r="O544" s="2">
        <f>VLOOKUP($C544,'[10]for slip'!$F:$BC,38,0)</f>
        <v>0</v>
      </c>
      <c r="P544" s="2">
        <f>VLOOKUP($C544,'[10]for slip'!$F:$BC,39,0)</f>
        <v>0</v>
      </c>
      <c r="Q544" s="2">
        <f>VLOOKUP($C544,'[10]for slip'!$F:$BC,40,0)</f>
        <v>31700</v>
      </c>
      <c r="R544" s="2">
        <f>VLOOKUP($C544,'[10]for slip'!$F:$BC,41,0)</f>
        <v>0</v>
      </c>
      <c r="S544" s="2">
        <f>VLOOKUP($C544,'[10]for slip'!$F:$BC,42,0)</f>
        <v>0</v>
      </c>
      <c r="T544" s="2">
        <f>VLOOKUP($C544,'[10]for slip'!$F:$BC,43,0)</f>
        <v>53430.83</v>
      </c>
      <c r="U544" s="2">
        <f>VLOOKUP($C544,'[10]for slip'!$F:$BC,44,0)</f>
        <v>106861.66</v>
      </c>
      <c r="V544" s="2">
        <f>VLOOKUP($C544,'[10]for slip'!$F:$BC,45,0)</f>
        <v>53430.83</v>
      </c>
      <c r="W544" s="2">
        <f>VLOOKUP($C544,'[10]for slip'!$F:$BC,48,0)</f>
        <v>0</v>
      </c>
    </row>
    <row r="545" spans="1:23" x14ac:dyDescent="0.25">
      <c r="A545" s="1">
        <v>544</v>
      </c>
      <c r="B545" s="2" t="s">
        <v>1109</v>
      </c>
      <c r="C545" s="2" t="s">
        <v>1110</v>
      </c>
      <c r="D545" s="2" t="str">
        <f>VLOOKUP($C545,'[10]for slip'!$F:$BC,3,0)</f>
        <v>Pelaksana</v>
      </c>
      <c r="E545" s="2" t="str">
        <f>VLOOKUP($C545,'[10]for slip'!$F:$BC,4,0)</f>
        <v>Tool Manufacture</v>
      </c>
      <c r="F545" s="2">
        <f>VLOOKUP($C545,'[10]for slip'!$F:$BC,14,0)</f>
        <v>5343083</v>
      </c>
      <c r="G545" s="2">
        <f>VLOOKUP($C545,'[10]for slip'!$F:$BC,15,0)</f>
        <v>0</v>
      </c>
      <c r="H545" s="2">
        <f>VLOOKUP($C545,'[10]for slip'!$F:$BC,16,0)</f>
        <v>0</v>
      </c>
      <c r="I545" s="2">
        <f>VLOOKUP($C545,'[10]for slip'!$F:$BC,17,0)</f>
        <v>0</v>
      </c>
      <c r="J545" s="2">
        <f>VLOOKUP($C545,'[10]for slip'!$F:$BC,27,0)</f>
        <v>0</v>
      </c>
      <c r="K545" s="2">
        <f>VLOOKUP($C545,'[10]for slip'!$F:$BC,31,0)</f>
        <v>0</v>
      </c>
      <c r="L545" s="2">
        <f>VLOOKUP($C545,'[10]for slip'!$F:$BC,35,0)</f>
        <v>0</v>
      </c>
      <c r="M545" s="2">
        <f>VLOOKUP($C545,'[10]for slip'!$F:$BC,36,0)</f>
        <v>0</v>
      </c>
      <c r="N545" s="2">
        <f>VLOOKUP($C545,'[10]for slip'!$F:$BC,37,0)</f>
        <v>0</v>
      </c>
      <c r="O545" s="2">
        <f>VLOOKUP($C545,'[10]for slip'!$F:$BC,38,0)</f>
        <v>0</v>
      </c>
      <c r="P545" s="2">
        <f>VLOOKUP($C545,'[10]for slip'!$F:$BC,39,0)</f>
        <v>38000</v>
      </c>
      <c r="Q545" s="2">
        <f>VLOOKUP($C545,'[10]for slip'!$F:$BC,40,0)</f>
        <v>31700</v>
      </c>
      <c r="R545" s="2">
        <f>VLOOKUP($C545,'[10]for slip'!$F:$BC,41,0)</f>
        <v>0</v>
      </c>
      <c r="S545" s="2">
        <f>VLOOKUP($C545,'[10]for slip'!$F:$BC,42,0)</f>
        <v>0</v>
      </c>
      <c r="T545" s="2">
        <f>VLOOKUP($C545,'[10]for slip'!$F:$BC,43,0)</f>
        <v>53430.83</v>
      </c>
      <c r="U545" s="2">
        <f>VLOOKUP($C545,'[10]for slip'!$F:$BC,44,0)</f>
        <v>106861.66</v>
      </c>
      <c r="V545" s="2">
        <f>VLOOKUP($C545,'[10]for slip'!$F:$BC,45,0)</f>
        <v>53430.83</v>
      </c>
      <c r="W545" s="2">
        <f>VLOOKUP($C545,'[10]for slip'!$F:$BC,48,0)</f>
        <v>0</v>
      </c>
    </row>
    <row r="546" spans="1:23" x14ac:dyDescent="0.25">
      <c r="A546" s="1">
        <v>545</v>
      </c>
      <c r="B546" s="2" t="s">
        <v>1111</v>
      </c>
      <c r="C546" s="2" t="s">
        <v>1112</v>
      </c>
      <c r="D546" s="2" t="str">
        <f>VLOOKUP($C546,'[10]for slip'!$F:$BC,3,0)</f>
        <v>Specialist</v>
      </c>
      <c r="E546" s="2" t="str">
        <f>VLOOKUP($C546,'[10]for slip'!$F:$BC,4,0)</f>
        <v>Tool Manufacture</v>
      </c>
      <c r="F546" s="2">
        <f>VLOOKUP($C546,'[10]for slip'!$F:$BC,14,0)</f>
        <v>7000000</v>
      </c>
      <c r="G546" s="2">
        <f>VLOOKUP($C546,'[10]for slip'!$F:$BC,15,0)</f>
        <v>0</v>
      </c>
      <c r="H546" s="2">
        <f>VLOOKUP($C546,'[10]for slip'!$F:$BC,16,0)</f>
        <v>0</v>
      </c>
      <c r="I546" s="2">
        <f>VLOOKUP($C546,'[10]for slip'!$F:$BC,17,0)</f>
        <v>0</v>
      </c>
      <c r="J546" s="2">
        <f>VLOOKUP($C546,'[10]for slip'!$F:$BC,27,0)</f>
        <v>0</v>
      </c>
      <c r="K546" s="2">
        <f>VLOOKUP($C546,'[10]for slip'!$F:$BC,31,0)</f>
        <v>0</v>
      </c>
      <c r="L546" s="2">
        <f>VLOOKUP($C546,'[10]for slip'!$F:$BC,35,0)</f>
        <v>58531.75</v>
      </c>
      <c r="M546" s="2">
        <f>VLOOKUP($C546,'[10]for slip'!$F:$BC,36,0)</f>
        <v>0</v>
      </c>
      <c r="N546" s="2">
        <f>VLOOKUP($C546,'[10]for slip'!$F:$BC,37,0)</f>
        <v>0</v>
      </c>
      <c r="O546" s="2">
        <f>VLOOKUP($C546,'[10]for slip'!$F:$BC,38,0)</f>
        <v>0</v>
      </c>
      <c r="P546" s="2">
        <f>VLOOKUP($C546,'[10]for slip'!$F:$BC,39,0)</f>
        <v>38000</v>
      </c>
      <c r="Q546" s="2">
        <f>VLOOKUP($C546,'[10]for slip'!$F:$BC,40,0)</f>
        <v>31700</v>
      </c>
      <c r="R546" s="2">
        <f>VLOOKUP($C546,'[10]for slip'!$F:$BC,41,0)</f>
        <v>0</v>
      </c>
      <c r="S546" s="2">
        <f>VLOOKUP($C546,'[10]for slip'!$F:$BC,42,0)</f>
        <v>0</v>
      </c>
      <c r="T546" s="2">
        <f>VLOOKUP($C546,'[10]for slip'!$F:$BC,43,0)</f>
        <v>70000</v>
      </c>
      <c r="U546" s="2">
        <f>VLOOKUP($C546,'[10]for slip'!$F:$BC,44,0)</f>
        <v>140000</v>
      </c>
      <c r="V546" s="2">
        <f>VLOOKUP($C546,'[10]for slip'!$F:$BC,45,0)</f>
        <v>70000</v>
      </c>
      <c r="W546" s="2">
        <f>VLOOKUP($C546,'[10]for slip'!$F:$BC,48,0)</f>
        <v>58531.75</v>
      </c>
    </row>
    <row r="547" spans="1:23" x14ac:dyDescent="0.25">
      <c r="A547" s="1">
        <v>546</v>
      </c>
      <c r="B547" s="2" t="s">
        <v>1113</v>
      </c>
      <c r="C547" s="2" t="s">
        <v>1114</v>
      </c>
      <c r="D547" s="2" t="str">
        <f>VLOOKUP($C547,'[10]for slip'!$F:$BC,3,0)</f>
        <v>Pelaksana</v>
      </c>
      <c r="E547" s="2" t="str">
        <f>VLOOKUP($C547,'[10]for slip'!$F:$BC,4,0)</f>
        <v>Tool Manufacture</v>
      </c>
      <c r="F547" s="2">
        <f>VLOOKUP($C547,'[10]for slip'!$F:$BC,14,0)</f>
        <v>5343083</v>
      </c>
      <c r="G547" s="2">
        <f>VLOOKUP($C547,'[10]for slip'!$F:$BC,15,0)</f>
        <v>0</v>
      </c>
      <c r="H547" s="2">
        <f>VLOOKUP($C547,'[10]for slip'!$F:$BC,16,0)</f>
        <v>0</v>
      </c>
      <c r="I547" s="2">
        <f>VLOOKUP($C547,'[10]for slip'!$F:$BC,17,0)</f>
        <v>0</v>
      </c>
      <c r="J547" s="2">
        <f>VLOOKUP($C547,'[10]for slip'!$F:$BC,27,0)</f>
        <v>0</v>
      </c>
      <c r="K547" s="2">
        <f>VLOOKUP($C547,'[10]for slip'!$F:$BC,31,0)</f>
        <v>0</v>
      </c>
      <c r="L547" s="2">
        <f>VLOOKUP($C547,'[10]for slip'!$F:$BC,35,0)</f>
        <v>34354.584590750004</v>
      </c>
      <c r="M547" s="2">
        <f>VLOOKUP($C547,'[10]for slip'!$F:$BC,36,0)</f>
        <v>0</v>
      </c>
      <c r="N547" s="2">
        <f>VLOOKUP($C547,'[10]for slip'!$F:$BC,37,0)</f>
        <v>0</v>
      </c>
      <c r="O547" s="2">
        <f>VLOOKUP($C547,'[10]for slip'!$F:$BC,38,0)</f>
        <v>0</v>
      </c>
      <c r="P547" s="2">
        <f>VLOOKUP($C547,'[10]for slip'!$F:$BC,39,0)</f>
        <v>38000</v>
      </c>
      <c r="Q547" s="2">
        <f>VLOOKUP($C547,'[10]for slip'!$F:$BC,40,0)</f>
        <v>31700</v>
      </c>
      <c r="R547" s="2">
        <f>VLOOKUP($C547,'[10]for slip'!$F:$BC,41,0)</f>
        <v>0</v>
      </c>
      <c r="S547" s="2">
        <f>VLOOKUP($C547,'[10]for slip'!$F:$BC,42,0)</f>
        <v>0</v>
      </c>
      <c r="T547" s="2">
        <f>VLOOKUP($C547,'[10]for slip'!$F:$BC,43,0)</f>
        <v>53430.83</v>
      </c>
      <c r="U547" s="2">
        <f>VLOOKUP($C547,'[10]for slip'!$F:$BC,44,0)</f>
        <v>106861.66</v>
      </c>
      <c r="V547" s="2">
        <f>VLOOKUP($C547,'[10]for slip'!$F:$BC,45,0)</f>
        <v>53430.83</v>
      </c>
      <c r="W547" s="2">
        <f>VLOOKUP($C547,'[10]for slip'!$F:$BC,48,0)</f>
        <v>34354.584590750004</v>
      </c>
    </row>
    <row r="548" spans="1:23" x14ac:dyDescent="0.25">
      <c r="A548" s="1">
        <v>547</v>
      </c>
      <c r="B548" s="2" t="s">
        <v>1115</v>
      </c>
      <c r="C548" s="2" t="s">
        <v>1116</v>
      </c>
      <c r="D548" s="2" t="str">
        <f>VLOOKUP($C548,'[10]for slip'!$F:$BC,3,0)</f>
        <v>Pelaksana</v>
      </c>
      <c r="E548" s="2" t="str">
        <f>VLOOKUP($C548,'[10]for slip'!$F:$BC,4,0)</f>
        <v>Tool Manufacture</v>
      </c>
      <c r="F548" s="2">
        <f>VLOOKUP($C548,'[10]for slip'!$F:$BC,14,0)</f>
        <v>5343083</v>
      </c>
      <c r="G548" s="2">
        <f>VLOOKUP($C548,'[10]for slip'!$F:$BC,15,0)</f>
        <v>0</v>
      </c>
      <c r="H548" s="2">
        <f>VLOOKUP($C548,'[10]for slip'!$F:$BC,16,0)</f>
        <v>0</v>
      </c>
      <c r="I548" s="2">
        <f>VLOOKUP($C548,'[10]for slip'!$F:$BC,17,0)</f>
        <v>0</v>
      </c>
      <c r="J548" s="2">
        <f>VLOOKUP($C548,'[10]for slip'!$F:$BC,27,0)</f>
        <v>0</v>
      </c>
      <c r="K548" s="2">
        <f>VLOOKUP($C548,'[10]for slip'!$F:$BC,31,0)</f>
        <v>0</v>
      </c>
      <c r="L548" s="2">
        <f>VLOOKUP($C548,'[10]for slip'!$F:$BC,35,0)</f>
        <v>0</v>
      </c>
      <c r="M548" s="2">
        <f>VLOOKUP($C548,'[10]for slip'!$F:$BC,36,0)</f>
        <v>0</v>
      </c>
      <c r="N548" s="2">
        <f>VLOOKUP($C548,'[10]for slip'!$F:$BC,37,0)</f>
        <v>0</v>
      </c>
      <c r="O548" s="2">
        <f>VLOOKUP($C548,'[10]for slip'!$F:$BC,38,0)</f>
        <v>0</v>
      </c>
      <c r="P548" s="2">
        <f>VLOOKUP($C548,'[10]for slip'!$F:$BC,39,0)</f>
        <v>38000</v>
      </c>
      <c r="Q548" s="2">
        <f>VLOOKUP($C548,'[10]for slip'!$F:$BC,40,0)</f>
        <v>31700</v>
      </c>
      <c r="R548" s="2">
        <f>VLOOKUP($C548,'[10]for slip'!$F:$BC,41,0)</f>
        <v>0</v>
      </c>
      <c r="S548" s="2">
        <f>VLOOKUP($C548,'[10]for slip'!$F:$BC,42,0)</f>
        <v>0</v>
      </c>
      <c r="T548" s="2">
        <f>VLOOKUP($C548,'[10]for slip'!$F:$BC,43,0)</f>
        <v>53430.83</v>
      </c>
      <c r="U548" s="2">
        <f>VLOOKUP($C548,'[10]for slip'!$F:$BC,44,0)</f>
        <v>106861.66</v>
      </c>
      <c r="V548" s="2">
        <f>VLOOKUP($C548,'[10]for slip'!$F:$BC,45,0)</f>
        <v>53430.83</v>
      </c>
      <c r="W548" s="2">
        <f>VLOOKUP($C548,'[10]for slip'!$F:$BC,48,0)</f>
        <v>0</v>
      </c>
    </row>
    <row r="549" spans="1:23" x14ac:dyDescent="0.25">
      <c r="A549" s="1">
        <v>548</v>
      </c>
      <c r="B549" s="2" t="s">
        <v>1117</v>
      </c>
      <c r="C549" s="2" t="s">
        <v>1118</v>
      </c>
      <c r="D549" s="2" t="str">
        <f>VLOOKUP($C549,'[10]for slip'!$F:$BC,3,0)</f>
        <v>Staff</v>
      </c>
      <c r="E549" s="2" t="str">
        <f>VLOOKUP($C549,'[10]for slip'!$F:$BC,4,0)</f>
        <v>Tool Manufacture</v>
      </c>
      <c r="F549" s="2">
        <f>VLOOKUP($C549,'[10]for slip'!$F:$BC,14,0)</f>
        <v>5343083</v>
      </c>
      <c r="G549" s="2">
        <f>VLOOKUP($C549,'[10]for slip'!$F:$BC,15,0)</f>
        <v>0</v>
      </c>
      <c r="H549" s="2">
        <f>VLOOKUP($C549,'[10]for slip'!$F:$BC,16,0)</f>
        <v>0</v>
      </c>
      <c r="I549" s="2">
        <f>VLOOKUP($C549,'[10]for slip'!$F:$BC,17,0)</f>
        <v>0</v>
      </c>
      <c r="J549" s="2">
        <f>VLOOKUP($C549,'[10]for slip'!$F:$BC,27,0)</f>
        <v>0</v>
      </c>
      <c r="K549" s="2">
        <f>VLOOKUP($C549,'[10]for slip'!$F:$BC,31,0)</f>
        <v>0</v>
      </c>
      <c r="L549" s="2">
        <f>VLOOKUP($C549,'[10]for slip'!$F:$BC,35,0)</f>
        <v>34354.584590750004</v>
      </c>
      <c r="M549" s="2">
        <f>VLOOKUP($C549,'[10]for slip'!$F:$BC,36,0)</f>
        <v>0</v>
      </c>
      <c r="N549" s="2">
        <f>VLOOKUP($C549,'[10]for slip'!$F:$BC,37,0)</f>
        <v>0</v>
      </c>
      <c r="O549" s="2">
        <f>VLOOKUP($C549,'[10]for slip'!$F:$BC,38,0)</f>
        <v>0</v>
      </c>
      <c r="P549" s="2">
        <f>VLOOKUP($C549,'[10]for slip'!$F:$BC,39,0)</f>
        <v>38000</v>
      </c>
      <c r="Q549" s="2">
        <f>VLOOKUP($C549,'[10]for slip'!$F:$BC,40,0)</f>
        <v>31700</v>
      </c>
      <c r="R549" s="2">
        <f>VLOOKUP($C549,'[10]for slip'!$F:$BC,41,0)</f>
        <v>0</v>
      </c>
      <c r="S549" s="2">
        <f>VLOOKUP($C549,'[10]for slip'!$F:$BC,42,0)</f>
        <v>0</v>
      </c>
      <c r="T549" s="2">
        <f>VLOOKUP($C549,'[10]for slip'!$F:$BC,43,0)</f>
        <v>53430.83</v>
      </c>
      <c r="U549" s="2">
        <f>VLOOKUP($C549,'[10]for slip'!$F:$BC,44,0)</f>
        <v>106861.66</v>
      </c>
      <c r="V549" s="2">
        <f>VLOOKUP($C549,'[10]for slip'!$F:$BC,45,0)</f>
        <v>53430.83</v>
      </c>
      <c r="W549" s="2">
        <f>VLOOKUP($C549,'[10]for slip'!$F:$BC,48,0)</f>
        <v>34354.584590750004</v>
      </c>
    </row>
    <row r="550" spans="1:23" x14ac:dyDescent="0.25">
      <c r="A550" s="1">
        <v>549</v>
      </c>
      <c r="B550" s="2" t="s">
        <v>1119</v>
      </c>
      <c r="C550" s="2" t="s">
        <v>1120</v>
      </c>
      <c r="D550" s="2" t="str">
        <f>VLOOKUP($C550,'[10]for slip'!$F:$BC,3,0)</f>
        <v>Staff</v>
      </c>
      <c r="E550" s="2" t="str">
        <f>VLOOKUP($C550,'[10]for slip'!$F:$BC,4,0)</f>
        <v>Tool Manufacture</v>
      </c>
      <c r="F550" s="2">
        <f>VLOOKUP($C550,'[10]for slip'!$F:$BC,14,0)</f>
        <v>5343083</v>
      </c>
      <c r="G550" s="2">
        <f>VLOOKUP($C550,'[10]for slip'!$F:$BC,15,0)</f>
        <v>0</v>
      </c>
      <c r="H550" s="2">
        <f>VLOOKUP($C550,'[10]for slip'!$F:$BC,16,0)</f>
        <v>356917</v>
      </c>
      <c r="I550" s="2">
        <f>VLOOKUP($C550,'[10]for slip'!$F:$BC,17,0)</f>
        <v>0</v>
      </c>
      <c r="J550" s="2">
        <f>VLOOKUP($C550,'[10]for slip'!$F:$BC,27,0)</f>
        <v>0</v>
      </c>
      <c r="K550" s="2">
        <f>VLOOKUP($C550,'[10]for slip'!$F:$BC,31,0)</f>
        <v>0</v>
      </c>
      <c r="L550" s="2">
        <f>VLOOKUP($C550,'[10]for slip'!$F:$BC,35,0)</f>
        <v>0</v>
      </c>
      <c r="M550" s="2">
        <f>VLOOKUP($C550,'[10]for slip'!$F:$BC,36,0)</f>
        <v>0</v>
      </c>
      <c r="N550" s="2">
        <f>VLOOKUP($C550,'[10]for slip'!$F:$BC,37,0)</f>
        <v>0</v>
      </c>
      <c r="O550" s="2">
        <f>VLOOKUP($C550,'[10]for slip'!$F:$BC,38,0)</f>
        <v>0</v>
      </c>
      <c r="P550" s="2">
        <f>VLOOKUP($C550,'[10]for slip'!$F:$BC,39,0)</f>
        <v>38000</v>
      </c>
      <c r="Q550" s="2">
        <f>VLOOKUP($C550,'[10]for slip'!$F:$BC,40,0)</f>
        <v>31700</v>
      </c>
      <c r="R550" s="2">
        <f>VLOOKUP($C550,'[10]for slip'!$F:$BC,41,0)</f>
        <v>0</v>
      </c>
      <c r="S550" s="2">
        <f>VLOOKUP($C550,'[10]for slip'!$F:$BC,42,0)</f>
        <v>0</v>
      </c>
      <c r="T550" s="2">
        <f>VLOOKUP($C550,'[10]for slip'!$F:$BC,43,0)</f>
        <v>57000</v>
      </c>
      <c r="U550" s="2">
        <f>VLOOKUP($C550,'[10]for slip'!$F:$BC,44,0)</f>
        <v>114000</v>
      </c>
      <c r="V550" s="2">
        <f>VLOOKUP($C550,'[10]for slip'!$F:$BC,45,0)</f>
        <v>57000</v>
      </c>
      <c r="W550" s="2">
        <f>VLOOKUP($C550,'[10]for slip'!$F:$BC,48,0)</f>
        <v>0</v>
      </c>
    </row>
    <row r="551" spans="1:23" x14ac:dyDescent="0.25">
      <c r="A551" s="1">
        <v>550</v>
      </c>
      <c r="B551" s="2" t="s">
        <v>1121</v>
      </c>
      <c r="C551" s="2" t="s">
        <v>1122</v>
      </c>
      <c r="D551" s="2" t="str">
        <f>VLOOKUP($C551,'[10]for slip'!$F:$BC,3,0)</f>
        <v>Pelaksana</v>
      </c>
      <c r="E551" s="2" t="str">
        <f>VLOOKUP($C551,'[10]for slip'!$F:$BC,4,0)</f>
        <v>Tool Manufacture</v>
      </c>
      <c r="F551" s="2">
        <f>VLOOKUP($C551,'[10]for slip'!$F:$BC,14,0)</f>
        <v>5343083</v>
      </c>
      <c r="G551" s="2">
        <f>VLOOKUP($C551,'[10]for slip'!$F:$BC,15,0)</f>
        <v>0</v>
      </c>
      <c r="H551" s="2">
        <f>VLOOKUP($C551,'[10]for slip'!$F:$BC,16,0)</f>
        <v>0</v>
      </c>
      <c r="I551" s="2">
        <f>VLOOKUP($C551,'[10]for slip'!$F:$BC,17,0)</f>
        <v>0</v>
      </c>
      <c r="J551" s="2">
        <f>VLOOKUP($C551,'[10]for slip'!$F:$BC,27,0)</f>
        <v>0</v>
      </c>
      <c r="K551" s="2">
        <f>VLOOKUP($C551,'[10]for slip'!$F:$BC,31,0)</f>
        <v>0</v>
      </c>
      <c r="L551" s="2">
        <f>VLOOKUP($C551,'[10]for slip'!$F:$BC,35,0)</f>
        <v>3519.0170907499892</v>
      </c>
      <c r="M551" s="2">
        <f>VLOOKUP($C551,'[10]for slip'!$F:$BC,36,0)</f>
        <v>0</v>
      </c>
      <c r="N551" s="2">
        <f>VLOOKUP($C551,'[10]for slip'!$F:$BC,37,0)</f>
        <v>1</v>
      </c>
      <c r="O551" s="2">
        <f>VLOOKUP($C551,'[10]for slip'!$F:$BC,38,0)</f>
        <v>254433</v>
      </c>
      <c r="P551" s="2">
        <f>VLOOKUP($C551,'[10]for slip'!$F:$BC,39,0)</f>
        <v>38000</v>
      </c>
      <c r="Q551" s="2">
        <f>VLOOKUP($C551,'[10]for slip'!$F:$BC,40,0)</f>
        <v>31700</v>
      </c>
      <c r="R551" s="2">
        <f>VLOOKUP($C551,'[10]for slip'!$F:$BC,41,0)</f>
        <v>0</v>
      </c>
      <c r="S551" s="2">
        <f>VLOOKUP($C551,'[10]for slip'!$F:$BC,42,0)</f>
        <v>0</v>
      </c>
      <c r="T551" s="2">
        <f>VLOOKUP($C551,'[10]for slip'!$F:$BC,43,0)</f>
        <v>53430.83</v>
      </c>
      <c r="U551" s="2">
        <f>VLOOKUP($C551,'[10]for slip'!$F:$BC,44,0)</f>
        <v>106861.66</v>
      </c>
      <c r="V551" s="2">
        <f>VLOOKUP($C551,'[10]for slip'!$F:$BC,45,0)</f>
        <v>53430.83</v>
      </c>
      <c r="W551" s="2">
        <f>VLOOKUP($C551,'[10]for slip'!$F:$BC,48,0)</f>
        <v>3519.0170907499892</v>
      </c>
    </row>
    <row r="552" spans="1:23" x14ac:dyDescent="0.25">
      <c r="A552" s="1">
        <v>551</v>
      </c>
      <c r="B552" s="2" t="s">
        <v>1123</v>
      </c>
      <c r="C552" s="2" t="s">
        <v>1124</v>
      </c>
      <c r="D552" s="2" t="str">
        <f>VLOOKUP($C552,'[10]for slip'!$F:$BC,3,0)</f>
        <v>Pelaksana</v>
      </c>
      <c r="E552" s="2" t="str">
        <f>VLOOKUP($C552,'[10]for slip'!$F:$BC,4,0)</f>
        <v>Tool Manufacture</v>
      </c>
      <c r="F552" s="2">
        <f>VLOOKUP($C552,'[10]for slip'!$F:$BC,14,0)</f>
        <v>5343083</v>
      </c>
      <c r="G552" s="2">
        <f>VLOOKUP($C552,'[10]for slip'!$F:$BC,15,0)</f>
        <v>0</v>
      </c>
      <c r="H552" s="2">
        <f>VLOOKUP($C552,'[10]for slip'!$F:$BC,16,0)</f>
        <v>0</v>
      </c>
      <c r="I552" s="2">
        <f>VLOOKUP($C552,'[10]for slip'!$F:$BC,17,0)</f>
        <v>0</v>
      </c>
      <c r="J552" s="2">
        <f>VLOOKUP($C552,'[10]for slip'!$F:$BC,27,0)</f>
        <v>0</v>
      </c>
      <c r="K552" s="2">
        <f>VLOOKUP($C552,'[10]for slip'!$F:$BC,31,0)</f>
        <v>0</v>
      </c>
      <c r="L552" s="2">
        <f>VLOOKUP($C552,'[10]for slip'!$F:$BC,35,0)</f>
        <v>0</v>
      </c>
      <c r="M552" s="2">
        <f>VLOOKUP($C552,'[10]for slip'!$F:$BC,36,0)</f>
        <v>0</v>
      </c>
      <c r="N552" s="2">
        <f>VLOOKUP($C552,'[10]for slip'!$F:$BC,37,0)</f>
        <v>0</v>
      </c>
      <c r="O552" s="2">
        <f>VLOOKUP($C552,'[10]for slip'!$F:$BC,38,0)</f>
        <v>0</v>
      </c>
      <c r="P552" s="2">
        <f>VLOOKUP($C552,'[10]for slip'!$F:$BC,39,0)</f>
        <v>0</v>
      </c>
      <c r="Q552" s="2">
        <f>VLOOKUP($C552,'[10]for slip'!$F:$BC,40,0)</f>
        <v>31700</v>
      </c>
      <c r="R552" s="2">
        <f>VLOOKUP($C552,'[10]for slip'!$F:$BC,41,0)</f>
        <v>0</v>
      </c>
      <c r="S552" s="2">
        <f>VLOOKUP($C552,'[10]for slip'!$F:$BC,42,0)</f>
        <v>0</v>
      </c>
      <c r="T552" s="2">
        <f>VLOOKUP($C552,'[10]for slip'!$F:$BC,43,0)</f>
        <v>53430.83</v>
      </c>
      <c r="U552" s="2">
        <f>VLOOKUP($C552,'[10]for slip'!$F:$BC,44,0)</f>
        <v>106861.66</v>
      </c>
      <c r="V552" s="2">
        <f>VLOOKUP($C552,'[10]for slip'!$F:$BC,45,0)</f>
        <v>53430.83</v>
      </c>
      <c r="W552" s="2">
        <f>VLOOKUP($C552,'[10]for slip'!$F:$BC,48,0)</f>
        <v>0</v>
      </c>
    </row>
    <row r="553" spans="1:23" x14ac:dyDescent="0.25">
      <c r="A553" s="1">
        <v>552</v>
      </c>
      <c r="B553" s="2" t="s">
        <v>1125</v>
      </c>
      <c r="C553" s="2" t="s">
        <v>1126</v>
      </c>
      <c r="D553" s="2" t="str">
        <f>VLOOKUP($C553,'[10]for slip'!$F:$BC,3,0)</f>
        <v>Staff</v>
      </c>
      <c r="E553" s="2" t="str">
        <f>VLOOKUP($C553,'[10]for slip'!$F:$BC,4,0)</f>
        <v>Tool Manufacture</v>
      </c>
      <c r="F553" s="2">
        <f>VLOOKUP($C553,'[10]for slip'!$F:$BC,14,0)</f>
        <v>4798312</v>
      </c>
      <c r="G553" s="2">
        <f>VLOOKUP($C553,'[10]for slip'!$F:$BC,15,0)</f>
        <v>0</v>
      </c>
      <c r="H553" s="2">
        <f>VLOOKUP($C553,'[10]for slip'!$F:$BC,16,0)</f>
        <v>401688</v>
      </c>
      <c r="I553" s="2">
        <f>VLOOKUP($C553,'[10]for slip'!$F:$BC,17,0)</f>
        <v>0</v>
      </c>
      <c r="J553" s="2">
        <f>VLOOKUP($C553,'[10]for slip'!$F:$BC,27,0)</f>
        <v>0</v>
      </c>
      <c r="K553" s="2">
        <f>VLOOKUP($C553,'[10]for slip'!$F:$BC,31,0)</f>
        <v>0</v>
      </c>
      <c r="L553" s="2">
        <f>VLOOKUP($C553,'[10]for slip'!$F:$BC,35,0)</f>
        <v>0</v>
      </c>
      <c r="M553" s="2">
        <f>VLOOKUP($C553,'[10]for slip'!$F:$BC,36,0)</f>
        <v>0</v>
      </c>
      <c r="N553" s="2">
        <f>VLOOKUP($C553,'[10]for slip'!$F:$BC,37,0)</f>
        <v>19</v>
      </c>
      <c r="O553" s="2">
        <f>VLOOKUP($C553,'[10]for slip'!$F:$BC,38,0)</f>
        <v>4704762</v>
      </c>
      <c r="P553" s="2">
        <f>VLOOKUP($C553,'[10]for slip'!$F:$BC,39,0)</f>
        <v>38000</v>
      </c>
      <c r="Q553" s="2">
        <f>VLOOKUP($C553,'[10]for slip'!$F:$BC,40,0)</f>
        <v>0</v>
      </c>
      <c r="R553" s="2">
        <f>VLOOKUP($C553,'[10]for slip'!$F:$BC,41,0)</f>
        <v>0</v>
      </c>
      <c r="S553" s="2">
        <f>VLOOKUP($C553,'[10]for slip'!$F:$BC,42,0)</f>
        <v>0</v>
      </c>
      <c r="T553" s="2">
        <f>VLOOKUP($C553,'[10]for slip'!$F:$BC,43,0)</f>
        <v>0</v>
      </c>
      <c r="U553" s="2">
        <f>VLOOKUP($C553,'[10]for slip'!$F:$BC,44,0)</f>
        <v>104000</v>
      </c>
      <c r="V553" s="2">
        <f>VLOOKUP($C553,'[10]for slip'!$F:$BC,45,0)</f>
        <v>52000</v>
      </c>
      <c r="W553" s="2">
        <f>VLOOKUP($C553,'[10]for slip'!$F:$BC,48,0)</f>
        <v>0</v>
      </c>
    </row>
    <row r="554" spans="1:23" x14ac:dyDescent="0.25">
      <c r="A554" s="1">
        <v>553</v>
      </c>
      <c r="B554" s="2" t="s">
        <v>1127</v>
      </c>
      <c r="C554" s="2" t="s">
        <v>1128</v>
      </c>
      <c r="D554" s="2" t="str">
        <f>VLOOKUP($C554,'[10]for slip'!$F:$BC,3,0)</f>
        <v>Sect Head</v>
      </c>
      <c r="E554" s="2" t="str">
        <f>VLOOKUP($C554,'[10]for slip'!$F:$BC,4,0)</f>
        <v>Prod Engineering</v>
      </c>
      <c r="F554" s="2">
        <f>VLOOKUP($C554,'[10]for slip'!$F:$BC,14,0)</f>
        <v>5956880</v>
      </c>
      <c r="G554" s="2">
        <f>VLOOKUP($C554,'[10]for slip'!$F:$BC,15,0)</f>
        <v>2000000</v>
      </c>
      <c r="H554" s="2">
        <f>VLOOKUP($C554,'[10]for slip'!$F:$BC,16,0)</f>
        <v>0</v>
      </c>
      <c r="I554" s="2">
        <f>VLOOKUP($C554,'[10]for slip'!$F:$BC,17,0)</f>
        <v>308880</v>
      </c>
      <c r="J554" s="2">
        <f>VLOOKUP($C554,'[10]for slip'!$F:$BC,27,0)</f>
        <v>0</v>
      </c>
      <c r="K554" s="2">
        <f>VLOOKUP($C554,'[10]for slip'!$F:$BC,31,0)</f>
        <v>0</v>
      </c>
      <c r="L554" s="2">
        <f>VLOOKUP($C554,'[10]for slip'!$F:$BC,35,0)</f>
        <v>136822.05683999995</v>
      </c>
      <c r="M554" s="2">
        <f>VLOOKUP($C554,'[10]for slip'!$F:$BC,36,0)</f>
        <v>0</v>
      </c>
      <c r="N554" s="2">
        <f>VLOOKUP($C554,'[10]for slip'!$F:$BC,37,0)</f>
        <v>0</v>
      </c>
      <c r="O554" s="2">
        <f>VLOOKUP($C554,'[10]for slip'!$F:$BC,38,0)</f>
        <v>0</v>
      </c>
      <c r="P554" s="2">
        <f>VLOOKUP($C554,'[10]for slip'!$F:$BC,39,0)</f>
        <v>38000</v>
      </c>
      <c r="Q554" s="2">
        <f>VLOOKUP($C554,'[10]for slip'!$F:$BC,40,0)</f>
        <v>31700</v>
      </c>
      <c r="R554" s="2">
        <f>VLOOKUP($C554,'[10]for slip'!$F:$BC,41,0)</f>
        <v>0</v>
      </c>
      <c r="S554" s="2">
        <f>VLOOKUP($C554,'[10]for slip'!$F:$BC,42,0)</f>
        <v>10000</v>
      </c>
      <c r="T554" s="2">
        <f>VLOOKUP($C554,'[10]for slip'!$F:$BC,43,0)</f>
        <v>72657.600000000006</v>
      </c>
      <c r="U554" s="2">
        <f>VLOOKUP($C554,'[10]for slip'!$F:$BC,44,0)</f>
        <v>165315.20000000001</v>
      </c>
      <c r="V554" s="2">
        <f>VLOOKUP($C554,'[10]for slip'!$F:$BC,45,0)</f>
        <v>82657.600000000006</v>
      </c>
      <c r="W554" s="2">
        <f>VLOOKUP($C554,'[10]for slip'!$F:$BC,48,0)</f>
        <v>136822.05683999995</v>
      </c>
    </row>
    <row r="555" spans="1:23" x14ac:dyDescent="0.25">
      <c r="A555" s="1">
        <v>554</v>
      </c>
      <c r="B555" s="2" t="s">
        <v>1129</v>
      </c>
      <c r="C555" s="2" t="s">
        <v>1130</v>
      </c>
      <c r="D555" s="2" t="str">
        <f>VLOOKUP($C555,'[10]for slip'!$F:$BC,3,0)</f>
        <v>Sect Head</v>
      </c>
      <c r="E555" s="2" t="str">
        <f>VLOOKUP($C555,'[10]for slip'!$F:$BC,4,0)</f>
        <v>Prod Engineering</v>
      </c>
      <c r="F555" s="2">
        <f>VLOOKUP($C555,'[10]for slip'!$F:$BC,14,0)</f>
        <v>6877020</v>
      </c>
      <c r="G555" s="2">
        <f>VLOOKUP($C555,'[10]for slip'!$F:$BC,15,0)</f>
        <v>1500000</v>
      </c>
      <c r="H555" s="2">
        <f>VLOOKUP($C555,'[10]for slip'!$F:$BC,16,0)</f>
        <v>0</v>
      </c>
      <c r="I555" s="2">
        <f>VLOOKUP($C555,'[10]for slip'!$F:$BC,17,0)</f>
        <v>122980</v>
      </c>
      <c r="J555" s="2">
        <f>VLOOKUP($C555,'[10]for slip'!$F:$BC,27,0)</f>
        <v>0</v>
      </c>
      <c r="K555" s="2">
        <f>VLOOKUP($C555,'[10]for slip'!$F:$BC,31,0)</f>
        <v>0</v>
      </c>
      <c r="L555" s="2">
        <f>VLOOKUP($C555,'[10]for slip'!$F:$BC,35,0)</f>
        <v>54913.539999999979</v>
      </c>
      <c r="M555" s="2">
        <f>VLOOKUP($C555,'[10]for slip'!$F:$BC,36,0)</f>
        <v>0</v>
      </c>
      <c r="N555" s="2">
        <f>VLOOKUP($C555,'[10]for slip'!$F:$BC,37,0)</f>
        <v>3</v>
      </c>
      <c r="O555" s="2">
        <f>VLOOKUP($C555,'[10]for slip'!$F:$BC,38,0)</f>
        <v>1214286</v>
      </c>
      <c r="P555" s="2">
        <f>VLOOKUP($C555,'[10]for slip'!$F:$BC,39,0)</f>
        <v>0</v>
      </c>
      <c r="Q555" s="2">
        <f>VLOOKUP($C555,'[10]for slip'!$F:$BC,40,0)</f>
        <v>31700</v>
      </c>
      <c r="R555" s="2">
        <f>VLOOKUP($C555,'[10]for slip'!$F:$BC,41,0)</f>
        <v>0</v>
      </c>
      <c r="S555" s="2">
        <f>VLOOKUP($C555,'[10]for slip'!$F:$BC,42,0)</f>
        <v>10000</v>
      </c>
      <c r="T555" s="2">
        <f>VLOOKUP($C555,'[10]for slip'!$F:$BC,43,0)</f>
        <v>85000</v>
      </c>
      <c r="U555" s="2">
        <f>VLOOKUP($C555,'[10]for slip'!$F:$BC,44,0)</f>
        <v>170000</v>
      </c>
      <c r="V555" s="2">
        <f>VLOOKUP($C555,'[10]for slip'!$F:$BC,45,0)</f>
        <v>85000</v>
      </c>
      <c r="W555" s="2">
        <f>VLOOKUP($C555,'[10]for slip'!$F:$BC,48,0)</f>
        <v>54913.539999999979</v>
      </c>
    </row>
    <row r="556" spans="1:23" x14ac:dyDescent="0.25">
      <c r="A556" s="1">
        <v>555</v>
      </c>
      <c r="B556" s="2" t="s">
        <v>1131</v>
      </c>
      <c r="C556" s="2" t="s">
        <v>1132</v>
      </c>
      <c r="D556" s="2" t="str">
        <f>VLOOKUP($C556,'[10]for slip'!$F:$BC,3,0)</f>
        <v>Specialist</v>
      </c>
      <c r="E556" s="2" t="str">
        <f>VLOOKUP($C556,'[10]for slip'!$F:$BC,4,0)</f>
        <v>Prod Engineering</v>
      </c>
      <c r="F556" s="2">
        <f>VLOOKUP($C556,'[10]for slip'!$F:$BC,14,0)</f>
        <v>5343083</v>
      </c>
      <c r="G556" s="2">
        <f>VLOOKUP($C556,'[10]for slip'!$F:$BC,15,0)</f>
        <v>500000</v>
      </c>
      <c r="H556" s="2">
        <f>VLOOKUP($C556,'[10]for slip'!$F:$BC,16,0)</f>
        <v>443194</v>
      </c>
      <c r="I556" s="2">
        <f>VLOOKUP($C556,'[10]for slip'!$F:$BC,17,0)</f>
        <v>213723</v>
      </c>
      <c r="J556" s="2">
        <f>VLOOKUP($C556,'[10]for slip'!$F:$BC,27,0)</f>
        <v>0</v>
      </c>
      <c r="K556" s="2">
        <f>VLOOKUP($C556,'[10]for slip'!$F:$BC,31,0)</f>
        <v>0</v>
      </c>
      <c r="L556" s="2">
        <f>VLOOKUP($C556,'[10]for slip'!$F:$BC,35,0)</f>
        <v>70919.556400000001</v>
      </c>
      <c r="M556" s="2">
        <f>VLOOKUP($C556,'[10]for slip'!$F:$BC,36,0)</f>
        <v>0</v>
      </c>
      <c r="N556" s="2">
        <f>VLOOKUP($C556,'[10]for slip'!$F:$BC,37,0)</f>
        <v>0</v>
      </c>
      <c r="O556" s="2">
        <f>VLOOKUP($C556,'[10]for slip'!$F:$BC,38,0)</f>
        <v>0</v>
      </c>
      <c r="P556" s="2">
        <f>VLOOKUP($C556,'[10]for slip'!$F:$BC,39,0)</f>
        <v>38000</v>
      </c>
      <c r="Q556" s="2">
        <f>VLOOKUP($C556,'[10]for slip'!$F:$BC,40,0)</f>
        <v>0</v>
      </c>
      <c r="R556" s="2">
        <f>VLOOKUP($C556,'[10]for slip'!$F:$BC,41,0)</f>
        <v>0</v>
      </c>
      <c r="S556" s="2">
        <f>VLOOKUP($C556,'[10]for slip'!$F:$BC,42,0)</f>
        <v>0</v>
      </c>
      <c r="T556" s="2">
        <f>VLOOKUP($C556,'[10]for slip'!$F:$BC,43,0)</f>
        <v>60568.06</v>
      </c>
      <c r="U556" s="2">
        <f>VLOOKUP($C556,'[10]for slip'!$F:$BC,44,0)</f>
        <v>130000</v>
      </c>
      <c r="V556" s="2">
        <f>VLOOKUP($C556,'[10]for slip'!$F:$BC,45,0)</f>
        <v>65000</v>
      </c>
      <c r="W556" s="2">
        <f>VLOOKUP($C556,'[10]for slip'!$F:$BC,48,0)</f>
        <v>70919.556400000001</v>
      </c>
    </row>
    <row r="557" spans="1:23" x14ac:dyDescent="0.25">
      <c r="A557" s="1">
        <v>556</v>
      </c>
      <c r="B557" s="2" t="s">
        <v>1133</v>
      </c>
      <c r="C557" s="2" t="s">
        <v>1134</v>
      </c>
      <c r="D557" s="2" t="str">
        <f>VLOOKUP($C557,'[10]for slip'!$F:$BC,3,0)</f>
        <v>Leader</v>
      </c>
      <c r="E557" s="2" t="str">
        <f>VLOOKUP($C557,'[10]for slip'!$F:$BC,4,0)</f>
        <v>Prod Engineering</v>
      </c>
      <c r="F557" s="2">
        <f>VLOOKUP($C557,'[10]for slip'!$F:$BC,14,0)</f>
        <v>5343083</v>
      </c>
      <c r="G557" s="2">
        <f>VLOOKUP($C557,'[10]for slip'!$F:$BC,15,0)</f>
        <v>500000</v>
      </c>
      <c r="H557" s="2">
        <f>VLOOKUP($C557,'[10]for slip'!$F:$BC,16,0)</f>
        <v>281177</v>
      </c>
      <c r="I557" s="2">
        <f>VLOOKUP($C557,'[10]for slip'!$F:$BC,17,0)</f>
        <v>0</v>
      </c>
      <c r="J557" s="2">
        <f>VLOOKUP($C557,'[10]for slip'!$F:$BC,27,0)</f>
        <v>0</v>
      </c>
      <c r="K557" s="2">
        <f>VLOOKUP($C557,'[10]for slip'!$F:$BC,31,0)</f>
        <v>0</v>
      </c>
      <c r="L557" s="2">
        <f>VLOOKUP($C557,'[10]for slip'!$F:$BC,35,0)</f>
        <v>34637.397179285683</v>
      </c>
      <c r="M557" s="2">
        <f>VLOOKUP($C557,'[10]for slip'!$F:$BC,36,0)</f>
        <v>0</v>
      </c>
      <c r="N557" s="2">
        <f>VLOOKUP($C557,'[10]for slip'!$F:$BC,37,0)</f>
        <v>0</v>
      </c>
      <c r="O557" s="2">
        <f>VLOOKUP($C557,'[10]for slip'!$F:$BC,38,0)</f>
        <v>0</v>
      </c>
      <c r="P557" s="2">
        <f>VLOOKUP($C557,'[10]for slip'!$F:$BC,39,0)</f>
        <v>38000</v>
      </c>
      <c r="Q557" s="2">
        <f>VLOOKUP($C557,'[10]for slip'!$F:$BC,40,0)</f>
        <v>31700</v>
      </c>
      <c r="R557" s="2">
        <f>VLOOKUP($C557,'[10]for slip'!$F:$BC,41,0)</f>
        <v>0</v>
      </c>
      <c r="S557" s="2">
        <f>VLOOKUP($C557,'[10]for slip'!$F:$BC,42,0)</f>
        <v>0</v>
      </c>
      <c r="T557" s="2">
        <f>VLOOKUP($C557,'[10]for slip'!$F:$BC,43,0)</f>
        <v>60528.314285714281</v>
      </c>
      <c r="U557" s="2">
        <f>VLOOKUP($C557,'[10]for slip'!$F:$BC,44,0)</f>
        <v>122485.2</v>
      </c>
      <c r="V557" s="2">
        <f>VLOOKUP($C557,'[10]for slip'!$F:$BC,45,0)</f>
        <v>61242.6</v>
      </c>
      <c r="W557" s="2">
        <f>VLOOKUP($C557,'[10]for slip'!$F:$BC,48,0)</f>
        <v>34637.397179285683</v>
      </c>
    </row>
    <row r="558" spans="1:23" x14ac:dyDescent="0.25">
      <c r="A558" s="1">
        <v>557</v>
      </c>
      <c r="B558" s="2" t="s">
        <v>1135</v>
      </c>
      <c r="C558" s="2" t="s">
        <v>1136</v>
      </c>
      <c r="D558" s="2" t="str">
        <f>VLOOKUP($C558,'[10]for slip'!$F:$BC,3,0)</f>
        <v>Pelaksana</v>
      </c>
      <c r="E558" s="2" t="str">
        <f>VLOOKUP($C558,'[10]for slip'!$F:$BC,4,0)</f>
        <v>Prod Engineering</v>
      </c>
      <c r="F558" s="2">
        <f>VLOOKUP($C558,'[10]for slip'!$F:$BC,14,0)</f>
        <v>5343083</v>
      </c>
      <c r="G558" s="2">
        <f>VLOOKUP($C558,'[10]for slip'!$F:$BC,15,0)</f>
        <v>0</v>
      </c>
      <c r="H558" s="2">
        <f>VLOOKUP($C558,'[10]for slip'!$F:$BC,16,0)</f>
        <v>0</v>
      </c>
      <c r="I558" s="2">
        <f>VLOOKUP($C558,'[10]for slip'!$F:$BC,17,0)</f>
        <v>145814</v>
      </c>
      <c r="J558" s="2">
        <f>VLOOKUP($C558,'[10]for slip'!$F:$BC,27,0)</f>
        <v>0</v>
      </c>
      <c r="K558" s="2">
        <f>VLOOKUP($C558,'[10]for slip'!$F:$BC,31,0)</f>
        <v>0</v>
      </c>
      <c r="L558" s="2">
        <f>VLOOKUP($C558,'[10]for slip'!$F:$BC,35,0)</f>
        <v>0</v>
      </c>
      <c r="M558" s="2">
        <f>VLOOKUP($C558,'[10]for slip'!$F:$BC,36,0)</f>
        <v>0</v>
      </c>
      <c r="N558" s="2">
        <f>VLOOKUP($C558,'[10]for slip'!$F:$BC,37,0)</f>
        <v>0</v>
      </c>
      <c r="O558" s="2">
        <f>VLOOKUP($C558,'[10]for slip'!$F:$BC,38,0)</f>
        <v>0</v>
      </c>
      <c r="P558" s="2">
        <f>VLOOKUP($C558,'[10]for slip'!$F:$BC,39,0)</f>
        <v>0</v>
      </c>
      <c r="Q558" s="2">
        <f>VLOOKUP($C558,'[10]for slip'!$F:$BC,40,0)</f>
        <v>31700</v>
      </c>
      <c r="R558" s="2">
        <f>VLOOKUP($C558,'[10]for slip'!$F:$BC,41,0)</f>
        <v>0</v>
      </c>
      <c r="S558" s="2">
        <f>VLOOKUP($C558,'[10]for slip'!$F:$BC,42,0)</f>
        <v>0</v>
      </c>
      <c r="T558" s="2">
        <f>VLOOKUP($C558,'[10]for slip'!$F:$BC,43,0)</f>
        <v>54888.97</v>
      </c>
      <c r="U558" s="2">
        <f>VLOOKUP($C558,'[10]for slip'!$F:$BC,44,0)</f>
        <v>109777.94</v>
      </c>
      <c r="V558" s="2">
        <f>VLOOKUP($C558,'[10]for slip'!$F:$BC,45,0)</f>
        <v>54888.97</v>
      </c>
      <c r="W558" s="2">
        <f>VLOOKUP($C558,'[10]for slip'!$F:$BC,48,0)</f>
        <v>0</v>
      </c>
    </row>
    <row r="559" spans="1:23" x14ac:dyDescent="0.25">
      <c r="A559" s="1">
        <v>558</v>
      </c>
      <c r="B559" s="2" t="s">
        <v>1137</v>
      </c>
      <c r="C559" s="2" t="s">
        <v>1138</v>
      </c>
      <c r="D559" s="2" t="str">
        <f>VLOOKUP($C559,'[10]for slip'!$F:$BC,3,0)</f>
        <v>Pelaksana</v>
      </c>
      <c r="E559" s="2" t="str">
        <f>VLOOKUP($C559,'[10]for slip'!$F:$BC,4,0)</f>
        <v>Prod Engineering</v>
      </c>
      <c r="F559" s="2">
        <f>VLOOKUP($C559,'[10]for slip'!$F:$BC,14,0)</f>
        <v>5343083</v>
      </c>
      <c r="G559" s="2">
        <f>VLOOKUP($C559,'[10]for slip'!$F:$BC,15,0)</f>
        <v>0</v>
      </c>
      <c r="H559" s="2">
        <f>VLOOKUP($C559,'[10]for slip'!$F:$BC,16,0)</f>
        <v>0</v>
      </c>
      <c r="I559" s="2">
        <f>VLOOKUP($C559,'[10]for slip'!$F:$BC,17,0)</f>
        <v>0</v>
      </c>
      <c r="J559" s="2">
        <f>VLOOKUP($C559,'[10]for slip'!$F:$BC,27,0)</f>
        <v>0</v>
      </c>
      <c r="K559" s="2">
        <f>VLOOKUP($C559,'[10]for slip'!$F:$BC,31,0)</f>
        <v>0</v>
      </c>
      <c r="L559" s="2">
        <f>VLOOKUP($C559,'[10]for slip'!$F:$BC,35,0)</f>
        <v>34354.584590750004</v>
      </c>
      <c r="M559" s="2">
        <f>VLOOKUP($C559,'[10]for slip'!$F:$BC,36,0)</f>
        <v>0</v>
      </c>
      <c r="N559" s="2">
        <f>VLOOKUP($C559,'[10]for slip'!$F:$BC,37,0)</f>
        <v>0</v>
      </c>
      <c r="O559" s="2">
        <f>VLOOKUP($C559,'[10]for slip'!$F:$BC,38,0)</f>
        <v>0</v>
      </c>
      <c r="P559" s="2">
        <f>VLOOKUP($C559,'[10]for slip'!$F:$BC,39,0)</f>
        <v>38000</v>
      </c>
      <c r="Q559" s="2">
        <f>VLOOKUP($C559,'[10]for slip'!$F:$BC,40,0)</f>
        <v>31700</v>
      </c>
      <c r="R559" s="2">
        <f>VLOOKUP($C559,'[10]for slip'!$F:$BC,41,0)</f>
        <v>0</v>
      </c>
      <c r="S559" s="2">
        <f>VLOOKUP($C559,'[10]for slip'!$F:$BC,42,0)</f>
        <v>0</v>
      </c>
      <c r="T559" s="2">
        <f>VLOOKUP($C559,'[10]for slip'!$F:$BC,43,0)</f>
        <v>53430.83</v>
      </c>
      <c r="U559" s="2">
        <f>VLOOKUP($C559,'[10]for slip'!$F:$BC,44,0)</f>
        <v>106861.66</v>
      </c>
      <c r="V559" s="2">
        <f>VLOOKUP($C559,'[10]for slip'!$F:$BC,45,0)</f>
        <v>53430.83</v>
      </c>
      <c r="W559" s="2">
        <f>VLOOKUP($C559,'[10]for slip'!$F:$BC,48,0)</f>
        <v>34354.584590750004</v>
      </c>
    </row>
    <row r="560" spans="1:23" x14ac:dyDescent="0.25">
      <c r="A560" s="1">
        <v>559</v>
      </c>
      <c r="B560" s="2" t="s">
        <v>1139</v>
      </c>
      <c r="C560" s="2" t="s">
        <v>1140</v>
      </c>
      <c r="D560" s="2" t="str">
        <f>VLOOKUP($C560,'[10]for slip'!$F:$BC,3,0)</f>
        <v>Pelaksana</v>
      </c>
      <c r="E560" s="2" t="str">
        <f>VLOOKUP($C560,'[10]for slip'!$F:$BC,4,0)</f>
        <v>Prod Engineering</v>
      </c>
      <c r="F560" s="2">
        <f>VLOOKUP($C560,'[10]for slip'!$F:$BC,14,0)</f>
        <v>5343083</v>
      </c>
      <c r="G560" s="2">
        <f>VLOOKUP($C560,'[10]for slip'!$F:$BC,15,0)</f>
        <v>0</v>
      </c>
      <c r="H560" s="2">
        <f>VLOOKUP($C560,'[10]for slip'!$F:$BC,16,0)</f>
        <v>0</v>
      </c>
      <c r="I560" s="2">
        <f>VLOOKUP($C560,'[10]for slip'!$F:$BC,17,0)</f>
        <v>0</v>
      </c>
      <c r="J560" s="2">
        <f>VLOOKUP($C560,'[10]for slip'!$F:$BC,27,0)</f>
        <v>0</v>
      </c>
      <c r="K560" s="2">
        <f>VLOOKUP($C560,'[10]for slip'!$F:$BC,31,0)</f>
        <v>0</v>
      </c>
      <c r="L560" s="2">
        <f>VLOOKUP($C560,'[10]for slip'!$F:$BC,35,0)</f>
        <v>34354.584590750004</v>
      </c>
      <c r="M560" s="2">
        <f>VLOOKUP($C560,'[10]for slip'!$F:$BC,36,0)</f>
        <v>0</v>
      </c>
      <c r="N560" s="2">
        <f>VLOOKUP($C560,'[10]for slip'!$F:$BC,37,0)</f>
        <v>0</v>
      </c>
      <c r="O560" s="2">
        <f>VLOOKUP($C560,'[10]for slip'!$F:$BC,38,0)</f>
        <v>0</v>
      </c>
      <c r="P560" s="2">
        <f>VLOOKUP($C560,'[10]for slip'!$F:$BC,39,0)</f>
        <v>0</v>
      </c>
      <c r="Q560" s="2">
        <f>VLOOKUP($C560,'[10]for slip'!$F:$BC,40,0)</f>
        <v>31700</v>
      </c>
      <c r="R560" s="2">
        <f>VLOOKUP($C560,'[10]for slip'!$F:$BC,41,0)</f>
        <v>0</v>
      </c>
      <c r="S560" s="2">
        <f>VLOOKUP($C560,'[10]for slip'!$F:$BC,42,0)</f>
        <v>0</v>
      </c>
      <c r="T560" s="2">
        <f>VLOOKUP($C560,'[10]for slip'!$F:$BC,43,0)</f>
        <v>53430.83</v>
      </c>
      <c r="U560" s="2">
        <f>VLOOKUP($C560,'[10]for slip'!$F:$BC,44,0)</f>
        <v>106861.66</v>
      </c>
      <c r="V560" s="2">
        <f>VLOOKUP($C560,'[10]for slip'!$F:$BC,45,0)</f>
        <v>53430.83</v>
      </c>
      <c r="W560" s="2">
        <f>VLOOKUP($C560,'[10]for slip'!$F:$BC,48,0)</f>
        <v>34354.584590750004</v>
      </c>
    </row>
    <row r="561" spans="1:23" x14ac:dyDescent="0.25">
      <c r="A561" s="1">
        <v>560</v>
      </c>
      <c r="B561" s="2" t="s">
        <v>1141</v>
      </c>
      <c r="C561" s="2" t="s">
        <v>1142</v>
      </c>
      <c r="D561" s="2" t="str">
        <f>VLOOKUP($C561,'[10]for slip'!$F:$BC,3,0)</f>
        <v>Staff</v>
      </c>
      <c r="E561" s="2" t="str">
        <f>VLOOKUP($C561,'[10]for slip'!$F:$BC,4,0)</f>
        <v>Prod Engineering</v>
      </c>
      <c r="F561" s="2">
        <f>VLOOKUP($C561,'[10]for slip'!$F:$BC,14,0)</f>
        <v>5343083</v>
      </c>
      <c r="G561" s="2">
        <f>VLOOKUP($C561,'[10]for slip'!$F:$BC,15,0)</f>
        <v>0</v>
      </c>
      <c r="H561" s="2">
        <f>VLOOKUP($C561,'[10]for slip'!$F:$BC,16,0)</f>
        <v>310300</v>
      </c>
      <c r="I561" s="2">
        <f>VLOOKUP($C561,'[10]for slip'!$F:$BC,17,0)</f>
        <v>160292</v>
      </c>
      <c r="J561" s="2">
        <f>VLOOKUP($C561,'[10]for slip'!$F:$BC,27,0)</f>
        <v>0</v>
      </c>
      <c r="K561" s="2">
        <f>VLOOKUP($C561,'[10]for slip'!$F:$BC,31,0)</f>
        <v>0</v>
      </c>
      <c r="L561" s="2">
        <f>VLOOKUP($C561,'[10]for slip'!$F:$BC,35,0)</f>
        <v>56607.667918749969</v>
      </c>
      <c r="M561" s="2">
        <f>VLOOKUP($C561,'[10]for slip'!$F:$BC,36,0)</f>
        <v>0</v>
      </c>
      <c r="N561" s="2">
        <f>VLOOKUP($C561,'[10]for slip'!$F:$BC,37,0)</f>
        <v>0</v>
      </c>
      <c r="O561" s="2">
        <f>VLOOKUP($C561,'[10]for slip'!$F:$BC,38,0)</f>
        <v>0</v>
      </c>
      <c r="P561" s="2">
        <f>VLOOKUP($C561,'[10]for slip'!$F:$BC,39,0)</f>
        <v>38000</v>
      </c>
      <c r="Q561" s="2">
        <f>VLOOKUP($C561,'[10]for slip'!$F:$BC,40,0)</f>
        <v>31700</v>
      </c>
      <c r="R561" s="2">
        <f>VLOOKUP($C561,'[10]for slip'!$F:$BC,41,0)</f>
        <v>0</v>
      </c>
      <c r="S561" s="2">
        <f>VLOOKUP($C561,'[10]for slip'!$F:$BC,42,0)</f>
        <v>0</v>
      </c>
      <c r="T561" s="2">
        <f>VLOOKUP($C561,'[10]for slip'!$F:$BC,43,0)</f>
        <v>55033.75</v>
      </c>
      <c r="U561" s="2">
        <f>VLOOKUP($C561,'[10]for slip'!$F:$BC,44,0)</f>
        <v>116273.5</v>
      </c>
      <c r="V561" s="2">
        <f>VLOOKUP($C561,'[10]for slip'!$F:$BC,45,0)</f>
        <v>58136.75</v>
      </c>
      <c r="W561" s="2">
        <f>VLOOKUP($C561,'[10]for slip'!$F:$BC,48,0)</f>
        <v>56607.667918749969</v>
      </c>
    </row>
    <row r="562" spans="1:23" x14ac:dyDescent="0.25">
      <c r="A562" s="1">
        <v>561</v>
      </c>
      <c r="B562" s="2" t="s">
        <v>1143</v>
      </c>
      <c r="C562" s="2" t="s">
        <v>1144</v>
      </c>
      <c r="D562" s="2" t="str">
        <f>VLOOKUP($C562,'[10]for slip'!$F:$BC,3,0)</f>
        <v>Pelaksana</v>
      </c>
      <c r="E562" s="2" t="str">
        <f>VLOOKUP($C562,'[10]for slip'!$F:$BC,4,0)</f>
        <v>Prod Engineering</v>
      </c>
      <c r="F562" s="2">
        <f>VLOOKUP($C562,'[10]for slip'!$F:$BC,14,0)</f>
        <v>5343083</v>
      </c>
      <c r="G562" s="2">
        <f>VLOOKUP($C562,'[10]for slip'!$F:$BC,15,0)</f>
        <v>0</v>
      </c>
      <c r="H562" s="2">
        <f>VLOOKUP($C562,'[10]for slip'!$F:$BC,16,0)</f>
        <v>0</v>
      </c>
      <c r="I562" s="2">
        <f>VLOOKUP($C562,'[10]for slip'!$F:$BC,17,0)</f>
        <v>0</v>
      </c>
      <c r="J562" s="2">
        <f>VLOOKUP($C562,'[10]for slip'!$F:$BC,27,0)</f>
        <v>0</v>
      </c>
      <c r="K562" s="2">
        <f>VLOOKUP($C562,'[10]for slip'!$F:$BC,31,0)</f>
        <v>0</v>
      </c>
      <c r="L562" s="2">
        <f>VLOOKUP($C562,'[10]for slip'!$F:$BC,35,0)</f>
        <v>0</v>
      </c>
      <c r="M562" s="2">
        <f>VLOOKUP($C562,'[10]for slip'!$F:$BC,36,0)</f>
        <v>0</v>
      </c>
      <c r="N562" s="2">
        <f>VLOOKUP($C562,'[10]for slip'!$F:$BC,37,0)</f>
        <v>0</v>
      </c>
      <c r="O562" s="2">
        <f>VLOOKUP($C562,'[10]for slip'!$F:$BC,38,0)</f>
        <v>0</v>
      </c>
      <c r="P562" s="2">
        <f>VLOOKUP($C562,'[10]for slip'!$F:$BC,39,0)</f>
        <v>38000</v>
      </c>
      <c r="Q562" s="2">
        <f>VLOOKUP($C562,'[10]for slip'!$F:$BC,40,0)</f>
        <v>31700</v>
      </c>
      <c r="R562" s="2">
        <f>VLOOKUP($C562,'[10]for slip'!$F:$BC,41,0)</f>
        <v>0</v>
      </c>
      <c r="S562" s="2">
        <f>VLOOKUP($C562,'[10]for slip'!$F:$BC,42,0)</f>
        <v>10000</v>
      </c>
      <c r="T562" s="2">
        <f>VLOOKUP($C562,'[10]for slip'!$F:$BC,43,0)</f>
        <v>53430.83</v>
      </c>
      <c r="U562" s="2">
        <f>VLOOKUP($C562,'[10]for slip'!$F:$BC,44,0)</f>
        <v>106861.66</v>
      </c>
      <c r="V562" s="2">
        <f>VLOOKUP($C562,'[10]for slip'!$F:$BC,45,0)</f>
        <v>53430.83</v>
      </c>
      <c r="W562" s="2">
        <f>VLOOKUP($C562,'[10]for slip'!$F:$BC,48,0)</f>
        <v>0</v>
      </c>
    </row>
    <row r="563" spans="1:23" x14ac:dyDescent="0.25">
      <c r="A563" s="1">
        <v>562</v>
      </c>
      <c r="B563" s="2" t="s">
        <v>1145</v>
      </c>
      <c r="C563" s="2" t="s">
        <v>1146</v>
      </c>
      <c r="D563" s="2" t="str">
        <f>VLOOKUP($C563,'[10]for slip'!$F:$BC,3,0)</f>
        <v>Staff</v>
      </c>
      <c r="E563" s="2" t="str">
        <f>VLOOKUP($C563,'[10]for slip'!$F:$BC,4,0)</f>
        <v>Prod Engineering</v>
      </c>
      <c r="F563" s="2">
        <f>VLOOKUP($C563,'[10]for slip'!$F:$BC,14,0)</f>
        <v>5343083</v>
      </c>
      <c r="G563" s="2">
        <f>VLOOKUP($C563,'[10]for slip'!$F:$BC,15,0)</f>
        <v>0</v>
      </c>
      <c r="H563" s="2">
        <f>VLOOKUP($C563,'[10]for slip'!$F:$BC,16,0)</f>
        <v>310300</v>
      </c>
      <c r="I563" s="2">
        <f>VLOOKUP($C563,'[10]for slip'!$F:$BC,17,0)</f>
        <v>0</v>
      </c>
      <c r="J563" s="2">
        <f>VLOOKUP($C563,'[10]for slip'!$F:$BC,27,0)</f>
        <v>0</v>
      </c>
      <c r="K563" s="2">
        <f>VLOOKUP($C563,'[10]for slip'!$F:$BC,31,0)</f>
        <v>0</v>
      </c>
      <c r="L563" s="2">
        <f>VLOOKUP($C563,'[10]for slip'!$F:$BC,35,0)</f>
        <v>48989.124165749985</v>
      </c>
      <c r="M563" s="2">
        <f>VLOOKUP($C563,'[10]for slip'!$F:$BC,36,0)</f>
        <v>0</v>
      </c>
      <c r="N563" s="2">
        <f>VLOOKUP($C563,'[10]for slip'!$F:$BC,37,0)</f>
        <v>0</v>
      </c>
      <c r="O563" s="2">
        <f>VLOOKUP($C563,'[10]for slip'!$F:$BC,38,0)</f>
        <v>0</v>
      </c>
      <c r="P563" s="2">
        <f>VLOOKUP($C563,'[10]for slip'!$F:$BC,39,0)</f>
        <v>38000</v>
      </c>
      <c r="Q563" s="2">
        <f>VLOOKUP($C563,'[10]for slip'!$F:$BC,40,0)</f>
        <v>31700</v>
      </c>
      <c r="R563" s="2">
        <f>VLOOKUP($C563,'[10]for slip'!$F:$BC,41,0)</f>
        <v>0</v>
      </c>
      <c r="S563" s="2">
        <f>VLOOKUP($C563,'[10]for slip'!$F:$BC,42,0)</f>
        <v>0</v>
      </c>
      <c r="T563" s="2">
        <f>VLOOKUP($C563,'[10]for slip'!$F:$BC,43,0)</f>
        <v>54283.83</v>
      </c>
      <c r="U563" s="2">
        <f>VLOOKUP($C563,'[10]for slip'!$F:$BC,44,0)</f>
        <v>113067.66</v>
      </c>
      <c r="V563" s="2">
        <f>VLOOKUP($C563,'[10]for slip'!$F:$BC,45,0)</f>
        <v>56533.83</v>
      </c>
      <c r="W563" s="2">
        <f>VLOOKUP($C563,'[10]for slip'!$F:$BC,48,0)</f>
        <v>48989.124165749985</v>
      </c>
    </row>
    <row r="564" spans="1:23" x14ac:dyDescent="0.25">
      <c r="A564" s="1">
        <v>563</v>
      </c>
      <c r="B564" s="2" t="s">
        <v>1147</v>
      </c>
      <c r="C564" s="2" t="s">
        <v>1148</v>
      </c>
      <c r="D564" s="2" t="str">
        <f>VLOOKUP($C564,'[10]for slip'!$F:$BC,3,0)</f>
        <v>Staff</v>
      </c>
      <c r="E564" s="2" t="str">
        <f>VLOOKUP($C564,'[10]for slip'!$F:$BC,4,0)</f>
        <v>Prod Engineering</v>
      </c>
      <c r="F564" s="2">
        <f>VLOOKUP($C564,'[10]for slip'!$F:$BC,14,0)</f>
        <v>5343083</v>
      </c>
      <c r="G564" s="2">
        <f>VLOOKUP($C564,'[10]for slip'!$F:$BC,15,0)</f>
        <v>0</v>
      </c>
      <c r="H564" s="2">
        <f>VLOOKUP($C564,'[10]for slip'!$F:$BC,16,0)</f>
        <v>225000</v>
      </c>
      <c r="I564" s="2">
        <f>VLOOKUP($C564,'[10]for slip'!$F:$BC,17,0)</f>
        <v>0</v>
      </c>
      <c r="J564" s="2">
        <f>VLOOKUP($C564,'[10]for slip'!$F:$BC,27,0)</f>
        <v>0</v>
      </c>
      <c r="K564" s="2">
        <f>VLOOKUP($C564,'[10]for slip'!$F:$BC,31,0)</f>
        <v>0</v>
      </c>
      <c r="L564" s="2">
        <f>VLOOKUP($C564,'[10]for slip'!$F:$BC,35,0)</f>
        <v>44848.640840749977</v>
      </c>
      <c r="M564" s="2">
        <f>VLOOKUP($C564,'[10]for slip'!$F:$BC,36,0)</f>
        <v>0</v>
      </c>
      <c r="N564" s="2">
        <f>VLOOKUP($C564,'[10]for slip'!$F:$BC,37,0)</f>
        <v>0</v>
      </c>
      <c r="O564" s="2">
        <f>VLOOKUP($C564,'[10]for slip'!$F:$BC,38,0)</f>
        <v>0</v>
      </c>
      <c r="P564" s="2">
        <f>VLOOKUP($C564,'[10]for slip'!$F:$BC,39,0)</f>
        <v>0</v>
      </c>
      <c r="Q564" s="2">
        <f>VLOOKUP($C564,'[10]for slip'!$F:$BC,40,0)</f>
        <v>31700</v>
      </c>
      <c r="R564" s="2">
        <f>VLOOKUP($C564,'[10]for slip'!$F:$BC,41,0)</f>
        <v>0</v>
      </c>
      <c r="S564" s="2">
        <f>VLOOKUP($C564,'[10]for slip'!$F:$BC,42,0)</f>
        <v>0</v>
      </c>
      <c r="T564" s="2">
        <f>VLOOKUP($C564,'[10]for slip'!$F:$BC,43,0)</f>
        <v>53430.83</v>
      </c>
      <c r="U564" s="2">
        <f>VLOOKUP($C564,'[10]for slip'!$F:$BC,44,0)</f>
        <v>111361.66</v>
      </c>
      <c r="V564" s="2">
        <f>VLOOKUP($C564,'[10]for slip'!$F:$BC,45,0)</f>
        <v>55680.83</v>
      </c>
      <c r="W564" s="2">
        <f>VLOOKUP($C564,'[10]for slip'!$F:$BC,48,0)</f>
        <v>44848.640840749977</v>
      </c>
    </row>
    <row r="565" spans="1:23" x14ac:dyDescent="0.25">
      <c r="A565" s="1">
        <v>564</v>
      </c>
      <c r="B565" s="2" t="s">
        <v>1149</v>
      </c>
      <c r="C565" s="2" t="s">
        <v>1150</v>
      </c>
      <c r="D565" s="2" t="str">
        <f>VLOOKUP($C565,'[10]for slip'!$F:$BC,3,0)</f>
        <v>Pelaksana</v>
      </c>
      <c r="E565" s="2" t="str">
        <f>VLOOKUP($C565,'[10]for slip'!$F:$BC,4,0)</f>
        <v>Prod Engineering</v>
      </c>
      <c r="F565" s="2">
        <f>VLOOKUP($C565,'[10]for slip'!$F:$BC,14,0)</f>
        <v>5343083</v>
      </c>
      <c r="G565" s="2">
        <f>VLOOKUP($C565,'[10]for slip'!$F:$BC,15,0)</f>
        <v>0</v>
      </c>
      <c r="H565" s="2">
        <f>VLOOKUP($C565,'[10]for slip'!$F:$BC,16,0)</f>
        <v>0</v>
      </c>
      <c r="I565" s="2">
        <f>VLOOKUP($C565,'[10]for slip'!$F:$BC,17,0)</f>
        <v>0</v>
      </c>
      <c r="J565" s="2">
        <f>VLOOKUP($C565,'[10]for slip'!$F:$BC,27,0)</f>
        <v>0</v>
      </c>
      <c r="K565" s="2">
        <f>VLOOKUP($C565,'[10]for slip'!$F:$BC,31,0)</f>
        <v>0</v>
      </c>
      <c r="L565" s="2">
        <f>VLOOKUP($C565,'[10]for slip'!$F:$BC,35,0)</f>
        <v>34354.584590750004</v>
      </c>
      <c r="M565" s="2">
        <f>VLOOKUP($C565,'[10]for slip'!$F:$BC,36,0)</f>
        <v>0</v>
      </c>
      <c r="N565" s="2">
        <f>VLOOKUP($C565,'[10]for slip'!$F:$BC,37,0)</f>
        <v>0</v>
      </c>
      <c r="O565" s="2">
        <f>VLOOKUP($C565,'[10]for slip'!$F:$BC,38,0)</f>
        <v>0</v>
      </c>
      <c r="P565" s="2">
        <f>VLOOKUP($C565,'[10]for slip'!$F:$BC,39,0)</f>
        <v>38000</v>
      </c>
      <c r="Q565" s="2">
        <f>VLOOKUP($C565,'[10]for slip'!$F:$BC,40,0)</f>
        <v>31700</v>
      </c>
      <c r="R565" s="2">
        <f>VLOOKUP($C565,'[10]for slip'!$F:$BC,41,0)</f>
        <v>0</v>
      </c>
      <c r="S565" s="2">
        <f>VLOOKUP($C565,'[10]for slip'!$F:$BC,42,0)</f>
        <v>0</v>
      </c>
      <c r="T565" s="2">
        <f>VLOOKUP($C565,'[10]for slip'!$F:$BC,43,0)</f>
        <v>53430.83</v>
      </c>
      <c r="U565" s="2">
        <f>VLOOKUP($C565,'[10]for slip'!$F:$BC,44,0)</f>
        <v>106861.66</v>
      </c>
      <c r="V565" s="2">
        <f>VLOOKUP($C565,'[10]for slip'!$F:$BC,45,0)</f>
        <v>53430.83</v>
      </c>
      <c r="W565" s="2">
        <f>VLOOKUP($C565,'[10]for slip'!$F:$BC,48,0)</f>
        <v>34354.584590750004</v>
      </c>
    </row>
    <row r="566" spans="1:23" x14ac:dyDescent="0.25">
      <c r="A566" s="1">
        <v>565</v>
      </c>
      <c r="B566" s="2" t="s">
        <v>1151</v>
      </c>
      <c r="C566" s="2" t="s">
        <v>1152</v>
      </c>
      <c r="D566" s="2" t="str">
        <f>VLOOKUP($C566,'[10]for slip'!$F:$BC,3,0)</f>
        <v>Staff</v>
      </c>
      <c r="E566" s="2" t="str">
        <f>VLOOKUP($C566,'[10]for slip'!$F:$BC,4,0)</f>
        <v>Prod Engineering</v>
      </c>
      <c r="F566" s="2">
        <f>VLOOKUP($C566,'[10]for slip'!$F:$BC,14,0)</f>
        <v>5343083</v>
      </c>
      <c r="G566" s="2">
        <f>VLOOKUP($C566,'[10]for slip'!$F:$BC,15,0)</f>
        <v>0</v>
      </c>
      <c r="H566" s="2">
        <f>VLOOKUP($C566,'[10]for slip'!$F:$BC,16,0)</f>
        <v>0</v>
      </c>
      <c r="I566" s="2">
        <f>VLOOKUP($C566,'[10]for slip'!$F:$BC,17,0)</f>
        <v>0</v>
      </c>
      <c r="J566" s="2">
        <f>VLOOKUP($C566,'[10]for slip'!$F:$BC,27,0)</f>
        <v>0</v>
      </c>
      <c r="K566" s="2">
        <f>VLOOKUP($C566,'[10]for slip'!$F:$BC,31,0)</f>
        <v>0</v>
      </c>
      <c r="L566" s="2">
        <f>VLOOKUP($C566,'[10]for slip'!$F:$BC,35,0)</f>
        <v>34354.584590750004</v>
      </c>
      <c r="M566" s="2">
        <f>VLOOKUP($C566,'[10]for slip'!$F:$BC,36,0)</f>
        <v>0</v>
      </c>
      <c r="N566" s="2">
        <f>VLOOKUP($C566,'[10]for slip'!$F:$BC,37,0)</f>
        <v>0</v>
      </c>
      <c r="O566" s="2">
        <f>VLOOKUP($C566,'[10]for slip'!$F:$BC,38,0)</f>
        <v>0</v>
      </c>
      <c r="P566" s="2">
        <f>VLOOKUP($C566,'[10]for slip'!$F:$BC,39,0)</f>
        <v>0</v>
      </c>
      <c r="Q566" s="2">
        <f>VLOOKUP($C566,'[10]for slip'!$F:$BC,40,0)</f>
        <v>31700</v>
      </c>
      <c r="R566" s="2">
        <f>VLOOKUP($C566,'[10]for slip'!$F:$BC,41,0)</f>
        <v>0</v>
      </c>
      <c r="S566" s="2">
        <f>VLOOKUP($C566,'[10]for slip'!$F:$BC,42,0)</f>
        <v>0</v>
      </c>
      <c r="T566" s="2">
        <f>VLOOKUP($C566,'[10]for slip'!$F:$BC,43,0)</f>
        <v>53430.83</v>
      </c>
      <c r="U566" s="2">
        <f>VLOOKUP($C566,'[10]for slip'!$F:$BC,44,0)</f>
        <v>106861.66</v>
      </c>
      <c r="V566" s="2">
        <f>VLOOKUP($C566,'[10]for slip'!$F:$BC,45,0)</f>
        <v>53430.83</v>
      </c>
      <c r="W566" s="2">
        <f>VLOOKUP($C566,'[10]for slip'!$F:$BC,48,0)</f>
        <v>34354.584590750004</v>
      </c>
    </row>
    <row r="567" spans="1:23" x14ac:dyDescent="0.25">
      <c r="A567" s="1">
        <v>566</v>
      </c>
      <c r="B567" s="2" t="s">
        <v>1153</v>
      </c>
      <c r="C567" s="2" t="s">
        <v>1154</v>
      </c>
      <c r="D567" s="2" t="str">
        <f>VLOOKUP($C567,'[10]for slip'!$F:$BC,3,0)</f>
        <v>Staff</v>
      </c>
      <c r="E567" s="2" t="str">
        <f>VLOOKUP($C567,'[10]for slip'!$F:$BC,4,0)</f>
        <v>Prod Engineering</v>
      </c>
      <c r="F567" s="2">
        <f>VLOOKUP($C567,'[10]for slip'!$F:$BC,14,0)</f>
        <v>5343083</v>
      </c>
      <c r="G567" s="2">
        <f>VLOOKUP($C567,'[10]for slip'!$F:$BC,15,0)</f>
        <v>0</v>
      </c>
      <c r="H567" s="2">
        <f>VLOOKUP($C567,'[10]for slip'!$F:$BC,16,0)</f>
        <v>0</v>
      </c>
      <c r="I567" s="2">
        <f>VLOOKUP($C567,'[10]for slip'!$F:$BC,17,0)</f>
        <v>0</v>
      </c>
      <c r="J567" s="2">
        <f>VLOOKUP($C567,'[10]for slip'!$F:$BC,27,0)</f>
        <v>0</v>
      </c>
      <c r="K567" s="2">
        <f>VLOOKUP($C567,'[10]for slip'!$F:$BC,31,0)</f>
        <v>0</v>
      </c>
      <c r="L567" s="2">
        <f>VLOOKUP($C567,'[10]for slip'!$F:$BC,35,0)</f>
        <v>34354.584590750004</v>
      </c>
      <c r="M567" s="2">
        <f>VLOOKUP($C567,'[10]for slip'!$F:$BC,36,0)</f>
        <v>0</v>
      </c>
      <c r="N567" s="2">
        <f>VLOOKUP($C567,'[10]for slip'!$F:$BC,37,0)</f>
        <v>0</v>
      </c>
      <c r="O567" s="2">
        <f>VLOOKUP($C567,'[10]for slip'!$F:$BC,38,0)</f>
        <v>0</v>
      </c>
      <c r="P567" s="2">
        <f>VLOOKUP($C567,'[10]for slip'!$F:$BC,39,0)</f>
        <v>0</v>
      </c>
      <c r="Q567" s="2">
        <f>VLOOKUP($C567,'[10]for slip'!$F:$BC,40,0)</f>
        <v>0</v>
      </c>
      <c r="R567" s="2">
        <f>VLOOKUP($C567,'[10]for slip'!$F:$BC,41,0)</f>
        <v>0</v>
      </c>
      <c r="S567" s="2">
        <f>VLOOKUP($C567,'[10]for slip'!$F:$BC,42,0)</f>
        <v>0</v>
      </c>
      <c r="T567" s="2">
        <f>VLOOKUP($C567,'[10]for slip'!$F:$BC,43,0)</f>
        <v>53430.83</v>
      </c>
      <c r="U567" s="2">
        <f>VLOOKUP($C567,'[10]for slip'!$F:$BC,44,0)</f>
        <v>106861.66</v>
      </c>
      <c r="V567" s="2">
        <f>VLOOKUP($C567,'[10]for slip'!$F:$BC,45,0)</f>
        <v>53430.83</v>
      </c>
      <c r="W567" s="2">
        <f>VLOOKUP($C567,'[10]for slip'!$F:$BC,48,0)</f>
        <v>34354.584590750004</v>
      </c>
    </row>
    <row r="568" spans="1:23" x14ac:dyDescent="0.25">
      <c r="A568" s="1">
        <v>567</v>
      </c>
      <c r="B568" s="2" t="s">
        <v>1155</v>
      </c>
      <c r="C568" s="2" t="s">
        <v>1156</v>
      </c>
      <c r="D568" s="2" t="str">
        <f>VLOOKUP($C568,'[10]for slip'!$F:$BC,3,0)</f>
        <v>Sect Head</v>
      </c>
      <c r="E568" s="2" t="str">
        <f>VLOOKUP($C568,'[10]for slip'!$F:$BC,4,0)</f>
        <v>Tool Maintenance</v>
      </c>
      <c r="F568" s="2">
        <f>VLOOKUP($C568,'[10]for slip'!$F:$BC,14,0)</f>
        <v>7405137</v>
      </c>
      <c r="G568" s="2">
        <f>VLOOKUP($C568,'[10]for slip'!$F:$BC,15,0)</f>
        <v>1500000</v>
      </c>
      <c r="H568" s="2">
        <f>VLOOKUP($C568,'[10]for slip'!$F:$BC,16,0)</f>
        <v>0</v>
      </c>
      <c r="I568" s="2">
        <f>VLOOKUP($C568,'[10]for slip'!$F:$BC,17,0)</f>
        <v>284944</v>
      </c>
      <c r="J568" s="2">
        <f>VLOOKUP($C568,'[10]for slip'!$F:$BC,27,0)</f>
        <v>0</v>
      </c>
      <c r="K568" s="2">
        <f>VLOOKUP($C568,'[10]for slip'!$F:$BC,31,0)</f>
        <v>0</v>
      </c>
      <c r="L568" s="2">
        <f>VLOOKUP($C568,'[10]for slip'!$F:$BC,35,0)</f>
        <v>165045.68273525001</v>
      </c>
      <c r="M568" s="2">
        <f>VLOOKUP($C568,'[10]for slip'!$F:$BC,36,0)</f>
        <v>0</v>
      </c>
      <c r="N568" s="2">
        <f>VLOOKUP($C568,'[10]for slip'!$F:$BC,37,0)</f>
        <v>0</v>
      </c>
      <c r="O568" s="2">
        <f>VLOOKUP($C568,'[10]for slip'!$F:$BC,38,0)</f>
        <v>0</v>
      </c>
      <c r="P568" s="2">
        <f>VLOOKUP($C568,'[10]for slip'!$F:$BC,39,0)</f>
        <v>38000</v>
      </c>
      <c r="Q568" s="2">
        <f>VLOOKUP($C568,'[10]for slip'!$F:$BC,40,0)</f>
        <v>31700</v>
      </c>
      <c r="R568" s="2">
        <f>VLOOKUP($C568,'[10]for slip'!$F:$BC,41,0)</f>
        <v>0</v>
      </c>
      <c r="S568" s="2">
        <f>VLOOKUP($C568,'[10]for slip'!$F:$BC,42,0)</f>
        <v>10000</v>
      </c>
      <c r="T568" s="2">
        <f>VLOOKUP($C568,'[10]for slip'!$F:$BC,43,0)</f>
        <v>91900.81</v>
      </c>
      <c r="U568" s="2">
        <f>VLOOKUP($C568,'[10]for slip'!$F:$BC,44,0)</f>
        <v>183801.62</v>
      </c>
      <c r="V568" s="2">
        <f>VLOOKUP($C568,'[10]for slip'!$F:$BC,45,0)</f>
        <v>87546</v>
      </c>
      <c r="W568" s="2">
        <f>VLOOKUP($C568,'[10]for slip'!$F:$BC,48,0)</f>
        <v>165045.68273525001</v>
      </c>
    </row>
    <row r="569" spans="1:23" x14ac:dyDescent="0.25">
      <c r="A569" s="1">
        <v>568</v>
      </c>
      <c r="B569" s="2" t="s">
        <v>1157</v>
      </c>
      <c r="C569" s="2" t="s">
        <v>1158</v>
      </c>
      <c r="D569" s="2" t="str">
        <f>VLOOKUP($C569,'[10]for slip'!$F:$BC,3,0)</f>
        <v>Leader</v>
      </c>
      <c r="E569" s="2" t="str">
        <f>VLOOKUP($C569,'[10]for slip'!$F:$BC,4,0)</f>
        <v>Tool Maintenance</v>
      </c>
      <c r="F569" s="2">
        <f>VLOOKUP($C569,'[10]for slip'!$F:$BC,14,0)</f>
        <v>5493082</v>
      </c>
      <c r="G569" s="2">
        <f>VLOOKUP($C569,'[10]for slip'!$F:$BC,15,0)</f>
        <v>600000</v>
      </c>
      <c r="H569" s="2">
        <f>VLOOKUP($C569,'[10]for slip'!$F:$BC,16,0)</f>
        <v>0</v>
      </c>
      <c r="I569" s="2">
        <f>VLOOKUP($C569,'[10]for slip'!$F:$BC,17,0)</f>
        <v>147721</v>
      </c>
      <c r="J569" s="2">
        <f>VLOOKUP($C569,'[10]for slip'!$F:$BC,27,0)</f>
        <v>0</v>
      </c>
      <c r="K569" s="2">
        <f>VLOOKUP($C569,'[10]for slip'!$F:$BC,31,0)</f>
        <v>0</v>
      </c>
      <c r="L569" s="2">
        <f>VLOOKUP($C569,'[10]for slip'!$F:$BC,35,0)</f>
        <v>21680.137820750042</v>
      </c>
      <c r="M569" s="2">
        <f>VLOOKUP($C569,'[10]for slip'!$F:$BC,36,0)</f>
        <v>0</v>
      </c>
      <c r="N569" s="2">
        <f>VLOOKUP($C569,'[10]for slip'!$F:$BC,37,0)</f>
        <v>0</v>
      </c>
      <c r="O569" s="2">
        <f>VLOOKUP($C569,'[10]for slip'!$F:$BC,38,0)</f>
        <v>0</v>
      </c>
      <c r="P569" s="2">
        <f>VLOOKUP($C569,'[10]for slip'!$F:$BC,39,0)</f>
        <v>38000</v>
      </c>
      <c r="Q569" s="2">
        <f>VLOOKUP($C569,'[10]for slip'!$F:$BC,40,0)</f>
        <v>31700</v>
      </c>
      <c r="R569" s="2">
        <f>VLOOKUP($C569,'[10]for slip'!$F:$BC,41,0)</f>
        <v>0</v>
      </c>
      <c r="S569" s="2">
        <f>VLOOKUP($C569,'[10]for slip'!$F:$BC,42,0)</f>
        <v>10000</v>
      </c>
      <c r="T569" s="2">
        <f>VLOOKUP($C569,'[10]for slip'!$F:$BC,43,0)</f>
        <v>62408.03</v>
      </c>
      <c r="U569" s="2">
        <f>VLOOKUP($C569,'[10]for slip'!$F:$BC,44,0)</f>
        <v>124816.06</v>
      </c>
      <c r="V569" s="2">
        <f>VLOOKUP($C569,'[10]for slip'!$F:$BC,45,0)</f>
        <v>62408.03</v>
      </c>
      <c r="W569" s="2">
        <f>VLOOKUP($C569,'[10]for slip'!$F:$BC,48,0)</f>
        <v>21680.137820750042</v>
      </c>
    </row>
    <row r="570" spans="1:23" x14ac:dyDescent="0.25">
      <c r="A570" s="1">
        <v>569</v>
      </c>
      <c r="B570" s="2" t="s">
        <v>1159</v>
      </c>
      <c r="C570" s="2" t="s">
        <v>1160</v>
      </c>
      <c r="D570" s="2" t="str">
        <f>VLOOKUP($C570,'[10]for slip'!$F:$BC,3,0)</f>
        <v>Leader</v>
      </c>
      <c r="E570" s="2" t="str">
        <f>VLOOKUP($C570,'[10]for slip'!$F:$BC,4,0)</f>
        <v>Tool Maintenance</v>
      </c>
      <c r="F570" s="2">
        <f>VLOOKUP($C570,'[10]for slip'!$F:$BC,14,0)</f>
        <v>5343083</v>
      </c>
      <c r="G570" s="2">
        <f>VLOOKUP($C570,'[10]for slip'!$F:$BC,15,0)</f>
        <v>500000</v>
      </c>
      <c r="H570" s="2">
        <f>VLOOKUP($C570,'[10]for slip'!$F:$BC,16,0)</f>
        <v>250000</v>
      </c>
      <c r="I570" s="2">
        <f>VLOOKUP($C570,'[10]for slip'!$F:$BC,17,0)</f>
        <v>0</v>
      </c>
      <c r="J570" s="2">
        <f>VLOOKUP($C570,'[10]for slip'!$F:$BC,27,0)</f>
        <v>0</v>
      </c>
      <c r="K570" s="2">
        <f>VLOOKUP($C570,'[10]for slip'!$F:$BC,31,0)</f>
        <v>0</v>
      </c>
      <c r="L570" s="2">
        <f>VLOOKUP($C570,'[10]for slip'!$F:$BC,35,0)</f>
        <v>32594.772090749942</v>
      </c>
      <c r="M570" s="2">
        <f>VLOOKUP($C570,'[10]for slip'!$F:$BC,36,0)</f>
        <v>0</v>
      </c>
      <c r="N570" s="2">
        <f>VLOOKUP($C570,'[10]for slip'!$F:$BC,37,0)</f>
        <v>0</v>
      </c>
      <c r="O570" s="2">
        <f>VLOOKUP($C570,'[10]for slip'!$F:$BC,38,0)</f>
        <v>0</v>
      </c>
      <c r="P570" s="2">
        <f>VLOOKUP($C570,'[10]for slip'!$F:$BC,39,0)</f>
        <v>38000</v>
      </c>
      <c r="Q570" s="2">
        <f>VLOOKUP($C570,'[10]for slip'!$F:$BC,40,0)</f>
        <v>31700</v>
      </c>
      <c r="R570" s="2">
        <f>VLOOKUP($C570,'[10]for slip'!$F:$BC,41,0)</f>
        <v>0</v>
      </c>
      <c r="S570" s="2">
        <f>VLOOKUP($C570,'[10]for slip'!$F:$BC,42,0)</f>
        <v>0</v>
      </c>
      <c r="T570" s="2">
        <f>VLOOKUP($C570,'[10]for slip'!$F:$BC,43,0)</f>
        <v>57430.83</v>
      </c>
      <c r="U570" s="2">
        <f>VLOOKUP($C570,'[10]for slip'!$F:$BC,44,0)</f>
        <v>121861.66</v>
      </c>
      <c r="V570" s="2">
        <f>VLOOKUP($C570,'[10]for slip'!$F:$BC,45,0)</f>
        <v>60930.83</v>
      </c>
      <c r="W570" s="2">
        <f>VLOOKUP($C570,'[10]for slip'!$F:$BC,48,0)</f>
        <v>32594.772090749942</v>
      </c>
    </row>
    <row r="571" spans="1:23" x14ac:dyDescent="0.25">
      <c r="A571" s="1">
        <v>570</v>
      </c>
      <c r="B571" s="2" t="s">
        <v>1161</v>
      </c>
      <c r="C571" s="2" t="s">
        <v>1162</v>
      </c>
      <c r="D571" s="2" t="str">
        <f>VLOOKUP($C571,'[10]for slip'!$F:$BC,3,0)</f>
        <v>Leader</v>
      </c>
      <c r="E571" s="2" t="str">
        <f>VLOOKUP($C571,'[10]for slip'!$F:$BC,4,0)</f>
        <v>Tool Maintenance</v>
      </c>
      <c r="F571" s="2">
        <f>VLOOKUP($C571,'[10]for slip'!$F:$BC,14,0)</f>
        <v>5343083</v>
      </c>
      <c r="G571" s="2">
        <f>VLOOKUP($C571,'[10]for slip'!$F:$BC,15,0)</f>
        <v>500000</v>
      </c>
      <c r="H571" s="2">
        <f>VLOOKUP($C571,'[10]for slip'!$F:$BC,16,0)</f>
        <v>150000</v>
      </c>
      <c r="I571" s="2">
        <f>VLOOKUP($C571,'[10]for slip'!$F:$BC,17,0)</f>
        <v>0</v>
      </c>
      <c r="J571" s="2">
        <f>VLOOKUP($C571,'[10]for slip'!$F:$BC,27,0)</f>
        <v>0</v>
      </c>
      <c r="K571" s="2">
        <f>VLOOKUP($C571,'[10]for slip'!$F:$BC,31,0)</f>
        <v>0</v>
      </c>
      <c r="L571" s="2">
        <f>VLOOKUP($C571,'[10]for slip'!$F:$BC,35,0)</f>
        <v>27740.747090749941</v>
      </c>
      <c r="M571" s="2">
        <f>VLOOKUP($C571,'[10]for slip'!$F:$BC,36,0)</f>
        <v>0</v>
      </c>
      <c r="N571" s="2">
        <f>VLOOKUP($C571,'[10]for slip'!$F:$BC,37,0)</f>
        <v>0</v>
      </c>
      <c r="O571" s="2">
        <f>VLOOKUP($C571,'[10]for slip'!$F:$BC,38,0)</f>
        <v>0</v>
      </c>
      <c r="P571" s="2">
        <f>VLOOKUP($C571,'[10]for slip'!$F:$BC,39,0)</f>
        <v>38000</v>
      </c>
      <c r="Q571" s="2">
        <f>VLOOKUP($C571,'[10]for slip'!$F:$BC,40,0)</f>
        <v>31700</v>
      </c>
      <c r="R571" s="2">
        <f>VLOOKUP($C571,'[10]for slip'!$F:$BC,41,0)</f>
        <v>0</v>
      </c>
      <c r="S571" s="2">
        <f>VLOOKUP($C571,'[10]for slip'!$F:$BC,42,0)</f>
        <v>0</v>
      </c>
      <c r="T571" s="2">
        <f>VLOOKUP($C571,'[10]for slip'!$F:$BC,43,0)</f>
        <v>56430.83</v>
      </c>
      <c r="U571" s="2">
        <f>VLOOKUP($C571,'[10]for slip'!$F:$BC,44,0)</f>
        <v>119861.66</v>
      </c>
      <c r="V571" s="2">
        <f>VLOOKUP($C571,'[10]for slip'!$F:$BC,45,0)</f>
        <v>59930.83</v>
      </c>
      <c r="W571" s="2">
        <f>VLOOKUP($C571,'[10]for slip'!$F:$BC,48,0)</f>
        <v>27740.747090749941</v>
      </c>
    </row>
    <row r="572" spans="1:23" x14ac:dyDescent="0.25">
      <c r="A572" s="1">
        <v>571</v>
      </c>
      <c r="B572" s="2" t="s">
        <v>1163</v>
      </c>
      <c r="C572" s="2" t="s">
        <v>1164</v>
      </c>
      <c r="D572" s="2" t="str">
        <f>VLOOKUP($C572,'[10]for slip'!$F:$BC,3,0)</f>
        <v>Leader</v>
      </c>
      <c r="E572" s="2" t="str">
        <f>VLOOKUP($C572,'[10]for slip'!$F:$BC,4,0)</f>
        <v>Tool Maintenance</v>
      </c>
      <c r="F572" s="2">
        <f>VLOOKUP($C572,'[10]for slip'!$F:$BC,14,0)</f>
        <v>5343083</v>
      </c>
      <c r="G572" s="2">
        <f>VLOOKUP($C572,'[10]for slip'!$F:$BC,15,0)</f>
        <v>500000</v>
      </c>
      <c r="H572" s="2">
        <f>VLOOKUP($C572,'[10]for slip'!$F:$BC,16,0)</f>
        <v>0</v>
      </c>
      <c r="I572" s="2">
        <f>VLOOKUP($C572,'[10]for slip'!$F:$BC,17,0)</f>
        <v>0</v>
      </c>
      <c r="J572" s="2">
        <f>VLOOKUP($C572,'[10]for slip'!$F:$BC,27,0)</f>
        <v>0</v>
      </c>
      <c r="K572" s="2">
        <f>VLOOKUP($C572,'[10]for slip'!$F:$BC,31,0)</f>
        <v>0</v>
      </c>
      <c r="L572" s="2">
        <f>VLOOKUP($C572,'[10]for slip'!$F:$BC,35,0)</f>
        <v>21124.709590749942</v>
      </c>
      <c r="M572" s="2">
        <f>VLOOKUP($C572,'[10]for slip'!$F:$BC,36,0)</f>
        <v>0</v>
      </c>
      <c r="N572" s="2">
        <f>VLOOKUP($C572,'[10]for slip'!$F:$BC,37,0)</f>
        <v>0</v>
      </c>
      <c r="O572" s="2">
        <f>VLOOKUP($C572,'[10]for slip'!$F:$BC,38,0)</f>
        <v>0</v>
      </c>
      <c r="P572" s="2">
        <f>VLOOKUP($C572,'[10]for slip'!$F:$BC,39,0)</f>
        <v>38000</v>
      </c>
      <c r="Q572" s="2">
        <f>VLOOKUP($C572,'[10]for slip'!$F:$BC,40,0)</f>
        <v>31700</v>
      </c>
      <c r="R572" s="2">
        <f>VLOOKUP($C572,'[10]for slip'!$F:$BC,41,0)</f>
        <v>0</v>
      </c>
      <c r="S572" s="2">
        <f>VLOOKUP($C572,'[10]for slip'!$F:$BC,42,0)</f>
        <v>0</v>
      </c>
      <c r="T572" s="2">
        <f>VLOOKUP($C572,'[10]for slip'!$F:$BC,43,0)</f>
        <v>58430.83</v>
      </c>
      <c r="U572" s="2">
        <f>VLOOKUP($C572,'[10]for slip'!$F:$BC,44,0)</f>
        <v>116861.66</v>
      </c>
      <c r="V572" s="2">
        <f>VLOOKUP($C572,'[10]for slip'!$F:$BC,45,0)</f>
        <v>58430.83</v>
      </c>
      <c r="W572" s="2">
        <f>VLOOKUP($C572,'[10]for slip'!$F:$BC,48,0)</f>
        <v>21124.709590749942</v>
      </c>
    </row>
    <row r="573" spans="1:23" x14ac:dyDescent="0.25">
      <c r="A573" s="1">
        <v>572</v>
      </c>
      <c r="B573" s="2" t="s">
        <v>1165</v>
      </c>
      <c r="C573" s="2" t="s">
        <v>1166</v>
      </c>
      <c r="D573" s="2" t="str">
        <f>VLOOKUP($C573,'[10]for slip'!$F:$BC,3,0)</f>
        <v>Leader</v>
      </c>
      <c r="E573" s="2" t="str">
        <f>VLOOKUP($C573,'[10]for slip'!$F:$BC,4,0)</f>
        <v>Tool Maintenance</v>
      </c>
      <c r="F573" s="2">
        <f>VLOOKUP($C573,'[10]for slip'!$F:$BC,14,0)</f>
        <v>5343083</v>
      </c>
      <c r="G573" s="2">
        <f>VLOOKUP($C573,'[10]for slip'!$F:$BC,15,0)</f>
        <v>500000</v>
      </c>
      <c r="H573" s="2">
        <f>VLOOKUP($C573,'[10]for slip'!$F:$BC,16,0)</f>
        <v>150000</v>
      </c>
      <c r="I573" s="2">
        <f>VLOOKUP($C573,'[10]for slip'!$F:$BC,17,0)</f>
        <v>0</v>
      </c>
      <c r="J573" s="2">
        <f>VLOOKUP($C573,'[10]for slip'!$F:$BC,27,0)</f>
        <v>0</v>
      </c>
      <c r="K573" s="2">
        <f>VLOOKUP($C573,'[10]for slip'!$F:$BC,31,0)</f>
        <v>0</v>
      </c>
      <c r="L573" s="2">
        <f>VLOOKUP($C573,'[10]for slip'!$F:$BC,35,0)</f>
        <v>8990.7470907499392</v>
      </c>
      <c r="M573" s="2">
        <f>VLOOKUP($C573,'[10]for slip'!$F:$BC,36,0)</f>
        <v>0</v>
      </c>
      <c r="N573" s="2">
        <f>VLOOKUP($C573,'[10]for slip'!$F:$BC,37,0)</f>
        <v>0</v>
      </c>
      <c r="O573" s="2">
        <f>VLOOKUP($C573,'[10]for slip'!$F:$BC,38,0)</f>
        <v>0</v>
      </c>
      <c r="P573" s="2">
        <f>VLOOKUP($C573,'[10]for slip'!$F:$BC,39,0)</f>
        <v>38000</v>
      </c>
      <c r="Q573" s="2">
        <f>VLOOKUP($C573,'[10]for slip'!$F:$BC,40,0)</f>
        <v>31700</v>
      </c>
      <c r="R573" s="2">
        <f>VLOOKUP($C573,'[10]for slip'!$F:$BC,41,0)</f>
        <v>0</v>
      </c>
      <c r="S573" s="2">
        <f>VLOOKUP($C573,'[10]for slip'!$F:$BC,42,0)</f>
        <v>0</v>
      </c>
      <c r="T573" s="2">
        <f>VLOOKUP($C573,'[10]for slip'!$F:$BC,43,0)</f>
        <v>56430.83</v>
      </c>
      <c r="U573" s="2">
        <f>VLOOKUP($C573,'[10]for slip'!$F:$BC,44,0)</f>
        <v>119861.66</v>
      </c>
      <c r="V573" s="2">
        <f>VLOOKUP($C573,'[10]for slip'!$F:$BC,45,0)</f>
        <v>59930.83</v>
      </c>
      <c r="W573" s="2">
        <f>VLOOKUP($C573,'[10]for slip'!$F:$BC,48,0)</f>
        <v>8990.7470907499392</v>
      </c>
    </row>
    <row r="574" spans="1:23" x14ac:dyDescent="0.25">
      <c r="A574" s="1">
        <v>573</v>
      </c>
      <c r="B574" s="2" t="s">
        <v>1167</v>
      </c>
      <c r="C574" s="2" t="s">
        <v>1168</v>
      </c>
      <c r="D574" s="2" t="str">
        <f>VLOOKUP($C574,'[10]for slip'!$F:$BC,3,0)</f>
        <v>Leader</v>
      </c>
      <c r="E574" s="2" t="str">
        <f>VLOOKUP($C574,'[10]for slip'!$F:$BC,4,0)</f>
        <v>Tool Maintenance</v>
      </c>
      <c r="F574" s="2">
        <f>VLOOKUP($C574,'[10]for slip'!$F:$BC,14,0)</f>
        <v>5343083</v>
      </c>
      <c r="G574" s="2">
        <f>VLOOKUP($C574,'[10]for slip'!$F:$BC,15,0)</f>
        <v>500000</v>
      </c>
      <c r="H574" s="2">
        <f>VLOOKUP($C574,'[10]for slip'!$F:$BC,16,0)</f>
        <v>0</v>
      </c>
      <c r="I574" s="2">
        <f>VLOOKUP($C574,'[10]for slip'!$F:$BC,17,0)</f>
        <v>0</v>
      </c>
      <c r="J574" s="2">
        <f>VLOOKUP($C574,'[10]for slip'!$F:$BC,27,0)</f>
        <v>0</v>
      </c>
      <c r="K574" s="2">
        <f>VLOOKUP($C574,'[10]for slip'!$F:$BC,31,0)</f>
        <v>0</v>
      </c>
      <c r="L574" s="2">
        <f>VLOOKUP($C574,'[10]for slip'!$F:$BC,35,0)</f>
        <v>20988.9953050357</v>
      </c>
      <c r="M574" s="2">
        <f>VLOOKUP($C574,'[10]for slip'!$F:$BC,36,0)</f>
        <v>0</v>
      </c>
      <c r="N574" s="2">
        <f>VLOOKUP($C574,'[10]for slip'!$F:$BC,37,0)</f>
        <v>0</v>
      </c>
      <c r="O574" s="2">
        <f>VLOOKUP($C574,'[10]for slip'!$F:$BC,38,0)</f>
        <v>0</v>
      </c>
      <c r="P574" s="2">
        <f>VLOOKUP($C574,'[10]for slip'!$F:$BC,39,0)</f>
        <v>38000</v>
      </c>
      <c r="Q574" s="2">
        <f>VLOOKUP($C574,'[10]for slip'!$F:$BC,40,0)</f>
        <v>31700</v>
      </c>
      <c r="R574" s="2">
        <f>VLOOKUP($C574,'[10]for slip'!$F:$BC,41,0)</f>
        <v>0</v>
      </c>
      <c r="S574" s="2">
        <f>VLOOKUP($C574,'[10]for slip'!$F:$BC,42,0)</f>
        <v>0</v>
      </c>
      <c r="T574" s="2">
        <f>VLOOKUP($C574,'[10]for slip'!$F:$BC,43,0)</f>
        <v>57716.544285714284</v>
      </c>
      <c r="U574" s="2">
        <f>VLOOKUP($C574,'[10]for slip'!$F:$BC,44,0)</f>
        <v>116861.66</v>
      </c>
      <c r="V574" s="2">
        <f>VLOOKUP($C574,'[10]for slip'!$F:$BC,45,0)</f>
        <v>58430.83</v>
      </c>
      <c r="W574" s="2">
        <f>VLOOKUP($C574,'[10]for slip'!$F:$BC,48,0)</f>
        <v>20988.9953050357</v>
      </c>
    </row>
    <row r="575" spans="1:23" x14ac:dyDescent="0.25">
      <c r="A575" s="1">
        <v>574</v>
      </c>
      <c r="B575" s="2" t="s">
        <v>1169</v>
      </c>
      <c r="C575" s="2" t="s">
        <v>1170</v>
      </c>
      <c r="D575" s="2" t="str">
        <f>VLOOKUP($C575,'[10]for slip'!$F:$BC,3,0)</f>
        <v>Leader</v>
      </c>
      <c r="E575" s="2" t="str">
        <f>VLOOKUP($C575,'[10]for slip'!$F:$BC,4,0)</f>
        <v>Tool Maintenance</v>
      </c>
      <c r="F575" s="2">
        <f>VLOOKUP($C575,'[10]for slip'!$F:$BC,14,0)</f>
        <v>5343083</v>
      </c>
      <c r="G575" s="2">
        <f>VLOOKUP($C575,'[10]for slip'!$F:$BC,15,0)</f>
        <v>300000</v>
      </c>
      <c r="H575" s="2">
        <f>VLOOKUP($C575,'[10]for slip'!$F:$BC,16,0)</f>
        <v>0</v>
      </c>
      <c r="I575" s="2">
        <f>VLOOKUP($C575,'[10]for slip'!$F:$BC,17,0)</f>
        <v>0</v>
      </c>
      <c r="J575" s="2">
        <f>VLOOKUP($C575,'[10]for slip'!$F:$BC,27,0)</f>
        <v>0</v>
      </c>
      <c r="K575" s="2">
        <f>VLOOKUP($C575,'[10]for slip'!$F:$BC,31,0)</f>
        <v>0</v>
      </c>
      <c r="L575" s="2">
        <f>VLOOKUP($C575,'[10]for slip'!$F:$BC,35,0)</f>
        <v>30166.659590749972</v>
      </c>
      <c r="M575" s="2">
        <f>VLOOKUP($C575,'[10]for slip'!$F:$BC,36,0)</f>
        <v>0</v>
      </c>
      <c r="N575" s="2">
        <f>VLOOKUP($C575,'[10]for slip'!$F:$BC,37,0)</f>
        <v>0</v>
      </c>
      <c r="O575" s="2">
        <f>VLOOKUP($C575,'[10]for slip'!$F:$BC,38,0)</f>
        <v>0</v>
      </c>
      <c r="P575" s="2">
        <f>VLOOKUP($C575,'[10]for slip'!$F:$BC,39,0)</f>
        <v>38000</v>
      </c>
      <c r="Q575" s="2">
        <f>VLOOKUP($C575,'[10]for slip'!$F:$BC,40,0)</f>
        <v>31700</v>
      </c>
      <c r="R575" s="2">
        <f>VLOOKUP($C575,'[10]for slip'!$F:$BC,41,0)</f>
        <v>0</v>
      </c>
      <c r="S575" s="2">
        <f>VLOOKUP($C575,'[10]for slip'!$F:$BC,42,0)</f>
        <v>0</v>
      </c>
      <c r="T575" s="2">
        <f>VLOOKUP($C575,'[10]for slip'!$F:$BC,43,0)</f>
        <v>56430.83</v>
      </c>
      <c r="U575" s="2">
        <f>VLOOKUP($C575,'[10]for slip'!$F:$BC,44,0)</f>
        <v>112861.66</v>
      </c>
      <c r="V575" s="2">
        <f>VLOOKUP($C575,'[10]for slip'!$F:$BC,45,0)</f>
        <v>56430.83</v>
      </c>
      <c r="W575" s="2">
        <f>VLOOKUP($C575,'[10]for slip'!$F:$BC,48,0)</f>
        <v>30166.659590749972</v>
      </c>
    </row>
    <row r="576" spans="1:23" x14ac:dyDescent="0.25">
      <c r="A576" s="1">
        <v>575</v>
      </c>
      <c r="B576" s="2" t="s">
        <v>1171</v>
      </c>
      <c r="C576" s="2" t="s">
        <v>1172</v>
      </c>
      <c r="D576" s="2" t="str">
        <f>VLOOKUP($C576,'[10]for slip'!$F:$BC,3,0)</f>
        <v>Pelaksana</v>
      </c>
      <c r="E576" s="2" t="str">
        <f>VLOOKUP($C576,'[10]for slip'!$F:$BC,4,0)</f>
        <v>Tool Maintenance</v>
      </c>
      <c r="F576" s="2">
        <f>VLOOKUP($C576,'[10]for slip'!$F:$BC,14,0)</f>
        <v>5343083</v>
      </c>
      <c r="G576" s="2">
        <f>VLOOKUP($C576,'[10]for slip'!$F:$BC,15,0)</f>
        <v>0</v>
      </c>
      <c r="H576" s="2">
        <f>VLOOKUP($C576,'[10]for slip'!$F:$BC,16,0)</f>
        <v>0</v>
      </c>
      <c r="I576" s="2">
        <f>VLOOKUP($C576,'[10]for slip'!$F:$BC,17,0)</f>
        <v>0</v>
      </c>
      <c r="J576" s="2">
        <f>VLOOKUP($C576,'[10]for slip'!$F:$BC,27,0)</f>
        <v>0</v>
      </c>
      <c r="K576" s="2">
        <f>VLOOKUP($C576,'[10]for slip'!$F:$BC,31,0)</f>
        <v>0</v>
      </c>
      <c r="L576" s="2">
        <f>VLOOKUP($C576,'[10]for slip'!$F:$BC,35,0)</f>
        <v>0</v>
      </c>
      <c r="M576" s="2">
        <f>VLOOKUP($C576,'[10]for slip'!$F:$BC,36,0)</f>
        <v>0</v>
      </c>
      <c r="N576" s="2">
        <f>VLOOKUP($C576,'[10]for slip'!$F:$BC,37,0)</f>
        <v>0</v>
      </c>
      <c r="O576" s="2">
        <f>VLOOKUP($C576,'[10]for slip'!$F:$BC,38,0)</f>
        <v>0</v>
      </c>
      <c r="P576" s="2">
        <f>VLOOKUP($C576,'[10]for slip'!$F:$BC,39,0)</f>
        <v>38000</v>
      </c>
      <c r="Q576" s="2">
        <f>VLOOKUP($C576,'[10]for slip'!$F:$BC,40,0)</f>
        <v>31700</v>
      </c>
      <c r="R576" s="2">
        <f>VLOOKUP($C576,'[10]for slip'!$F:$BC,41,0)</f>
        <v>0</v>
      </c>
      <c r="S576" s="2">
        <f>VLOOKUP($C576,'[10]for slip'!$F:$BC,42,0)</f>
        <v>10000</v>
      </c>
      <c r="T576" s="2">
        <f>VLOOKUP($C576,'[10]for slip'!$F:$BC,43,0)</f>
        <v>53430.83</v>
      </c>
      <c r="U576" s="2">
        <f>VLOOKUP($C576,'[10]for slip'!$F:$BC,44,0)</f>
        <v>106861.66</v>
      </c>
      <c r="V576" s="2">
        <f>VLOOKUP($C576,'[10]for slip'!$F:$BC,45,0)</f>
        <v>53430.83</v>
      </c>
      <c r="W576" s="2">
        <f>VLOOKUP($C576,'[10]for slip'!$F:$BC,48,0)</f>
        <v>0</v>
      </c>
    </row>
    <row r="577" spans="1:23" x14ac:dyDescent="0.25">
      <c r="A577" s="1">
        <v>576</v>
      </c>
      <c r="B577" s="2" t="s">
        <v>1173</v>
      </c>
      <c r="C577" s="2" t="s">
        <v>1174</v>
      </c>
      <c r="D577" s="2" t="str">
        <f>VLOOKUP($C577,'[10]for slip'!$F:$BC,3,0)</f>
        <v>Pelaksana</v>
      </c>
      <c r="E577" s="2" t="str">
        <f>VLOOKUP($C577,'[10]for slip'!$F:$BC,4,0)</f>
        <v>Tool Maintenance</v>
      </c>
      <c r="F577" s="2">
        <f>VLOOKUP($C577,'[10]for slip'!$F:$BC,14,0)</f>
        <v>5343083</v>
      </c>
      <c r="G577" s="2">
        <f>VLOOKUP($C577,'[10]for slip'!$F:$BC,15,0)</f>
        <v>0</v>
      </c>
      <c r="H577" s="2">
        <f>VLOOKUP($C577,'[10]for slip'!$F:$BC,16,0)</f>
        <v>0</v>
      </c>
      <c r="I577" s="2">
        <f>VLOOKUP($C577,'[10]for slip'!$F:$BC,17,0)</f>
        <v>0</v>
      </c>
      <c r="J577" s="2">
        <f>VLOOKUP($C577,'[10]for slip'!$F:$BC,27,0)</f>
        <v>0</v>
      </c>
      <c r="K577" s="2">
        <f>VLOOKUP($C577,'[10]for slip'!$F:$BC,31,0)</f>
        <v>0</v>
      </c>
      <c r="L577" s="2">
        <f>VLOOKUP($C577,'[10]for slip'!$F:$BC,35,0)</f>
        <v>0</v>
      </c>
      <c r="M577" s="2">
        <f>VLOOKUP($C577,'[10]for slip'!$F:$BC,36,0)</f>
        <v>0</v>
      </c>
      <c r="N577" s="2">
        <f>VLOOKUP($C577,'[10]for slip'!$F:$BC,37,0)</f>
        <v>0</v>
      </c>
      <c r="O577" s="2">
        <f>VLOOKUP($C577,'[10]for slip'!$F:$BC,38,0)</f>
        <v>0</v>
      </c>
      <c r="P577" s="2">
        <f>VLOOKUP($C577,'[10]for slip'!$F:$BC,39,0)</f>
        <v>38000</v>
      </c>
      <c r="Q577" s="2">
        <f>VLOOKUP($C577,'[10]for slip'!$F:$BC,40,0)</f>
        <v>31700</v>
      </c>
      <c r="R577" s="2">
        <f>VLOOKUP($C577,'[10]for slip'!$F:$BC,41,0)</f>
        <v>0</v>
      </c>
      <c r="S577" s="2">
        <f>VLOOKUP($C577,'[10]for slip'!$F:$BC,42,0)</f>
        <v>0</v>
      </c>
      <c r="T577" s="2">
        <f>VLOOKUP($C577,'[10]for slip'!$F:$BC,43,0)</f>
        <v>53430.83</v>
      </c>
      <c r="U577" s="2">
        <f>VLOOKUP($C577,'[10]for slip'!$F:$BC,44,0)</f>
        <v>106861.66</v>
      </c>
      <c r="V577" s="2">
        <f>VLOOKUP($C577,'[10]for slip'!$F:$BC,45,0)</f>
        <v>53430.83</v>
      </c>
      <c r="W577" s="2">
        <f>VLOOKUP($C577,'[10]for slip'!$F:$BC,48,0)</f>
        <v>0</v>
      </c>
    </row>
    <row r="578" spans="1:23" x14ac:dyDescent="0.25">
      <c r="A578" s="1">
        <v>577</v>
      </c>
      <c r="B578" s="2" t="s">
        <v>1175</v>
      </c>
      <c r="C578" s="2" t="s">
        <v>1176</v>
      </c>
      <c r="D578" s="2" t="str">
        <f>VLOOKUP($C578,'[10]for slip'!$F:$BC,3,0)</f>
        <v>Pelaksana</v>
      </c>
      <c r="E578" s="2" t="str">
        <f>VLOOKUP($C578,'[10]for slip'!$F:$BC,4,0)</f>
        <v>Tool Maintenance</v>
      </c>
      <c r="F578" s="2">
        <f>VLOOKUP($C578,'[10]for slip'!$F:$BC,14,0)</f>
        <v>5343083</v>
      </c>
      <c r="G578" s="2">
        <f>VLOOKUP($C578,'[10]for slip'!$F:$BC,15,0)</f>
        <v>0</v>
      </c>
      <c r="H578" s="2">
        <f>VLOOKUP($C578,'[10]for slip'!$F:$BC,16,0)</f>
        <v>0</v>
      </c>
      <c r="I578" s="2">
        <f>VLOOKUP($C578,'[10]for slip'!$F:$BC,17,0)</f>
        <v>0</v>
      </c>
      <c r="J578" s="2">
        <f>VLOOKUP($C578,'[10]for slip'!$F:$BC,27,0)</f>
        <v>0</v>
      </c>
      <c r="K578" s="2">
        <f>VLOOKUP($C578,'[10]for slip'!$F:$BC,31,0)</f>
        <v>0</v>
      </c>
      <c r="L578" s="2">
        <f>VLOOKUP($C578,'[10]for slip'!$F:$BC,35,0)</f>
        <v>0</v>
      </c>
      <c r="M578" s="2">
        <f>VLOOKUP($C578,'[10]for slip'!$F:$BC,36,0)</f>
        <v>0</v>
      </c>
      <c r="N578" s="2">
        <f>VLOOKUP($C578,'[10]for slip'!$F:$BC,37,0)</f>
        <v>0</v>
      </c>
      <c r="O578" s="2">
        <f>VLOOKUP($C578,'[10]for slip'!$F:$BC,38,0)</f>
        <v>0</v>
      </c>
      <c r="P578" s="2">
        <f>VLOOKUP($C578,'[10]for slip'!$F:$BC,39,0)</f>
        <v>38000</v>
      </c>
      <c r="Q578" s="2">
        <f>VLOOKUP($C578,'[10]for slip'!$F:$BC,40,0)</f>
        <v>31700</v>
      </c>
      <c r="R578" s="2">
        <f>VLOOKUP($C578,'[10]for slip'!$F:$BC,41,0)</f>
        <v>0</v>
      </c>
      <c r="S578" s="2">
        <f>VLOOKUP($C578,'[10]for slip'!$F:$BC,42,0)</f>
        <v>0</v>
      </c>
      <c r="T578" s="2">
        <f>VLOOKUP($C578,'[10]for slip'!$F:$BC,43,0)</f>
        <v>53430.83</v>
      </c>
      <c r="U578" s="2">
        <f>VLOOKUP($C578,'[10]for slip'!$F:$BC,44,0)</f>
        <v>106861.66</v>
      </c>
      <c r="V578" s="2">
        <f>VLOOKUP($C578,'[10]for slip'!$F:$BC,45,0)</f>
        <v>53430.83</v>
      </c>
      <c r="W578" s="2">
        <f>VLOOKUP($C578,'[10]for slip'!$F:$BC,48,0)</f>
        <v>0</v>
      </c>
    </row>
    <row r="579" spans="1:23" x14ac:dyDescent="0.25">
      <c r="A579" s="1">
        <v>578</v>
      </c>
      <c r="B579" s="2" t="s">
        <v>1177</v>
      </c>
      <c r="C579" s="2" t="s">
        <v>1178</v>
      </c>
      <c r="D579" s="2" t="str">
        <f>VLOOKUP($C579,'[10]for slip'!$F:$BC,3,0)</f>
        <v>Pelaksana</v>
      </c>
      <c r="E579" s="2" t="str">
        <f>VLOOKUP($C579,'[10]for slip'!$F:$BC,4,0)</f>
        <v>Tool Maintenance</v>
      </c>
      <c r="F579" s="2">
        <f>VLOOKUP($C579,'[10]for slip'!$F:$BC,14,0)</f>
        <v>5343083</v>
      </c>
      <c r="G579" s="2">
        <f>VLOOKUP($C579,'[10]for slip'!$F:$BC,15,0)</f>
        <v>0</v>
      </c>
      <c r="H579" s="2">
        <f>VLOOKUP($C579,'[10]for slip'!$F:$BC,16,0)</f>
        <v>0</v>
      </c>
      <c r="I579" s="2">
        <f>VLOOKUP($C579,'[10]for slip'!$F:$BC,17,0)</f>
        <v>0</v>
      </c>
      <c r="J579" s="2">
        <f>VLOOKUP($C579,'[10]for slip'!$F:$BC,27,0)</f>
        <v>0</v>
      </c>
      <c r="K579" s="2">
        <f>VLOOKUP($C579,'[10]for slip'!$F:$BC,31,0)</f>
        <v>0</v>
      </c>
      <c r="L579" s="2">
        <f>VLOOKUP($C579,'[10]for slip'!$F:$BC,35,0)</f>
        <v>34354.584590750004</v>
      </c>
      <c r="M579" s="2">
        <f>VLOOKUP($C579,'[10]for slip'!$F:$BC,36,0)</f>
        <v>0</v>
      </c>
      <c r="N579" s="2">
        <f>VLOOKUP($C579,'[10]for slip'!$F:$BC,37,0)</f>
        <v>0</v>
      </c>
      <c r="O579" s="2">
        <f>VLOOKUP($C579,'[10]for slip'!$F:$BC,38,0)</f>
        <v>0</v>
      </c>
      <c r="P579" s="2">
        <f>VLOOKUP($C579,'[10]for slip'!$F:$BC,39,0)</f>
        <v>38000</v>
      </c>
      <c r="Q579" s="2">
        <f>VLOOKUP($C579,'[10]for slip'!$F:$BC,40,0)</f>
        <v>31700</v>
      </c>
      <c r="R579" s="2">
        <f>VLOOKUP($C579,'[10]for slip'!$F:$BC,41,0)</f>
        <v>0</v>
      </c>
      <c r="S579" s="2">
        <f>VLOOKUP($C579,'[10]for slip'!$F:$BC,42,0)</f>
        <v>0</v>
      </c>
      <c r="T579" s="2">
        <f>VLOOKUP($C579,'[10]for slip'!$F:$BC,43,0)</f>
        <v>53430.83</v>
      </c>
      <c r="U579" s="2">
        <f>VLOOKUP($C579,'[10]for slip'!$F:$BC,44,0)</f>
        <v>106861.66</v>
      </c>
      <c r="V579" s="2">
        <f>VLOOKUP($C579,'[10]for slip'!$F:$BC,45,0)</f>
        <v>53430.83</v>
      </c>
      <c r="W579" s="2">
        <f>VLOOKUP($C579,'[10]for slip'!$F:$BC,48,0)</f>
        <v>34354.584590750004</v>
      </c>
    </row>
    <row r="580" spans="1:23" x14ac:dyDescent="0.25">
      <c r="A580" s="1">
        <v>579</v>
      </c>
      <c r="B580" s="2" t="s">
        <v>1179</v>
      </c>
      <c r="C580" s="2" t="s">
        <v>1180</v>
      </c>
      <c r="D580" s="2" t="str">
        <f>VLOOKUP($C580,'[10]for slip'!$F:$BC,3,0)</f>
        <v>Pelaksana</v>
      </c>
      <c r="E580" s="2" t="str">
        <f>VLOOKUP($C580,'[10]for slip'!$F:$BC,4,0)</f>
        <v>Tool Maintenance</v>
      </c>
      <c r="F580" s="2">
        <f>VLOOKUP($C580,'[10]for slip'!$F:$BC,14,0)</f>
        <v>5343083</v>
      </c>
      <c r="G580" s="2">
        <f>VLOOKUP($C580,'[10]for slip'!$F:$BC,15,0)</f>
        <v>0</v>
      </c>
      <c r="H580" s="2">
        <f>VLOOKUP($C580,'[10]for slip'!$F:$BC,16,0)</f>
        <v>0</v>
      </c>
      <c r="I580" s="2">
        <f>VLOOKUP($C580,'[10]for slip'!$F:$BC,17,0)</f>
        <v>0</v>
      </c>
      <c r="J580" s="2">
        <f>VLOOKUP($C580,'[10]for slip'!$F:$BC,27,0)</f>
        <v>0</v>
      </c>
      <c r="K580" s="2">
        <f>VLOOKUP($C580,'[10]for slip'!$F:$BC,31,0)</f>
        <v>0</v>
      </c>
      <c r="L580" s="2">
        <f>VLOOKUP($C580,'[10]for slip'!$F:$BC,35,0)</f>
        <v>0</v>
      </c>
      <c r="M580" s="2">
        <f>VLOOKUP($C580,'[10]for slip'!$F:$BC,36,0)</f>
        <v>0</v>
      </c>
      <c r="N580" s="2">
        <f>VLOOKUP($C580,'[10]for slip'!$F:$BC,37,0)</f>
        <v>0</v>
      </c>
      <c r="O580" s="2">
        <f>VLOOKUP($C580,'[10]for slip'!$F:$BC,38,0)</f>
        <v>0</v>
      </c>
      <c r="P580" s="2">
        <f>VLOOKUP($C580,'[10]for slip'!$F:$BC,39,0)</f>
        <v>38000</v>
      </c>
      <c r="Q580" s="2">
        <f>VLOOKUP($C580,'[10]for slip'!$F:$BC,40,0)</f>
        <v>31700</v>
      </c>
      <c r="R580" s="2">
        <f>VLOOKUP($C580,'[10]for slip'!$F:$BC,41,0)</f>
        <v>0</v>
      </c>
      <c r="S580" s="2">
        <f>VLOOKUP($C580,'[10]for slip'!$F:$BC,42,0)</f>
        <v>0</v>
      </c>
      <c r="T580" s="2">
        <f>VLOOKUP($C580,'[10]for slip'!$F:$BC,43,0)</f>
        <v>53430.83</v>
      </c>
      <c r="U580" s="2">
        <f>VLOOKUP($C580,'[10]for slip'!$F:$BC,44,0)</f>
        <v>106861.66</v>
      </c>
      <c r="V580" s="2">
        <f>VLOOKUP($C580,'[10]for slip'!$F:$BC,45,0)</f>
        <v>53430.83</v>
      </c>
      <c r="W580" s="2">
        <f>VLOOKUP($C580,'[10]for slip'!$F:$BC,48,0)</f>
        <v>0</v>
      </c>
    </row>
    <row r="581" spans="1:23" x14ac:dyDescent="0.25">
      <c r="A581" s="1">
        <v>580</v>
      </c>
      <c r="B581" s="2" t="s">
        <v>1181</v>
      </c>
      <c r="C581" s="2" t="s">
        <v>1182</v>
      </c>
      <c r="D581" s="2" t="str">
        <f>VLOOKUP($C581,'[10]for slip'!$F:$BC,3,0)</f>
        <v>Pelaksana</v>
      </c>
      <c r="E581" s="2" t="str">
        <f>VLOOKUP($C581,'[10]for slip'!$F:$BC,4,0)</f>
        <v>Tool Maintenance</v>
      </c>
      <c r="F581" s="2">
        <f>VLOOKUP($C581,'[10]for slip'!$F:$BC,14,0)</f>
        <v>5343083</v>
      </c>
      <c r="G581" s="2">
        <f>VLOOKUP($C581,'[10]for slip'!$F:$BC,15,0)</f>
        <v>0</v>
      </c>
      <c r="H581" s="2">
        <f>VLOOKUP($C581,'[10]for slip'!$F:$BC,16,0)</f>
        <v>0</v>
      </c>
      <c r="I581" s="2">
        <f>VLOOKUP($C581,'[10]for slip'!$F:$BC,17,0)</f>
        <v>0</v>
      </c>
      <c r="J581" s="2">
        <f>VLOOKUP($C581,'[10]for slip'!$F:$BC,27,0)</f>
        <v>0</v>
      </c>
      <c r="K581" s="2">
        <f>VLOOKUP($C581,'[10]for slip'!$F:$BC,31,0)</f>
        <v>0</v>
      </c>
      <c r="L581" s="2">
        <f>VLOOKUP($C581,'[10]for slip'!$F:$BC,35,0)</f>
        <v>34354.584590750004</v>
      </c>
      <c r="M581" s="2">
        <f>VLOOKUP($C581,'[10]for slip'!$F:$BC,36,0)</f>
        <v>0</v>
      </c>
      <c r="N581" s="2">
        <f>VLOOKUP($C581,'[10]for slip'!$F:$BC,37,0)</f>
        <v>0</v>
      </c>
      <c r="O581" s="2">
        <f>VLOOKUP($C581,'[10]for slip'!$F:$BC,38,0)</f>
        <v>0</v>
      </c>
      <c r="P581" s="2">
        <f>VLOOKUP($C581,'[10]for slip'!$F:$BC,39,0)</f>
        <v>38000</v>
      </c>
      <c r="Q581" s="2">
        <f>VLOOKUP($C581,'[10]for slip'!$F:$BC,40,0)</f>
        <v>31700</v>
      </c>
      <c r="R581" s="2">
        <f>VLOOKUP($C581,'[10]for slip'!$F:$BC,41,0)</f>
        <v>0</v>
      </c>
      <c r="S581" s="2">
        <f>VLOOKUP($C581,'[10]for slip'!$F:$BC,42,0)</f>
        <v>0</v>
      </c>
      <c r="T581" s="2">
        <f>VLOOKUP($C581,'[10]for slip'!$F:$BC,43,0)</f>
        <v>53430.83</v>
      </c>
      <c r="U581" s="2">
        <f>VLOOKUP($C581,'[10]for slip'!$F:$BC,44,0)</f>
        <v>106861.66</v>
      </c>
      <c r="V581" s="2">
        <f>VLOOKUP($C581,'[10]for slip'!$F:$BC,45,0)</f>
        <v>53430.83</v>
      </c>
      <c r="W581" s="2">
        <f>VLOOKUP($C581,'[10]for slip'!$F:$BC,48,0)</f>
        <v>34354.584590750004</v>
      </c>
    </row>
    <row r="582" spans="1:23" x14ac:dyDescent="0.25">
      <c r="A582" s="1">
        <v>581</v>
      </c>
      <c r="B582" s="2" t="s">
        <v>1183</v>
      </c>
      <c r="C582" s="2" t="s">
        <v>1184</v>
      </c>
      <c r="D582" s="2" t="str">
        <f>VLOOKUP($C582,'[10]for slip'!$F:$BC,3,0)</f>
        <v>Pelaksana</v>
      </c>
      <c r="E582" s="2" t="str">
        <f>VLOOKUP($C582,'[10]for slip'!$F:$BC,4,0)</f>
        <v>Tool Maintenance</v>
      </c>
      <c r="F582" s="2">
        <f>VLOOKUP($C582,'[10]for slip'!$F:$BC,14,0)</f>
        <v>5343083</v>
      </c>
      <c r="G582" s="2">
        <f>VLOOKUP($C582,'[10]for slip'!$F:$BC,15,0)</f>
        <v>0</v>
      </c>
      <c r="H582" s="2">
        <f>VLOOKUP($C582,'[10]for slip'!$F:$BC,16,0)</f>
        <v>0</v>
      </c>
      <c r="I582" s="2">
        <f>VLOOKUP($C582,'[10]for slip'!$F:$BC,17,0)</f>
        <v>0</v>
      </c>
      <c r="J582" s="2">
        <f>VLOOKUP($C582,'[10]for slip'!$F:$BC,27,0)</f>
        <v>0</v>
      </c>
      <c r="K582" s="2">
        <f>VLOOKUP($C582,'[10]for slip'!$F:$BC,31,0)</f>
        <v>0</v>
      </c>
      <c r="L582" s="2">
        <f>VLOOKUP($C582,'[10]for slip'!$F:$BC,35,0)</f>
        <v>34354.584590750004</v>
      </c>
      <c r="M582" s="2">
        <f>VLOOKUP($C582,'[10]for slip'!$F:$BC,36,0)</f>
        <v>0</v>
      </c>
      <c r="N582" s="2">
        <f>VLOOKUP($C582,'[10]for slip'!$F:$BC,37,0)</f>
        <v>0</v>
      </c>
      <c r="O582" s="2">
        <f>VLOOKUP($C582,'[10]for slip'!$F:$BC,38,0)</f>
        <v>0</v>
      </c>
      <c r="P582" s="2">
        <f>VLOOKUP($C582,'[10]for slip'!$F:$BC,39,0)</f>
        <v>0</v>
      </c>
      <c r="Q582" s="2">
        <f>VLOOKUP($C582,'[10]for slip'!$F:$BC,40,0)</f>
        <v>0</v>
      </c>
      <c r="R582" s="2">
        <f>VLOOKUP($C582,'[10]for slip'!$F:$BC,41,0)</f>
        <v>0</v>
      </c>
      <c r="S582" s="2">
        <f>VLOOKUP($C582,'[10]for slip'!$F:$BC,42,0)</f>
        <v>0</v>
      </c>
      <c r="T582" s="2">
        <f>VLOOKUP($C582,'[10]for slip'!$F:$BC,43,0)</f>
        <v>53430.83</v>
      </c>
      <c r="U582" s="2">
        <f>VLOOKUP($C582,'[10]for slip'!$F:$BC,44,0)</f>
        <v>106861.66</v>
      </c>
      <c r="V582" s="2">
        <f>VLOOKUP($C582,'[10]for slip'!$F:$BC,45,0)</f>
        <v>53430.83</v>
      </c>
      <c r="W582" s="2">
        <f>VLOOKUP($C582,'[10]for slip'!$F:$BC,48,0)</f>
        <v>34354.584590750004</v>
      </c>
    </row>
    <row r="583" spans="1:23" x14ac:dyDescent="0.25">
      <c r="A583" s="1">
        <v>582</v>
      </c>
      <c r="B583" s="2" t="s">
        <v>1185</v>
      </c>
      <c r="C583" s="2" t="s">
        <v>1186</v>
      </c>
      <c r="D583" s="2" t="str">
        <f>VLOOKUP($C583,'[10]for slip'!$F:$BC,3,0)</f>
        <v>Pelaksana</v>
      </c>
      <c r="E583" s="2" t="str">
        <f>VLOOKUP($C583,'[10]for slip'!$F:$BC,4,0)</f>
        <v>Tool Maintenance</v>
      </c>
      <c r="F583" s="2">
        <f>VLOOKUP($C583,'[10]for slip'!$F:$BC,14,0)</f>
        <v>5343083</v>
      </c>
      <c r="G583" s="2">
        <f>VLOOKUP($C583,'[10]for slip'!$F:$BC,15,0)</f>
        <v>0</v>
      </c>
      <c r="H583" s="2">
        <f>VLOOKUP($C583,'[10]for slip'!$F:$BC,16,0)</f>
        <v>0</v>
      </c>
      <c r="I583" s="2">
        <f>VLOOKUP($C583,'[10]for slip'!$F:$BC,17,0)</f>
        <v>0</v>
      </c>
      <c r="J583" s="2">
        <f>VLOOKUP($C583,'[10]for slip'!$F:$BC,27,0)</f>
        <v>0</v>
      </c>
      <c r="K583" s="2">
        <f>VLOOKUP($C583,'[10]for slip'!$F:$BC,31,0)</f>
        <v>0</v>
      </c>
      <c r="L583" s="2">
        <f>VLOOKUP($C583,'[10]for slip'!$F:$BC,35,0)</f>
        <v>0</v>
      </c>
      <c r="M583" s="2">
        <f>VLOOKUP($C583,'[10]for slip'!$F:$BC,36,0)</f>
        <v>0</v>
      </c>
      <c r="N583" s="2">
        <f>VLOOKUP($C583,'[10]for slip'!$F:$BC,37,0)</f>
        <v>0</v>
      </c>
      <c r="O583" s="2">
        <f>VLOOKUP($C583,'[10]for slip'!$F:$BC,38,0)</f>
        <v>0</v>
      </c>
      <c r="P583" s="2">
        <f>VLOOKUP($C583,'[10]for slip'!$F:$BC,39,0)</f>
        <v>38000</v>
      </c>
      <c r="Q583" s="2">
        <f>VLOOKUP($C583,'[10]for slip'!$F:$BC,40,0)</f>
        <v>31700</v>
      </c>
      <c r="R583" s="2">
        <f>VLOOKUP($C583,'[10]for slip'!$F:$BC,41,0)</f>
        <v>0</v>
      </c>
      <c r="S583" s="2">
        <f>VLOOKUP($C583,'[10]for slip'!$F:$BC,42,0)</f>
        <v>0</v>
      </c>
      <c r="T583" s="2">
        <f>VLOOKUP($C583,'[10]for slip'!$F:$BC,43,0)</f>
        <v>53430.83</v>
      </c>
      <c r="U583" s="2">
        <f>VLOOKUP($C583,'[10]for slip'!$F:$BC,44,0)</f>
        <v>106861.66</v>
      </c>
      <c r="V583" s="2">
        <f>VLOOKUP($C583,'[10]for slip'!$F:$BC,45,0)</f>
        <v>53430.83</v>
      </c>
      <c r="W583" s="2">
        <f>VLOOKUP($C583,'[10]for slip'!$F:$BC,48,0)</f>
        <v>0</v>
      </c>
    </row>
    <row r="584" spans="1:23" x14ac:dyDescent="0.25">
      <c r="A584" s="1">
        <v>583</v>
      </c>
      <c r="B584" s="2" t="s">
        <v>1187</v>
      </c>
      <c r="C584" s="2" t="s">
        <v>1188</v>
      </c>
      <c r="D584" s="2" t="str">
        <f>VLOOKUP($C584,'[10]for slip'!$F:$BC,3,0)</f>
        <v>Pelaksana</v>
      </c>
      <c r="E584" s="2" t="str">
        <f>VLOOKUP($C584,'[10]for slip'!$F:$BC,4,0)</f>
        <v>Tool Maintenance</v>
      </c>
      <c r="F584" s="2">
        <f>VLOOKUP($C584,'[10]for slip'!$F:$BC,14,0)</f>
        <v>5343083</v>
      </c>
      <c r="G584" s="2">
        <f>VLOOKUP($C584,'[10]for slip'!$F:$BC,15,0)</f>
        <v>0</v>
      </c>
      <c r="H584" s="2">
        <f>VLOOKUP($C584,'[10]for slip'!$F:$BC,16,0)</f>
        <v>0</v>
      </c>
      <c r="I584" s="2">
        <f>VLOOKUP($C584,'[10]for slip'!$F:$BC,17,0)</f>
        <v>0</v>
      </c>
      <c r="J584" s="2">
        <f>VLOOKUP($C584,'[10]for slip'!$F:$BC,27,0)</f>
        <v>0</v>
      </c>
      <c r="K584" s="2">
        <f>VLOOKUP($C584,'[10]for slip'!$F:$BC,31,0)</f>
        <v>0</v>
      </c>
      <c r="L584" s="2">
        <f>VLOOKUP($C584,'[10]for slip'!$F:$BC,35,0)</f>
        <v>0</v>
      </c>
      <c r="M584" s="2">
        <f>VLOOKUP($C584,'[10]for slip'!$F:$BC,36,0)</f>
        <v>0</v>
      </c>
      <c r="N584" s="2">
        <f>VLOOKUP($C584,'[10]for slip'!$F:$BC,37,0)</f>
        <v>0</v>
      </c>
      <c r="O584" s="2">
        <f>VLOOKUP($C584,'[10]for slip'!$F:$BC,38,0)</f>
        <v>0</v>
      </c>
      <c r="P584" s="2">
        <f>VLOOKUP($C584,'[10]for slip'!$F:$BC,39,0)</f>
        <v>0</v>
      </c>
      <c r="Q584" s="2">
        <f>VLOOKUP($C584,'[10]for slip'!$F:$BC,40,0)</f>
        <v>31700</v>
      </c>
      <c r="R584" s="2">
        <f>VLOOKUP($C584,'[10]for slip'!$F:$BC,41,0)</f>
        <v>0</v>
      </c>
      <c r="S584" s="2">
        <f>VLOOKUP($C584,'[10]for slip'!$F:$BC,42,0)</f>
        <v>10000</v>
      </c>
      <c r="T584" s="2">
        <f>VLOOKUP($C584,'[10]for slip'!$F:$BC,43,0)</f>
        <v>53430.83</v>
      </c>
      <c r="U584" s="2">
        <f>VLOOKUP($C584,'[10]for slip'!$F:$BC,44,0)</f>
        <v>106861.66</v>
      </c>
      <c r="V584" s="2">
        <f>VLOOKUP($C584,'[10]for slip'!$F:$BC,45,0)</f>
        <v>53430.83</v>
      </c>
      <c r="W584" s="2">
        <f>VLOOKUP($C584,'[10]for slip'!$F:$BC,48,0)</f>
        <v>0</v>
      </c>
    </row>
    <row r="585" spans="1:23" x14ac:dyDescent="0.25">
      <c r="A585" s="1">
        <v>584</v>
      </c>
      <c r="B585" s="2" t="s">
        <v>1189</v>
      </c>
      <c r="C585" s="2" t="s">
        <v>1190</v>
      </c>
      <c r="D585" s="2" t="str">
        <f>VLOOKUP($C585,'[10]for slip'!$F:$BC,3,0)</f>
        <v>Pelaksana</v>
      </c>
      <c r="E585" s="2" t="str">
        <f>VLOOKUP($C585,'[10]for slip'!$F:$BC,4,0)</f>
        <v>Tool Maintenance</v>
      </c>
      <c r="F585" s="2">
        <f>VLOOKUP($C585,'[10]for slip'!$F:$BC,14,0)</f>
        <v>5343083</v>
      </c>
      <c r="G585" s="2">
        <f>VLOOKUP($C585,'[10]for slip'!$F:$BC,15,0)</f>
        <v>0</v>
      </c>
      <c r="H585" s="2">
        <f>VLOOKUP($C585,'[10]for slip'!$F:$BC,16,0)</f>
        <v>0</v>
      </c>
      <c r="I585" s="2">
        <f>VLOOKUP($C585,'[10]for slip'!$F:$BC,17,0)</f>
        <v>0</v>
      </c>
      <c r="J585" s="2">
        <f>VLOOKUP($C585,'[10]for slip'!$F:$BC,27,0)</f>
        <v>0</v>
      </c>
      <c r="K585" s="2">
        <f>VLOOKUP($C585,'[10]for slip'!$F:$BC,31,0)</f>
        <v>0</v>
      </c>
      <c r="L585" s="2">
        <f>VLOOKUP($C585,'[10]for slip'!$F:$BC,35,0)</f>
        <v>0</v>
      </c>
      <c r="M585" s="2">
        <f>VLOOKUP($C585,'[10]for slip'!$F:$BC,36,0)</f>
        <v>0</v>
      </c>
      <c r="N585" s="2">
        <f>VLOOKUP($C585,'[10]for slip'!$F:$BC,37,0)</f>
        <v>0</v>
      </c>
      <c r="O585" s="2">
        <f>VLOOKUP($C585,'[10]for slip'!$F:$BC,38,0)</f>
        <v>0</v>
      </c>
      <c r="P585" s="2">
        <f>VLOOKUP($C585,'[10]for slip'!$F:$BC,39,0)</f>
        <v>38000</v>
      </c>
      <c r="Q585" s="2">
        <f>VLOOKUP($C585,'[10]for slip'!$F:$BC,40,0)</f>
        <v>31700</v>
      </c>
      <c r="R585" s="2">
        <f>VLOOKUP($C585,'[10]for slip'!$F:$BC,41,0)</f>
        <v>0</v>
      </c>
      <c r="S585" s="2">
        <f>VLOOKUP($C585,'[10]for slip'!$F:$BC,42,0)</f>
        <v>10000</v>
      </c>
      <c r="T585" s="2">
        <f>VLOOKUP($C585,'[10]for slip'!$F:$BC,43,0)</f>
        <v>53430.83</v>
      </c>
      <c r="U585" s="2">
        <f>VLOOKUP($C585,'[10]for slip'!$F:$BC,44,0)</f>
        <v>106861.66</v>
      </c>
      <c r="V585" s="2">
        <f>VLOOKUP($C585,'[10]for slip'!$F:$BC,45,0)</f>
        <v>53430.83</v>
      </c>
      <c r="W585" s="2">
        <f>VLOOKUP($C585,'[10]for slip'!$F:$BC,48,0)</f>
        <v>0</v>
      </c>
    </row>
    <row r="586" spans="1:23" x14ac:dyDescent="0.25">
      <c r="A586" s="1">
        <v>585</v>
      </c>
      <c r="B586" s="2" t="s">
        <v>1191</v>
      </c>
      <c r="C586" s="2" t="s">
        <v>1192</v>
      </c>
      <c r="D586" s="2" t="str">
        <f>VLOOKUP($C586,'[10]for slip'!$F:$BC,3,0)</f>
        <v>Pelaksana</v>
      </c>
      <c r="E586" s="2" t="str">
        <f>VLOOKUP($C586,'[10]for slip'!$F:$BC,4,0)</f>
        <v>Tool Maintenance</v>
      </c>
      <c r="F586" s="2">
        <f>VLOOKUP($C586,'[10]for slip'!$F:$BC,14,0)</f>
        <v>5343083</v>
      </c>
      <c r="G586" s="2">
        <f>VLOOKUP($C586,'[10]for slip'!$F:$BC,15,0)</f>
        <v>0</v>
      </c>
      <c r="H586" s="2">
        <f>VLOOKUP($C586,'[10]for slip'!$F:$BC,16,0)</f>
        <v>0</v>
      </c>
      <c r="I586" s="2">
        <f>VLOOKUP($C586,'[10]for slip'!$F:$BC,17,0)</f>
        <v>0</v>
      </c>
      <c r="J586" s="2">
        <f>VLOOKUP($C586,'[10]for slip'!$F:$BC,27,0)</f>
        <v>0</v>
      </c>
      <c r="K586" s="2">
        <f>VLOOKUP($C586,'[10]for slip'!$F:$BC,31,0)</f>
        <v>0</v>
      </c>
      <c r="L586" s="2">
        <f>VLOOKUP($C586,'[10]for slip'!$F:$BC,35,0)</f>
        <v>34354.584590750004</v>
      </c>
      <c r="M586" s="2">
        <f>VLOOKUP($C586,'[10]for slip'!$F:$BC,36,0)</f>
        <v>0</v>
      </c>
      <c r="N586" s="2">
        <f>VLOOKUP($C586,'[10]for slip'!$F:$BC,37,0)</f>
        <v>0</v>
      </c>
      <c r="O586" s="2">
        <f>VLOOKUP($C586,'[10]for slip'!$F:$BC,38,0)</f>
        <v>0</v>
      </c>
      <c r="P586" s="2">
        <f>VLOOKUP($C586,'[10]for slip'!$F:$BC,39,0)</f>
        <v>0</v>
      </c>
      <c r="Q586" s="2">
        <f>VLOOKUP($C586,'[10]for slip'!$F:$BC,40,0)</f>
        <v>31700</v>
      </c>
      <c r="R586" s="2">
        <f>VLOOKUP($C586,'[10]for slip'!$F:$BC,41,0)</f>
        <v>0</v>
      </c>
      <c r="S586" s="2">
        <f>VLOOKUP($C586,'[10]for slip'!$F:$BC,42,0)</f>
        <v>0</v>
      </c>
      <c r="T586" s="2">
        <f>VLOOKUP($C586,'[10]for slip'!$F:$BC,43,0)</f>
        <v>53430.83</v>
      </c>
      <c r="U586" s="2">
        <f>VLOOKUP($C586,'[10]for slip'!$F:$BC,44,0)</f>
        <v>106861.66</v>
      </c>
      <c r="V586" s="2">
        <f>VLOOKUP($C586,'[10]for slip'!$F:$BC,45,0)</f>
        <v>53430.83</v>
      </c>
      <c r="W586" s="2">
        <f>VLOOKUP($C586,'[10]for slip'!$F:$BC,48,0)</f>
        <v>34354.584590750004</v>
      </c>
    </row>
    <row r="587" spans="1:23" x14ac:dyDescent="0.25">
      <c r="A587" s="1">
        <v>586</v>
      </c>
      <c r="B587" s="2" t="s">
        <v>1193</v>
      </c>
      <c r="C587" s="2" t="s">
        <v>1194</v>
      </c>
      <c r="D587" s="2" t="str">
        <f>VLOOKUP($C587,'[10]for slip'!$F:$BC,3,0)</f>
        <v>Pelaksana</v>
      </c>
      <c r="E587" s="2" t="str">
        <f>VLOOKUP($C587,'[10]for slip'!$F:$BC,4,0)</f>
        <v>Tool Maintenance</v>
      </c>
      <c r="F587" s="2">
        <f>VLOOKUP($C587,'[10]for slip'!$F:$BC,14,0)</f>
        <v>5343083</v>
      </c>
      <c r="G587" s="2">
        <f>VLOOKUP($C587,'[10]for slip'!$F:$BC,15,0)</f>
        <v>0</v>
      </c>
      <c r="H587" s="2">
        <f>VLOOKUP($C587,'[10]for slip'!$F:$BC,16,0)</f>
        <v>0</v>
      </c>
      <c r="I587" s="2">
        <f>VLOOKUP($C587,'[10]for slip'!$F:$BC,17,0)</f>
        <v>0</v>
      </c>
      <c r="J587" s="2">
        <f>VLOOKUP($C587,'[10]for slip'!$F:$BC,27,0)</f>
        <v>0</v>
      </c>
      <c r="K587" s="2">
        <f>VLOOKUP($C587,'[10]for slip'!$F:$BC,31,0)</f>
        <v>0</v>
      </c>
      <c r="L587" s="2">
        <f>VLOOKUP($C587,'[10]for slip'!$F:$BC,35,0)</f>
        <v>0</v>
      </c>
      <c r="M587" s="2">
        <f>VLOOKUP($C587,'[10]for slip'!$F:$BC,36,0)</f>
        <v>0</v>
      </c>
      <c r="N587" s="2">
        <f>VLOOKUP($C587,'[10]for slip'!$F:$BC,37,0)</f>
        <v>0</v>
      </c>
      <c r="O587" s="2">
        <f>VLOOKUP($C587,'[10]for slip'!$F:$BC,38,0)</f>
        <v>0</v>
      </c>
      <c r="P587" s="2">
        <f>VLOOKUP($C587,'[10]for slip'!$F:$BC,39,0)</f>
        <v>0</v>
      </c>
      <c r="Q587" s="2">
        <f>VLOOKUP($C587,'[10]for slip'!$F:$BC,40,0)</f>
        <v>31700</v>
      </c>
      <c r="R587" s="2">
        <f>VLOOKUP($C587,'[10]for slip'!$F:$BC,41,0)</f>
        <v>0</v>
      </c>
      <c r="S587" s="2">
        <f>VLOOKUP($C587,'[10]for slip'!$F:$BC,42,0)</f>
        <v>0</v>
      </c>
      <c r="T587" s="2">
        <f>VLOOKUP($C587,'[10]for slip'!$F:$BC,43,0)</f>
        <v>53430.83</v>
      </c>
      <c r="U587" s="2">
        <f>VLOOKUP($C587,'[10]for slip'!$F:$BC,44,0)</f>
        <v>106861.66</v>
      </c>
      <c r="V587" s="2">
        <f>VLOOKUP($C587,'[10]for slip'!$F:$BC,45,0)</f>
        <v>53430.83</v>
      </c>
      <c r="W587" s="2">
        <f>VLOOKUP($C587,'[10]for slip'!$F:$BC,48,0)</f>
        <v>0</v>
      </c>
    </row>
    <row r="588" spans="1:23" x14ac:dyDescent="0.25">
      <c r="A588" s="1">
        <v>587</v>
      </c>
      <c r="B588" s="2" t="s">
        <v>1195</v>
      </c>
      <c r="C588" s="2" t="s">
        <v>1196</v>
      </c>
      <c r="D588" s="2" t="str">
        <f>VLOOKUP($C588,'[10]for slip'!$F:$BC,3,0)</f>
        <v>Pelaksana</v>
      </c>
      <c r="E588" s="2" t="str">
        <f>VLOOKUP($C588,'[10]for slip'!$F:$BC,4,0)</f>
        <v>Tool Maintenance</v>
      </c>
      <c r="F588" s="2">
        <f>VLOOKUP($C588,'[10]for slip'!$F:$BC,14,0)</f>
        <v>5343083</v>
      </c>
      <c r="G588" s="2">
        <f>VLOOKUP($C588,'[10]for slip'!$F:$BC,15,0)</f>
        <v>0</v>
      </c>
      <c r="H588" s="2">
        <f>VLOOKUP($C588,'[10]for slip'!$F:$BC,16,0)</f>
        <v>0</v>
      </c>
      <c r="I588" s="2">
        <f>VLOOKUP($C588,'[10]for slip'!$F:$BC,17,0)</f>
        <v>0</v>
      </c>
      <c r="J588" s="2">
        <f>VLOOKUP($C588,'[10]for slip'!$F:$BC,27,0)</f>
        <v>0</v>
      </c>
      <c r="K588" s="2">
        <f>VLOOKUP($C588,'[10]for slip'!$F:$BC,31,0)</f>
        <v>0</v>
      </c>
      <c r="L588" s="2">
        <f>VLOOKUP($C588,'[10]for slip'!$F:$BC,35,0)</f>
        <v>34354.584590750004</v>
      </c>
      <c r="M588" s="2">
        <f>VLOOKUP($C588,'[10]for slip'!$F:$BC,36,0)</f>
        <v>0</v>
      </c>
      <c r="N588" s="2">
        <f>VLOOKUP($C588,'[10]for slip'!$F:$BC,37,0)</f>
        <v>0</v>
      </c>
      <c r="O588" s="2">
        <f>VLOOKUP($C588,'[10]for slip'!$F:$BC,38,0)</f>
        <v>0</v>
      </c>
      <c r="P588" s="2">
        <f>VLOOKUP($C588,'[10]for slip'!$F:$BC,39,0)</f>
        <v>0</v>
      </c>
      <c r="Q588" s="2">
        <f>VLOOKUP($C588,'[10]for slip'!$F:$BC,40,0)</f>
        <v>31700</v>
      </c>
      <c r="R588" s="2">
        <f>VLOOKUP($C588,'[10]for slip'!$F:$BC,41,0)</f>
        <v>0</v>
      </c>
      <c r="S588" s="2">
        <f>VLOOKUP($C588,'[10]for slip'!$F:$BC,42,0)</f>
        <v>0</v>
      </c>
      <c r="T588" s="2">
        <f>VLOOKUP($C588,'[10]for slip'!$F:$BC,43,0)</f>
        <v>53430.83</v>
      </c>
      <c r="U588" s="2">
        <f>VLOOKUP($C588,'[10]for slip'!$F:$BC,44,0)</f>
        <v>106861.66</v>
      </c>
      <c r="V588" s="2">
        <f>VLOOKUP($C588,'[10]for slip'!$F:$BC,45,0)</f>
        <v>53430.83</v>
      </c>
      <c r="W588" s="2">
        <f>VLOOKUP($C588,'[10]for slip'!$F:$BC,48,0)</f>
        <v>34354.584590750004</v>
      </c>
    </row>
    <row r="589" spans="1:23" x14ac:dyDescent="0.25">
      <c r="A589" s="1">
        <v>588</v>
      </c>
      <c r="B589" s="2" t="s">
        <v>1197</v>
      </c>
      <c r="C589" s="2" t="s">
        <v>1198</v>
      </c>
      <c r="D589" s="2" t="str">
        <f>VLOOKUP($C589,'[10]for slip'!$F:$BC,3,0)</f>
        <v>Sect Head</v>
      </c>
      <c r="E589" s="2" t="str">
        <f>VLOOKUP($C589,'[10]for slip'!$F:$BC,4,0)</f>
        <v>Tool Maintenance</v>
      </c>
      <c r="F589" s="2">
        <f>VLOOKUP($C589,'[10]for slip'!$F:$BC,14,0)</f>
        <v>7500000</v>
      </c>
      <c r="G589" s="2">
        <f>VLOOKUP($C589,'[10]for slip'!$F:$BC,15,0)</f>
        <v>1500000</v>
      </c>
      <c r="H589" s="2">
        <f>VLOOKUP($C589,'[10]for slip'!$F:$BC,16,0)</f>
        <v>0</v>
      </c>
      <c r="I589" s="2">
        <f>VLOOKUP($C589,'[10]for slip'!$F:$BC,17,0)</f>
        <v>0</v>
      </c>
      <c r="J589" s="2">
        <f>VLOOKUP($C589,'[10]for slip'!$F:$BC,27,0)</f>
        <v>0</v>
      </c>
      <c r="K589" s="2">
        <f>VLOOKUP($C589,'[10]for slip'!$F:$BC,31,0)</f>
        <v>0</v>
      </c>
      <c r="L589" s="2">
        <f>VLOOKUP($C589,'[10]for slip'!$F:$BC,35,0)</f>
        <v>174478.81499999997</v>
      </c>
      <c r="M589" s="2">
        <f>VLOOKUP($C589,'[10]for slip'!$F:$BC,36,0)</f>
        <v>0</v>
      </c>
      <c r="N589" s="2">
        <f>VLOOKUP($C589,'[10]for slip'!$F:$BC,37,0)</f>
        <v>0</v>
      </c>
      <c r="O589" s="2">
        <f>VLOOKUP($C589,'[10]for slip'!$F:$BC,38,0)</f>
        <v>0</v>
      </c>
      <c r="P589" s="2">
        <f>VLOOKUP($C589,'[10]for slip'!$F:$BC,39,0)</f>
        <v>0</v>
      </c>
      <c r="Q589" s="2">
        <f>VLOOKUP($C589,'[10]for slip'!$F:$BC,40,0)</f>
        <v>0</v>
      </c>
      <c r="R589" s="2">
        <f>VLOOKUP($C589,'[10]for slip'!$F:$BC,41,0)</f>
        <v>0</v>
      </c>
      <c r="S589" s="2">
        <f>VLOOKUP($C589,'[10]for slip'!$F:$BC,42,0)</f>
        <v>0</v>
      </c>
      <c r="T589" s="2">
        <f>VLOOKUP($C589,'[10]for slip'!$F:$BC,43,0)</f>
        <v>90000</v>
      </c>
      <c r="U589" s="2">
        <f>VLOOKUP($C589,'[10]for slip'!$F:$BC,44,0)</f>
        <v>180000</v>
      </c>
      <c r="V589" s="2">
        <f>VLOOKUP($C589,'[10]for slip'!$F:$BC,45,0)</f>
        <v>87546</v>
      </c>
      <c r="W589" s="2">
        <f>VLOOKUP($C589,'[10]for slip'!$F:$BC,48,0)</f>
        <v>174478.81499999997</v>
      </c>
    </row>
    <row r="590" spans="1:23" x14ac:dyDescent="0.25">
      <c r="A590" s="1">
        <v>589</v>
      </c>
      <c r="B590" s="2" t="s">
        <v>1199</v>
      </c>
      <c r="C590" s="2" t="s">
        <v>1200</v>
      </c>
      <c r="D590" s="2" t="str">
        <f>VLOOKUP($C590,'[10]for slip'!$F:$BC,3,0)</f>
        <v>Pelaksana</v>
      </c>
      <c r="E590" s="2" t="str">
        <f>VLOOKUP($C590,'[10]for slip'!$F:$BC,4,0)</f>
        <v>Tool Maintenance</v>
      </c>
      <c r="F590" s="2">
        <f>VLOOKUP($C590,'[10]for slip'!$F:$BC,14,0)</f>
        <v>4924046</v>
      </c>
      <c r="G590" s="2">
        <f>VLOOKUP($C590,'[10]for slip'!$F:$BC,15,0)</f>
        <v>0</v>
      </c>
      <c r="H590" s="2">
        <f>VLOOKUP($C590,'[10]for slip'!$F:$BC,16,0)</f>
        <v>0</v>
      </c>
      <c r="I590" s="2">
        <f>VLOOKUP($C590,'[10]for slip'!$F:$BC,17,0)</f>
        <v>0</v>
      </c>
      <c r="J590" s="2">
        <f>VLOOKUP($C590,'[10]for slip'!$F:$BC,27,0)</f>
        <v>0</v>
      </c>
      <c r="K590" s="2">
        <f>VLOOKUP($C590,'[10]for slip'!$F:$BC,31,0)</f>
        <v>0</v>
      </c>
      <c r="L590" s="2">
        <f>VLOOKUP($C590,'[10]for slip'!$F:$BC,35,0)</f>
        <v>0</v>
      </c>
      <c r="M590" s="2">
        <f>VLOOKUP($C590,'[10]for slip'!$F:$BC,36,0)</f>
        <v>0</v>
      </c>
      <c r="N590" s="2">
        <f>VLOOKUP($C590,'[10]for slip'!$F:$BC,37,0)</f>
        <v>11</v>
      </c>
      <c r="O590" s="2">
        <f>VLOOKUP($C590,'[10]for slip'!$F:$BC,38,0)</f>
        <v>2579262</v>
      </c>
      <c r="P590" s="2">
        <f>VLOOKUP($C590,'[10]for slip'!$F:$BC,39,0)</f>
        <v>38000</v>
      </c>
      <c r="Q590" s="2">
        <f>VLOOKUP($C590,'[10]for slip'!$F:$BC,40,0)</f>
        <v>0</v>
      </c>
      <c r="R590" s="2">
        <f>VLOOKUP($C590,'[10]for slip'!$F:$BC,41,0)</f>
        <v>0</v>
      </c>
      <c r="S590" s="2">
        <f>VLOOKUP($C590,'[10]for slip'!$F:$BC,42,0)</f>
        <v>0</v>
      </c>
      <c r="T590" s="2">
        <f>VLOOKUP($C590,'[10]for slip'!$F:$BC,43,0)</f>
        <v>49240.49</v>
      </c>
      <c r="U590" s="2">
        <f>VLOOKUP($C590,'[10]for slip'!$F:$BC,44,0)</f>
        <v>98480.92</v>
      </c>
      <c r="V590" s="2">
        <f>VLOOKUP($C590,'[10]for slip'!$F:$BC,45,0)</f>
        <v>49240.46</v>
      </c>
      <c r="W590" s="2">
        <f>VLOOKUP($C590,'[10]for slip'!$F:$BC,48,0)</f>
        <v>0</v>
      </c>
    </row>
    <row r="591" spans="1:23" x14ac:dyDescent="0.25">
      <c r="A591" s="1">
        <v>590</v>
      </c>
      <c r="B591" s="2" t="s">
        <v>1201</v>
      </c>
      <c r="C591" s="2" t="s">
        <v>1202</v>
      </c>
      <c r="D591" s="2" t="str">
        <f>VLOOKUP($C591,'[10]for slip'!$F:$BC,3,0)</f>
        <v>Specialist</v>
      </c>
      <c r="E591" s="2" t="str">
        <f>VLOOKUP($C591,'[10]for slip'!$F:$BC,4,0)</f>
        <v>Sales</v>
      </c>
      <c r="F591" s="2">
        <f>VLOOKUP($C591,'[10]for slip'!$F:$BC,14,0)</f>
        <v>11110323</v>
      </c>
      <c r="G591" s="2">
        <f>VLOOKUP($C591,'[10]for slip'!$F:$BC,15,0)</f>
        <v>0</v>
      </c>
      <c r="H591" s="2">
        <f>VLOOKUP($C591,'[10]for slip'!$F:$BC,16,0)</f>
        <v>0</v>
      </c>
      <c r="I591" s="2">
        <f>VLOOKUP($C591,'[10]for slip'!$F:$BC,17,0)</f>
        <v>213723</v>
      </c>
      <c r="J591" s="2">
        <f>VLOOKUP($C591,'[10]for slip'!$F:$BC,27,0)</f>
        <v>0</v>
      </c>
      <c r="K591" s="2">
        <f>VLOOKUP($C591,'[10]for slip'!$F:$BC,31,0)</f>
        <v>539240</v>
      </c>
      <c r="L591" s="2">
        <f>VLOOKUP($C591,'[10]for slip'!$F:$BC,35,0)</f>
        <v>641168.94744333334</v>
      </c>
      <c r="M591" s="2">
        <f>VLOOKUP($C591,'[10]for slip'!$F:$BC,36,0)</f>
        <v>0</v>
      </c>
      <c r="N591" s="2">
        <f>VLOOKUP($C591,'[10]for slip'!$F:$BC,37,0)</f>
        <v>0</v>
      </c>
      <c r="O591" s="2">
        <f>VLOOKUP($C591,'[10]for slip'!$F:$BC,38,0)</f>
        <v>0</v>
      </c>
      <c r="P591" s="2">
        <f>VLOOKUP($C591,'[10]for slip'!$F:$BC,39,0)</f>
        <v>38000</v>
      </c>
      <c r="Q591" s="2">
        <f>VLOOKUP($C591,'[10]for slip'!$F:$BC,40,0)</f>
        <v>31700</v>
      </c>
      <c r="R591" s="2">
        <f>VLOOKUP($C591,'[10]for slip'!$F:$BC,41,0)</f>
        <v>0</v>
      </c>
      <c r="S591" s="2">
        <f>VLOOKUP($C591,'[10]for slip'!$F:$BC,42,0)</f>
        <v>0</v>
      </c>
      <c r="T591" s="2">
        <f>VLOOKUP($C591,'[10]for slip'!$F:$BC,43,0)</f>
        <v>92055.55</v>
      </c>
      <c r="U591" s="2">
        <f>VLOOKUP($C591,'[10]for slip'!$F:$BC,44,0)</f>
        <v>226480.92</v>
      </c>
      <c r="V591" s="2">
        <f>VLOOKUP($C591,'[10]for slip'!$F:$BC,45,0)</f>
        <v>87546</v>
      </c>
      <c r="W591" s="2">
        <f>VLOOKUP($C591,'[10]for slip'!$F:$BC,48,0)</f>
        <v>641168.94744333334</v>
      </c>
    </row>
    <row r="592" spans="1:23" x14ac:dyDescent="0.25">
      <c r="A592" s="1">
        <v>591</v>
      </c>
      <c r="B592" s="2" t="s">
        <v>1203</v>
      </c>
      <c r="C592" s="2" t="s">
        <v>1204</v>
      </c>
      <c r="D592" s="2" t="str">
        <f>VLOOKUP($C592,'[10]for slip'!$F:$BC,3,0)</f>
        <v>Staff</v>
      </c>
      <c r="E592" s="2" t="str">
        <f>VLOOKUP($C592,'[10]for slip'!$F:$BC,4,0)</f>
        <v>Sales</v>
      </c>
      <c r="F592" s="2">
        <f>VLOOKUP($C592,'[10]for slip'!$F:$BC,14,0)</f>
        <v>5000000</v>
      </c>
      <c r="G592" s="2">
        <f>VLOOKUP($C592,'[10]for slip'!$F:$BC,15,0)</f>
        <v>0</v>
      </c>
      <c r="H592" s="2">
        <f>VLOOKUP($C592,'[10]for slip'!$F:$BC,16,0)</f>
        <v>1088300</v>
      </c>
      <c r="I592" s="2">
        <f>VLOOKUP($C592,'[10]for slip'!$F:$BC,17,0)</f>
        <v>181581</v>
      </c>
      <c r="J592" s="2">
        <f>VLOOKUP($C592,'[10]for slip'!$F:$BC,27,0)</f>
        <v>0</v>
      </c>
      <c r="K592" s="2">
        <f>VLOOKUP($C592,'[10]for slip'!$F:$BC,31,0)</f>
        <v>0</v>
      </c>
      <c r="L592" s="2">
        <f>VLOOKUP($C592,'[10]for slip'!$F:$BC,35,0)</f>
        <v>23091.591210250059</v>
      </c>
      <c r="M592" s="2">
        <f>VLOOKUP($C592,'[10]for slip'!$F:$BC,36,0)</f>
        <v>0</v>
      </c>
      <c r="N592" s="2">
        <f>VLOOKUP($C592,'[10]for slip'!$F:$BC,37,0)</f>
        <v>0</v>
      </c>
      <c r="O592" s="2">
        <f>VLOOKUP($C592,'[10]for slip'!$F:$BC,38,0)</f>
        <v>0</v>
      </c>
      <c r="P592" s="2">
        <f>VLOOKUP($C592,'[10]for slip'!$F:$BC,39,0)</f>
        <v>0</v>
      </c>
      <c r="Q592" s="2">
        <f>VLOOKUP($C592,'[10]for slip'!$F:$BC,40,0)</f>
        <v>31700</v>
      </c>
      <c r="R592" s="2">
        <f>VLOOKUP($C592,'[10]for slip'!$F:$BC,41,0)</f>
        <v>0</v>
      </c>
      <c r="S592" s="2">
        <f>VLOOKUP($C592,'[10]for slip'!$F:$BC,42,0)</f>
        <v>10000</v>
      </c>
      <c r="T592" s="2">
        <f>VLOOKUP($C592,'[10]for slip'!$F:$BC,43,0)</f>
        <v>62698.81</v>
      </c>
      <c r="U592" s="2">
        <f>VLOOKUP($C592,'[10]for slip'!$F:$BC,44,0)</f>
        <v>125397.62</v>
      </c>
      <c r="V592" s="2">
        <f>VLOOKUP($C592,'[10]for slip'!$F:$BC,45,0)</f>
        <v>62698.81</v>
      </c>
      <c r="W592" s="2">
        <f>VLOOKUP($C592,'[10]for slip'!$F:$BC,48,0)</f>
        <v>23091.591210250059</v>
      </c>
    </row>
    <row r="593" spans="1:23" x14ac:dyDescent="0.25">
      <c r="A593" s="1">
        <v>592</v>
      </c>
      <c r="B593" s="2" t="s">
        <v>1205</v>
      </c>
      <c r="C593" s="2" t="s">
        <v>1206</v>
      </c>
      <c r="D593" s="2" t="str">
        <f>VLOOKUP($C593,'[10]for slip'!$F:$BC,3,0)</f>
        <v>Staff</v>
      </c>
      <c r="E593" s="2" t="str">
        <f>VLOOKUP($C593,'[10]for slip'!$F:$BC,4,0)</f>
        <v>Sales</v>
      </c>
      <c r="F593" s="2">
        <f>VLOOKUP($C593,'[10]for slip'!$F:$BC,14,0)</f>
        <v>5343083</v>
      </c>
      <c r="G593" s="2">
        <f>VLOOKUP($C593,'[10]for slip'!$F:$BC,15,0)</f>
        <v>0</v>
      </c>
      <c r="H593" s="2">
        <f>VLOOKUP($C593,'[10]for slip'!$F:$BC,16,0)</f>
        <v>0</v>
      </c>
      <c r="I593" s="2">
        <f>VLOOKUP($C593,'[10]for slip'!$F:$BC,17,0)</f>
        <v>0</v>
      </c>
      <c r="J593" s="2">
        <f>VLOOKUP($C593,'[10]for slip'!$F:$BC,27,0)</f>
        <v>0</v>
      </c>
      <c r="K593" s="2">
        <f>VLOOKUP($C593,'[10]for slip'!$F:$BC,31,0)</f>
        <v>0</v>
      </c>
      <c r="L593" s="2">
        <f>VLOOKUP($C593,'[10]for slip'!$F:$BC,35,0)</f>
        <v>34829.584590750004</v>
      </c>
      <c r="M593" s="2">
        <f>VLOOKUP($C593,'[10]for slip'!$F:$BC,36,0)</f>
        <v>0</v>
      </c>
      <c r="N593" s="2">
        <f>VLOOKUP($C593,'[10]for slip'!$F:$BC,37,0)</f>
        <v>0</v>
      </c>
      <c r="O593" s="2">
        <f>VLOOKUP($C593,'[10]for slip'!$F:$BC,38,0)</f>
        <v>0</v>
      </c>
      <c r="P593" s="2">
        <f>VLOOKUP($C593,'[10]for slip'!$F:$BC,39,0)</f>
        <v>38000</v>
      </c>
      <c r="Q593" s="2">
        <f>VLOOKUP($C593,'[10]for slip'!$F:$BC,40,0)</f>
        <v>0</v>
      </c>
      <c r="R593" s="2">
        <f>VLOOKUP($C593,'[10]for slip'!$F:$BC,41,0)</f>
        <v>0</v>
      </c>
      <c r="S593" s="2">
        <f>VLOOKUP($C593,'[10]for slip'!$F:$BC,42,0)</f>
        <v>0</v>
      </c>
      <c r="T593" s="2">
        <f>VLOOKUP($C593,'[10]for slip'!$F:$BC,43,0)</f>
        <v>55930.83</v>
      </c>
      <c r="U593" s="2">
        <f>VLOOKUP($C593,'[10]for slip'!$F:$BC,44,0)</f>
        <v>106861.66</v>
      </c>
      <c r="V593" s="2">
        <f>VLOOKUP($C593,'[10]for slip'!$F:$BC,45,0)</f>
        <v>53430.83</v>
      </c>
      <c r="W593" s="2">
        <f>VLOOKUP($C593,'[10]for slip'!$F:$BC,48,0)</f>
        <v>34829.584590750004</v>
      </c>
    </row>
    <row r="594" spans="1:23" x14ac:dyDescent="0.25">
      <c r="A594" s="1">
        <v>593</v>
      </c>
      <c r="B594" s="2" t="s">
        <v>1207</v>
      </c>
      <c r="C594" s="2" t="s">
        <v>1208</v>
      </c>
      <c r="D594" s="2" t="str">
        <f>VLOOKUP($C594,'[10]for slip'!$F:$BC,3,0)</f>
        <v>Staff</v>
      </c>
      <c r="E594" s="2" t="str">
        <f>VLOOKUP($C594,'[10]for slip'!$F:$BC,4,0)</f>
        <v>Sales</v>
      </c>
      <c r="F594" s="2">
        <f>VLOOKUP($C594,'[10]for slip'!$F:$BC,14,0)</f>
        <v>5343083</v>
      </c>
      <c r="G594" s="2">
        <f>VLOOKUP($C594,'[10]for slip'!$F:$BC,15,0)</f>
        <v>0</v>
      </c>
      <c r="H594" s="2">
        <f>VLOOKUP($C594,'[10]for slip'!$F:$BC,16,0)</f>
        <v>0</v>
      </c>
      <c r="I594" s="2">
        <f>VLOOKUP($C594,'[10]for slip'!$F:$BC,17,0)</f>
        <v>0</v>
      </c>
      <c r="J594" s="2">
        <f>VLOOKUP($C594,'[10]for slip'!$F:$BC,27,0)</f>
        <v>0</v>
      </c>
      <c r="K594" s="2">
        <f>VLOOKUP($C594,'[10]for slip'!$F:$BC,31,0)</f>
        <v>0</v>
      </c>
      <c r="L594" s="2">
        <f>VLOOKUP($C594,'[10]for slip'!$F:$BC,35,0)</f>
        <v>34354.584590750004</v>
      </c>
      <c r="M594" s="2">
        <f>VLOOKUP($C594,'[10]for slip'!$F:$BC,36,0)</f>
        <v>0</v>
      </c>
      <c r="N594" s="2">
        <f>VLOOKUP($C594,'[10]for slip'!$F:$BC,37,0)</f>
        <v>0</v>
      </c>
      <c r="O594" s="2">
        <f>VLOOKUP($C594,'[10]for slip'!$F:$BC,38,0)</f>
        <v>0</v>
      </c>
      <c r="P594" s="2">
        <f>VLOOKUP($C594,'[10]for slip'!$F:$BC,39,0)</f>
        <v>0</v>
      </c>
      <c r="Q594" s="2">
        <f>VLOOKUP($C594,'[10]for slip'!$F:$BC,40,0)</f>
        <v>31700</v>
      </c>
      <c r="R594" s="2">
        <f>VLOOKUP($C594,'[10]for slip'!$F:$BC,41,0)</f>
        <v>0</v>
      </c>
      <c r="S594" s="2">
        <f>VLOOKUP($C594,'[10]for slip'!$F:$BC,42,0)</f>
        <v>0</v>
      </c>
      <c r="T594" s="2">
        <f>VLOOKUP($C594,'[10]for slip'!$F:$BC,43,0)</f>
        <v>53430.83</v>
      </c>
      <c r="U594" s="2">
        <f>VLOOKUP($C594,'[10]for slip'!$F:$BC,44,0)</f>
        <v>106861.66</v>
      </c>
      <c r="V594" s="2">
        <f>VLOOKUP($C594,'[10]for slip'!$F:$BC,45,0)</f>
        <v>53430.83</v>
      </c>
      <c r="W594" s="2">
        <f>VLOOKUP($C594,'[10]for slip'!$F:$BC,48,0)</f>
        <v>34354.584590750004</v>
      </c>
    </row>
    <row r="595" spans="1:23" x14ac:dyDescent="0.25">
      <c r="A595" s="1">
        <v>594</v>
      </c>
      <c r="B595" s="2" t="s">
        <v>1209</v>
      </c>
      <c r="C595" s="2" t="s">
        <v>1210</v>
      </c>
      <c r="D595" s="2" t="str">
        <f>VLOOKUP($C595,'[10]for slip'!$F:$BC,3,0)</f>
        <v>Staff</v>
      </c>
      <c r="E595" s="2" t="str">
        <f>VLOOKUP($C595,'[10]for slip'!$F:$BC,4,0)</f>
        <v>Sales</v>
      </c>
      <c r="F595" s="2">
        <f>VLOOKUP($C595,'[10]for slip'!$F:$BC,14,0)</f>
        <v>5343083</v>
      </c>
      <c r="G595" s="2">
        <f>VLOOKUP($C595,'[10]for slip'!$F:$BC,15,0)</f>
        <v>0</v>
      </c>
      <c r="H595" s="2">
        <f>VLOOKUP($C595,'[10]for slip'!$F:$BC,16,0)</f>
        <v>475954</v>
      </c>
      <c r="I595" s="2">
        <f>VLOOKUP($C595,'[10]for slip'!$F:$BC,17,0)</f>
        <v>0</v>
      </c>
      <c r="J595" s="2">
        <f>VLOOKUP($C595,'[10]for slip'!$F:$BC,27,0)</f>
        <v>0</v>
      </c>
      <c r="K595" s="2">
        <f>VLOOKUP($C595,'[10]for slip'!$F:$BC,31,0)</f>
        <v>0</v>
      </c>
      <c r="L595" s="2">
        <f>VLOOKUP($C595,'[10]for slip'!$F:$BC,35,0)</f>
        <v>57457.510739249992</v>
      </c>
      <c r="M595" s="2">
        <f>VLOOKUP($C595,'[10]for slip'!$F:$BC,36,0)</f>
        <v>0</v>
      </c>
      <c r="N595" s="2">
        <f>VLOOKUP($C595,'[10]for slip'!$F:$BC,37,0)</f>
        <v>0</v>
      </c>
      <c r="O595" s="2">
        <f>VLOOKUP($C595,'[10]for slip'!$F:$BC,38,0)</f>
        <v>0</v>
      </c>
      <c r="P595" s="2">
        <f>VLOOKUP($C595,'[10]for slip'!$F:$BC,39,0)</f>
        <v>38000</v>
      </c>
      <c r="Q595" s="2">
        <f>VLOOKUP($C595,'[10]for slip'!$F:$BC,40,0)</f>
        <v>31700</v>
      </c>
      <c r="R595" s="2">
        <f>VLOOKUP($C595,'[10]for slip'!$F:$BC,41,0)</f>
        <v>0</v>
      </c>
      <c r="S595" s="2">
        <f>VLOOKUP($C595,'[10]for slip'!$F:$BC,42,0)</f>
        <v>0</v>
      </c>
      <c r="T595" s="2">
        <f>VLOOKUP($C595,'[10]for slip'!$F:$BC,43,0)</f>
        <v>58190.37</v>
      </c>
      <c r="U595" s="2">
        <f>VLOOKUP($C595,'[10]for slip'!$F:$BC,44,0)</f>
        <v>116380.74</v>
      </c>
      <c r="V595" s="2">
        <f>VLOOKUP($C595,'[10]for slip'!$F:$BC,45,0)</f>
        <v>58190.37</v>
      </c>
      <c r="W595" s="2">
        <f>VLOOKUP($C595,'[10]for slip'!$F:$BC,48,0)</f>
        <v>57457.510739249992</v>
      </c>
    </row>
    <row r="596" spans="1:23" x14ac:dyDescent="0.25">
      <c r="A596" s="1">
        <v>595</v>
      </c>
      <c r="B596" s="2" t="s">
        <v>1211</v>
      </c>
      <c r="C596" s="2" t="s">
        <v>1212</v>
      </c>
      <c r="D596" s="2" t="str">
        <f>VLOOKUP($C596,'[10]for slip'!$F:$BC,3,0)</f>
        <v>Staff</v>
      </c>
      <c r="E596" s="2" t="str">
        <f>VLOOKUP($C596,'[10]for slip'!$F:$BC,4,0)</f>
        <v>Sales</v>
      </c>
      <c r="F596" s="2">
        <f>VLOOKUP($C596,'[10]for slip'!$F:$BC,14,0)</f>
        <v>5343083</v>
      </c>
      <c r="G596" s="2">
        <f>VLOOKUP($C596,'[10]for slip'!$F:$BC,15,0)</f>
        <v>0</v>
      </c>
      <c r="H596" s="2">
        <f>VLOOKUP($C596,'[10]for slip'!$F:$BC,16,0)</f>
        <v>0</v>
      </c>
      <c r="I596" s="2">
        <f>VLOOKUP($C596,'[10]for slip'!$F:$BC,17,0)</f>
        <v>0</v>
      </c>
      <c r="J596" s="2">
        <f>VLOOKUP($C596,'[10]for slip'!$F:$BC,27,0)</f>
        <v>0</v>
      </c>
      <c r="K596" s="2">
        <f>VLOOKUP($C596,'[10]for slip'!$F:$BC,31,0)</f>
        <v>0</v>
      </c>
      <c r="L596" s="2">
        <f>VLOOKUP($C596,'[10]for slip'!$F:$BC,35,0)</f>
        <v>34354.584590750004</v>
      </c>
      <c r="M596" s="2">
        <f>VLOOKUP($C596,'[10]for slip'!$F:$BC,36,0)</f>
        <v>0</v>
      </c>
      <c r="N596" s="2">
        <f>VLOOKUP($C596,'[10]for slip'!$F:$BC,37,0)</f>
        <v>0</v>
      </c>
      <c r="O596" s="2">
        <f>VLOOKUP($C596,'[10]for slip'!$F:$BC,38,0)</f>
        <v>0</v>
      </c>
      <c r="P596" s="2">
        <f>VLOOKUP($C596,'[10]for slip'!$F:$BC,39,0)</f>
        <v>0</v>
      </c>
      <c r="Q596" s="2">
        <f>VLOOKUP($C596,'[10]for slip'!$F:$BC,40,0)</f>
        <v>31700</v>
      </c>
      <c r="R596" s="2">
        <f>VLOOKUP($C596,'[10]for slip'!$F:$BC,41,0)</f>
        <v>0</v>
      </c>
      <c r="S596" s="2">
        <f>VLOOKUP($C596,'[10]for slip'!$F:$BC,42,0)</f>
        <v>0</v>
      </c>
      <c r="T596" s="2">
        <f>VLOOKUP($C596,'[10]for slip'!$F:$BC,43,0)</f>
        <v>53430.83</v>
      </c>
      <c r="U596" s="2">
        <f>VLOOKUP($C596,'[10]for slip'!$F:$BC,44,0)</f>
        <v>106861.66</v>
      </c>
      <c r="V596" s="2">
        <f>VLOOKUP($C596,'[10]for slip'!$F:$BC,45,0)</f>
        <v>53430.83</v>
      </c>
      <c r="W596" s="2">
        <f>VLOOKUP($C596,'[10]for slip'!$F:$BC,48,0)</f>
        <v>34354.584590750004</v>
      </c>
    </row>
    <row r="597" spans="1:23" x14ac:dyDescent="0.25">
      <c r="A597" s="1">
        <v>596</v>
      </c>
      <c r="B597" s="2" t="s">
        <v>1213</v>
      </c>
      <c r="C597" s="2" t="s">
        <v>1214</v>
      </c>
      <c r="D597" s="2" t="str">
        <f>VLOOKUP($C597,'[10]for slip'!$F:$BC,3,0)</f>
        <v>Leader</v>
      </c>
      <c r="E597" s="2" t="str">
        <f>VLOOKUP($C597,'[10]for slip'!$F:$BC,4,0)</f>
        <v>Sales</v>
      </c>
      <c r="F597" s="2">
        <f>VLOOKUP($C597,'[10]for slip'!$F:$BC,14,0)</f>
        <v>5343083</v>
      </c>
      <c r="G597" s="2">
        <f>VLOOKUP($C597,'[10]for slip'!$F:$BC,15,0)</f>
        <v>500000</v>
      </c>
      <c r="H597" s="2">
        <f>VLOOKUP($C597,'[10]for slip'!$F:$BC,16,0)</f>
        <v>0</v>
      </c>
      <c r="I597" s="2">
        <f>VLOOKUP($C597,'[10]for slip'!$F:$BC,17,0)</f>
        <v>0</v>
      </c>
      <c r="J597" s="2">
        <f>VLOOKUP($C597,'[10]for slip'!$F:$BC,27,0)</f>
        <v>0</v>
      </c>
      <c r="K597" s="2">
        <f>VLOOKUP($C597,'[10]for slip'!$F:$BC,31,0)</f>
        <v>0</v>
      </c>
      <c r="L597" s="2">
        <f>VLOOKUP($C597,'[10]for slip'!$F:$BC,35,0)</f>
        <v>47522.851890749946</v>
      </c>
      <c r="M597" s="2">
        <f>VLOOKUP($C597,'[10]for slip'!$F:$BC,36,0)</f>
        <v>0</v>
      </c>
      <c r="N597" s="2">
        <f>VLOOKUP($C597,'[10]for slip'!$F:$BC,37,0)</f>
        <v>0</v>
      </c>
      <c r="O597" s="2">
        <f>VLOOKUP($C597,'[10]for slip'!$F:$BC,38,0)</f>
        <v>0</v>
      </c>
      <c r="P597" s="2">
        <f>VLOOKUP($C597,'[10]for slip'!$F:$BC,39,0)</f>
        <v>0</v>
      </c>
      <c r="Q597" s="2">
        <f>VLOOKUP($C597,'[10]for slip'!$F:$BC,40,0)</f>
        <v>31700</v>
      </c>
      <c r="R597" s="2">
        <f>VLOOKUP($C597,'[10]for slip'!$F:$BC,41,0)</f>
        <v>0</v>
      </c>
      <c r="S597" s="2">
        <f>VLOOKUP($C597,'[10]for slip'!$F:$BC,42,0)</f>
        <v>0</v>
      </c>
      <c r="T597" s="2">
        <f>VLOOKUP($C597,'[10]for slip'!$F:$BC,43,0)</f>
        <v>0</v>
      </c>
      <c r="U597" s="2">
        <f>VLOOKUP($C597,'[10]for slip'!$F:$BC,44,0)</f>
        <v>116861.66</v>
      </c>
      <c r="V597" s="2">
        <f>VLOOKUP($C597,'[10]for slip'!$F:$BC,45,0)</f>
        <v>58430.83</v>
      </c>
      <c r="W597" s="2">
        <f>VLOOKUP($C597,'[10]for slip'!$F:$BC,48,0)</f>
        <v>47522.851890749946</v>
      </c>
    </row>
    <row r="598" spans="1:23" x14ac:dyDescent="0.25">
      <c r="A598" s="1">
        <v>597</v>
      </c>
      <c r="B598" s="2" t="s">
        <v>1215</v>
      </c>
      <c r="C598" s="2" t="s">
        <v>1216</v>
      </c>
      <c r="D598" s="2" t="str">
        <f>VLOOKUP($C598,'[10]for slip'!$F:$BC,3,0)</f>
        <v>Staff</v>
      </c>
      <c r="E598" s="2" t="str">
        <f>VLOOKUP($C598,'[10]for slip'!$F:$BC,4,0)</f>
        <v>Sales</v>
      </c>
      <c r="F598" s="2">
        <f>VLOOKUP($C598,'[10]for slip'!$F:$BC,14,0)</f>
        <v>4924046</v>
      </c>
      <c r="G598" s="2">
        <f>VLOOKUP($C598,'[10]for slip'!$F:$BC,15,0)</f>
        <v>0</v>
      </c>
      <c r="H598" s="2">
        <f>VLOOKUP($C598,'[10]for slip'!$F:$BC,16,0)</f>
        <v>0</v>
      </c>
      <c r="I598" s="2">
        <f>VLOOKUP($C598,'[10]for slip'!$F:$BC,17,0)</f>
        <v>0</v>
      </c>
      <c r="J598" s="2">
        <f>VLOOKUP($C598,'[10]for slip'!$F:$BC,27,0)</f>
        <v>0</v>
      </c>
      <c r="K598" s="2">
        <f>VLOOKUP($C598,'[10]for slip'!$F:$BC,31,0)</f>
        <v>0</v>
      </c>
      <c r="L598" s="2">
        <f>VLOOKUP($C598,'[10]for slip'!$F:$BC,35,0)</f>
        <v>14014.423851500018</v>
      </c>
      <c r="M598" s="2">
        <f>VLOOKUP($C598,'[10]for slip'!$F:$BC,36,0)</f>
        <v>0</v>
      </c>
      <c r="N598" s="2">
        <f>VLOOKUP($C598,'[10]for slip'!$F:$BC,37,0)</f>
        <v>0</v>
      </c>
      <c r="O598" s="2">
        <f>VLOOKUP($C598,'[10]for slip'!$F:$BC,38,0)</f>
        <v>0</v>
      </c>
      <c r="P598" s="2">
        <f>VLOOKUP($C598,'[10]for slip'!$F:$BC,39,0)</f>
        <v>0</v>
      </c>
      <c r="Q598" s="2">
        <f>VLOOKUP($C598,'[10]for slip'!$F:$BC,40,0)</f>
        <v>31700</v>
      </c>
      <c r="R598" s="2">
        <f>VLOOKUP($C598,'[10]for slip'!$F:$BC,41,0)</f>
        <v>0</v>
      </c>
      <c r="S598" s="2">
        <f>VLOOKUP($C598,'[10]for slip'!$F:$BC,42,0)</f>
        <v>0</v>
      </c>
      <c r="T598" s="2">
        <f>VLOOKUP($C598,'[10]for slip'!$F:$BC,43,0)</f>
        <v>49240.46</v>
      </c>
      <c r="U598" s="2">
        <f>VLOOKUP($C598,'[10]for slip'!$F:$BC,44,0)</f>
        <v>98480.92</v>
      </c>
      <c r="V598" s="2">
        <f>VLOOKUP($C598,'[10]for slip'!$F:$BC,45,0)</f>
        <v>49240.46</v>
      </c>
      <c r="W598" s="2">
        <f>VLOOKUP($C598,'[10]for slip'!$F:$BC,48,0)</f>
        <v>14014.423851500018</v>
      </c>
    </row>
    <row r="599" spans="1:23" x14ac:dyDescent="0.25">
      <c r="A599" s="1">
        <v>598</v>
      </c>
      <c r="B599" s="2" t="s">
        <v>1217</v>
      </c>
      <c r="C599" s="2" t="s">
        <v>1218</v>
      </c>
      <c r="D599" s="2" t="str">
        <f>VLOOKUP($C599,'[10]for slip'!$F:$BC,3,0)</f>
        <v>Specialist</v>
      </c>
      <c r="E599" s="2" t="str">
        <f>VLOOKUP($C599,'[10]for slip'!$F:$BC,4,0)</f>
        <v>Finance &amp; Accounting</v>
      </c>
      <c r="F599" s="2">
        <f>VLOOKUP($C599,'[10]for slip'!$F:$BC,14,0)</f>
        <v>5843082</v>
      </c>
      <c r="G599" s="2">
        <f>VLOOKUP($C599,'[10]for slip'!$F:$BC,15,0)</f>
        <v>1000000</v>
      </c>
      <c r="H599" s="2">
        <f>VLOOKUP($C599,'[10]for slip'!$F:$BC,16,0)</f>
        <v>985300</v>
      </c>
      <c r="I599" s="2">
        <f>VLOOKUP($C599,'[10]for slip'!$F:$BC,17,0)</f>
        <v>213723</v>
      </c>
      <c r="J599" s="2">
        <f>VLOOKUP($C599,'[10]for slip'!$F:$BC,27,0)</f>
        <v>0</v>
      </c>
      <c r="K599" s="2">
        <f>VLOOKUP($C599,'[10]for slip'!$F:$BC,31,0)</f>
        <v>0</v>
      </c>
      <c r="L599" s="2">
        <f>VLOOKUP($C599,'[10]for slip'!$F:$BC,35,0)</f>
        <v>165365.78722625002</v>
      </c>
      <c r="M599" s="2">
        <f>VLOOKUP($C599,'[10]for slip'!$F:$BC,36,0)</f>
        <v>0</v>
      </c>
      <c r="N599" s="2">
        <f>VLOOKUP($C599,'[10]for slip'!$F:$BC,37,0)</f>
        <v>0</v>
      </c>
      <c r="O599" s="2">
        <f>VLOOKUP($C599,'[10]for slip'!$F:$BC,38,0)</f>
        <v>0</v>
      </c>
      <c r="P599" s="2">
        <f>VLOOKUP($C599,'[10]for slip'!$F:$BC,39,0)</f>
        <v>38000</v>
      </c>
      <c r="Q599" s="2">
        <f>VLOOKUP($C599,'[10]for slip'!$F:$BC,40,0)</f>
        <v>31700</v>
      </c>
      <c r="R599" s="2">
        <f>VLOOKUP($C599,'[10]for slip'!$F:$BC,41,0)</f>
        <v>0</v>
      </c>
      <c r="S599" s="2">
        <f>VLOOKUP($C599,'[10]for slip'!$F:$BC,42,0)</f>
        <v>10000</v>
      </c>
      <c r="T599" s="2">
        <f>VLOOKUP($C599,'[10]for slip'!$F:$BC,43,0)</f>
        <v>80421.05</v>
      </c>
      <c r="U599" s="2">
        <f>VLOOKUP($C599,'[10]for slip'!$F:$BC,44,0)</f>
        <v>160842.1</v>
      </c>
      <c r="V599" s="2">
        <f>VLOOKUP($C599,'[10]for slip'!$F:$BC,45,0)</f>
        <v>80421.05</v>
      </c>
      <c r="W599" s="2">
        <f>VLOOKUP($C599,'[10]for slip'!$F:$BC,48,0)</f>
        <v>165365.78722625002</v>
      </c>
    </row>
    <row r="600" spans="1:23" x14ac:dyDescent="0.25">
      <c r="A600" s="1">
        <v>599</v>
      </c>
      <c r="B600" s="2" t="s">
        <v>1219</v>
      </c>
      <c r="C600" s="2" t="s">
        <v>1220</v>
      </c>
      <c r="D600" s="2" t="str">
        <f>VLOOKUP($C600,'[10]for slip'!$F:$BC,3,0)</f>
        <v>Leader</v>
      </c>
      <c r="E600" s="2" t="str">
        <f>VLOOKUP($C600,'[10]for slip'!$F:$BC,4,0)</f>
        <v>Finance &amp; Accounting</v>
      </c>
      <c r="F600" s="2">
        <f>VLOOKUP($C600,'[10]for slip'!$F:$BC,14,0)</f>
        <v>5343083</v>
      </c>
      <c r="G600" s="2">
        <f>VLOOKUP($C600,'[10]for slip'!$F:$BC,15,0)</f>
        <v>600000</v>
      </c>
      <c r="H600" s="2">
        <f>VLOOKUP($C600,'[10]for slip'!$F:$BC,16,0)</f>
        <v>860477</v>
      </c>
      <c r="I600" s="2">
        <f>VLOOKUP($C600,'[10]for slip'!$F:$BC,17,0)</f>
        <v>0</v>
      </c>
      <c r="J600" s="2">
        <f>VLOOKUP($C600,'[10]for slip'!$F:$BC,27,0)</f>
        <v>0</v>
      </c>
      <c r="K600" s="2">
        <f>VLOOKUP($C600,'[10]for slip'!$F:$BC,31,0)</f>
        <v>0</v>
      </c>
      <c r="L600" s="2">
        <f>VLOOKUP($C600,'[10]for slip'!$F:$BC,35,0)</f>
        <v>105246.50329000001</v>
      </c>
      <c r="M600" s="2">
        <f>VLOOKUP($C600,'[10]for slip'!$F:$BC,36,0)</f>
        <v>0</v>
      </c>
      <c r="N600" s="2">
        <f>VLOOKUP($C600,'[10]for slip'!$F:$BC,37,0)</f>
        <v>0</v>
      </c>
      <c r="O600" s="2">
        <f>VLOOKUP($C600,'[10]for slip'!$F:$BC,38,0)</f>
        <v>0</v>
      </c>
      <c r="P600" s="2">
        <f>VLOOKUP($C600,'[10]for slip'!$F:$BC,39,0)</f>
        <v>38000</v>
      </c>
      <c r="Q600" s="2">
        <f>VLOOKUP($C600,'[10]for slip'!$F:$BC,40,0)</f>
        <v>31700</v>
      </c>
      <c r="R600" s="2">
        <f>VLOOKUP($C600,'[10]for slip'!$F:$BC,41,0)</f>
        <v>0</v>
      </c>
      <c r="S600" s="2">
        <f>VLOOKUP($C600,'[10]for slip'!$F:$BC,42,0)</f>
        <v>10000</v>
      </c>
      <c r="T600" s="2">
        <f>VLOOKUP($C600,'[10]for slip'!$F:$BC,43,0)</f>
        <v>68035.600000000006</v>
      </c>
      <c r="U600" s="2">
        <f>VLOOKUP($C600,'[10]for slip'!$F:$BC,44,0)</f>
        <v>136071.20000000001</v>
      </c>
      <c r="V600" s="2">
        <f>VLOOKUP($C600,'[10]for slip'!$F:$BC,45,0)</f>
        <v>68035.600000000006</v>
      </c>
      <c r="W600" s="2">
        <f>VLOOKUP($C600,'[10]for slip'!$F:$BC,48,0)</f>
        <v>105246.50329000001</v>
      </c>
    </row>
    <row r="601" spans="1:23" x14ac:dyDescent="0.25">
      <c r="A601" s="1">
        <v>600</v>
      </c>
      <c r="B601" s="2" t="s">
        <v>1221</v>
      </c>
      <c r="C601" s="2" t="s">
        <v>1222</v>
      </c>
      <c r="D601" s="2" t="str">
        <f>VLOOKUP($C601,'[10]for slip'!$F:$BC,3,0)</f>
        <v>Staff</v>
      </c>
      <c r="E601" s="2" t="str">
        <f>VLOOKUP($C601,'[10]for slip'!$F:$BC,4,0)</f>
        <v>Finance &amp; Accounting</v>
      </c>
      <c r="F601" s="2">
        <f>VLOOKUP($C601,'[10]for slip'!$F:$BC,14,0)</f>
        <v>4965395</v>
      </c>
      <c r="G601" s="2">
        <f>VLOOKUP($C601,'[10]for slip'!$F:$BC,15,0)</f>
        <v>0</v>
      </c>
      <c r="H601" s="2">
        <f>VLOOKUP($C601,'[10]for slip'!$F:$BC,16,0)</f>
        <v>400000</v>
      </c>
      <c r="I601" s="2">
        <f>VLOOKUP($C601,'[10]for slip'!$F:$BC,17,0)</f>
        <v>191353</v>
      </c>
      <c r="J601" s="2">
        <f>VLOOKUP($C601,'[10]for slip'!$F:$BC,27,0)</f>
        <v>0</v>
      </c>
      <c r="K601" s="2">
        <f>VLOOKUP($C601,'[10]for slip'!$F:$BC,31,0)</f>
        <v>0</v>
      </c>
      <c r="L601" s="2">
        <f>VLOOKUP($C601,'[10]for slip'!$F:$BC,35,0)</f>
        <v>44725.937106999976</v>
      </c>
      <c r="M601" s="2">
        <f>VLOOKUP($C601,'[10]for slip'!$F:$BC,36,0)</f>
        <v>0</v>
      </c>
      <c r="N601" s="2">
        <f>VLOOKUP($C601,'[10]for slip'!$F:$BC,37,0)</f>
        <v>0</v>
      </c>
      <c r="O601" s="2">
        <f>VLOOKUP($C601,'[10]for slip'!$F:$BC,38,0)</f>
        <v>0</v>
      </c>
      <c r="P601" s="2">
        <f>VLOOKUP($C601,'[10]for slip'!$F:$BC,39,0)</f>
        <v>38000</v>
      </c>
      <c r="Q601" s="2">
        <f>VLOOKUP($C601,'[10]for slip'!$F:$BC,40,0)</f>
        <v>31700</v>
      </c>
      <c r="R601" s="2">
        <f>VLOOKUP($C601,'[10]for slip'!$F:$BC,41,0)</f>
        <v>0</v>
      </c>
      <c r="S601" s="2">
        <f>VLOOKUP($C601,'[10]for slip'!$F:$BC,42,0)</f>
        <v>10000</v>
      </c>
      <c r="T601" s="2">
        <f>VLOOKUP($C601,'[10]for slip'!$F:$BC,43,0)</f>
        <v>55567.48</v>
      </c>
      <c r="U601" s="2">
        <f>VLOOKUP($C601,'[10]for slip'!$F:$BC,44,0)</f>
        <v>111134.96</v>
      </c>
      <c r="V601" s="2">
        <f>VLOOKUP($C601,'[10]for slip'!$F:$BC,45,0)</f>
        <v>55567.48</v>
      </c>
      <c r="W601" s="2">
        <f>VLOOKUP($C601,'[10]for slip'!$F:$BC,48,0)</f>
        <v>44725.937106999976</v>
      </c>
    </row>
    <row r="602" spans="1:23" x14ac:dyDescent="0.25">
      <c r="A602" s="1">
        <v>601</v>
      </c>
      <c r="B602" s="2" t="s">
        <v>1223</v>
      </c>
      <c r="C602" s="2" t="s">
        <v>1224</v>
      </c>
      <c r="D602" s="2" t="str">
        <f>VLOOKUP($C602,'[10]for slip'!$F:$BC,3,0)</f>
        <v>Staff</v>
      </c>
      <c r="E602" s="2" t="str">
        <f>VLOOKUP($C602,'[10]for slip'!$F:$BC,4,0)</f>
        <v>Finance &amp; Accounting</v>
      </c>
      <c r="F602" s="2">
        <f>VLOOKUP($C602,'[10]for slip'!$F:$BC,14,0)</f>
        <v>4966895</v>
      </c>
      <c r="G602" s="2">
        <f>VLOOKUP($C602,'[10]for slip'!$F:$BC,15,0)</f>
        <v>0</v>
      </c>
      <c r="H602" s="2">
        <f>VLOOKUP($C602,'[10]for slip'!$F:$BC,16,0)</f>
        <v>400000</v>
      </c>
      <c r="I602" s="2">
        <f>VLOOKUP($C602,'[10]for slip'!$F:$BC,17,0)</f>
        <v>191413</v>
      </c>
      <c r="J602" s="2">
        <f>VLOOKUP($C602,'[10]for slip'!$F:$BC,27,0)</f>
        <v>0</v>
      </c>
      <c r="K602" s="2">
        <f>VLOOKUP($C602,'[10]for slip'!$F:$BC,31,0)</f>
        <v>0</v>
      </c>
      <c r="L602" s="2">
        <f>VLOOKUP($C602,'[10]for slip'!$F:$BC,35,0)</f>
        <v>44801.659897000005</v>
      </c>
      <c r="M602" s="2">
        <f>VLOOKUP($C602,'[10]for slip'!$F:$BC,36,0)</f>
        <v>0</v>
      </c>
      <c r="N602" s="2">
        <f>VLOOKUP($C602,'[10]for slip'!$F:$BC,37,0)</f>
        <v>0</v>
      </c>
      <c r="O602" s="2">
        <f>VLOOKUP($C602,'[10]for slip'!$F:$BC,38,0)</f>
        <v>0</v>
      </c>
      <c r="P602" s="2">
        <f>VLOOKUP($C602,'[10]for slip'!$F:$BC,39,0)</f>
        <v>38000</v>
      </c>
      <c r="Q602" s="2">
        <f>VLOOKUP($C602,'[10]for slip'!$F:$BC,40,0)</f>
        <v>31700</v>
      </c>
      <c r="R602" s="2">
        <f>VLOOKUP($C602,'[10]for slip'!$F:$BC,41,0)</f>
        <v>0</v>
      </c>
      <c r="S602" s="2">
        <f>VLOOKUP($C602,'[10]for slip'!$F:$BC,42,0)</f>
        <v>10000</v>
      </c>
      <c r="T602" s="2">
        <f>VLOOKUP($C602,'[10]for slip'!$F:$BC,43,0)</f>
        <v>55583.08</v>
      </c>
      <c r="U602" s="2">
        <f>VLOOKUP($C602,'[10]for slip'!$F:$BC,44,0)</f>
        <v>111166.16</v>
      </c>
      <c r="V602" s="2">
        <f>VLOOKUP($C602,'[10]for slip'!$F:$BC,45,0)</f>
        <v>55583.08</v>
      </c>
      <c r="W602" s="2">
        <f>VLOOKUP($C602,'[10]for slip'!$F:$BC,48,0)</f>
        <v>44801.659897000005</v>
      </c>
    </row>
    <row r="603" spans="1:23" x14ac:dyDescent="0.25">
      <c r="A603" s="1">
        <v>602</v>
      </c>
      <c r="B603" s="2" t="s">
        <v>1225</v>
      </c>
      <c r="C603" s="2" t="s">
        <v>1226</v>
      </c>
      <c r="D603" s="2" t="str">
        <f>VLOOKUP($C603,'[10]for slip'!$F:$BC,3,0)</f>
        <v>Staff</v>
      </c>
      <c r="E603" s="2" t="str">
        <f>VLOOKUP($C603,'[10]for slip'!$F:$BC,4,0)</f>
        <v>Finance &amp; Accounting</v>
      </c>
      <c r="F603" s="2">
        <f>VLOOKUP($C603,'[10]for slip'!$F:$BC,14,0)</f>
        <v>5343083</v>
      </c>
      <c r="G603" s="2">
        <f>VLOOKUP($C603,'[10]for slip'!$F:$BC,15,0)</f>
        <v>0</v>
      </c>
      <c r="H603" s="2">
        <f>VLOOKUP($C603,'[10]for slip'!$F:$BC,16,0)</f>
        <v>0</v>
      </c>
      <c r="I603" s="2">
        <f>VLOOKUP($C603,'[10]for slip'!$F:$BC,17,0)</f>
        <v>0</v>
      </c>
      <c r="J603" s="2">
        <f>VLOOKUP($C603,'[10]for slip'!$F:$BC,27,0)</f>
        <v>0</v>
      </c>
      <c r="K603" s="2">
        <f>VLOOKUP($C603,'[10]for slip'!$F:$BC,31,0)</f>
        <v>0</v>
      </c>
      <c r="L603" s="2">
        <f>VLOOKUP($C603,'[10]for slip'!$F:$BC,35,0)</f>
        <v>34354.584590750004</v>
      </c>
      <c r="M603" s="2">
        <f>VLOOKUP($C603,'[10]for slip'!$F:$BC,36,0)</f>
        <v>0</v>
      </c>
      <c r="N603" s="2">
        <f>VLOOKUP($C603,'[10]for slip'!$F:$BC,37,0)</f>
        <v>0</v>
      </c>
      <c r="O603" s="2">
        <f>VLOOKUP($C603,'[10]for slip'!$F:$BC,38,0)</f>
        <v>0</v>
      </c>
      <c r="P603" s="2">
        <f>VLOOKUP($C603,'[10]for slip'!$F:$BC,39,0)</f>
        <v>0</v>
      </c>
      <c r="Q603" s="2">
        <f>VLOOKUP($C603,'[10]for slip'!$F:$BC,40,0)</f>
        <v>31700</v>
      </c>
      <c r="R603" s="2">
        <f>VLOOKUP($C603,'[10]for slip'!$F:$BC,41,0)</f>
        <v>0</v>
      </c>
      <c r="S603" s="2">
        <f>VLOOKUP($C603,'[10]for slip'!$F:$BC,42,0)</f>
        <v>10000</v>
      </c>
      <c r="T603" s="2">
        <f>VLOOKUP($C603,'[10]for slip'!$F:$BC,43,0)</f>
        <v>53430.83</v>
      </c>
      <c r="U603" s="2">
        <f>VLOOKUP($C603,'[10]for slip'!$F:$BC,44,0)</f>
        <v>106861.66</v>
      </c>
      <c r="V603" s="2">
        <f>VLOOKUP($C603,'[10]for slip'!$F:$BC,45,0)</f>
        <v>53430.83</v>
      </c>
      <c r="W603" s="2">
        <f>VLOOKUP($C603,'[10]for slip'!$F:$BC,48,0)</f>
        <v>34354.584590750004</v>
      </c>
    </row>
    <row r="604" spans="1:23" x14ac:dyDescent="0.25">
      <c r="A604" s="1">
        <v>603</v>
      </c>
      <c r="B604" s="2" t="s">
        <v>1227</v>
      </c>
      <c r="C604" s="2" t="s">
        <v>1228</v>
      </c>
      <c r="D604" s="2" t="str">
        <f>VLOOKUP($C604,'[10]for slip'!$F:$BC,3,0)</f>
        <v>Staff</v>
      </c>
      <c r="E604" s="2" t="str">
        <f>VLOOKUP($C604,'[10]for slip'!$F:$BC,4,0)</f>
        <v>Finance &amp; Accounting</v>
      </c>
      <c r="F604" s="2">
        <f>VLOOKUP($C604,'[10]for slip'!$F:$BC,14,0)</f>
        <v>5343083</v>
      </c>
      <c r="G604" s="2">
        <f>VLOOKUP($C604,'[10]for slip'!$F:$BC,15,0)</f>
        <v>0</v>
      </c>
      <c r="H604" s="2">
        <f>VLOOKUP($C604,'[10]for slip'!$F:$BC,16,0)</f>
        <v>0</v>
      </c>
      <c r="I604" s="2">
        <f>VLOOKUP($C604,'[10]for slip'!$F:$BC,17,0)</f>
        <v>0</v>
      </c>
      <c r="J604" s="2">
        <f>VLOOKUP($C604,'[10]for slip'!$F:$BC,27,0)</f>
        <v>0</v>
      </c>
      <c r="K604" s="2">
        <f>VLOOKUP($C604,'[10]for slip'!$F:$BC,31,0)</f>
        <v>0</v>
      </c>
      <c r="L604" s="2">
        <f>VLOOKUP($C604,'[10]for slip'!$F:$BC,35,0)</f>
        <v>34354.584590750004</v>
      </c>
      <c r="M604" s="2">
        <f>VLOOKUP($C604,'[10]for slip'!$F:$BC,36,0)</f>
        <v>0</v>
      </c>
      <c r="N604" s="2">
        <f>VLOOKUP($C604,'[10]for slip'!$F:$BC,37,0)</f>
        <v>0</v>
      </c>
      <c r="O604" s="2">
        <f>VLOOKUP($C604,'[10]for slip'!$F:$BC,38,0)</f>
        <v>0</v>
      </c>
      <c r="P604" s="2">
        <f>VLOOKUP($C604,'[10]for slip'!$F:$BC,39,0)</f>
        <v>38000</v>
      </c>
      <c r="Q604" s="2">
        <f>VLOOKUP($C604,'[10]for slip'!$F:$BC,40,0)</f>
        <v>31700</v>
      </c>
      <c r="R604" s="2">
        <f>VLOOKUP($C604,'[10]for slip'!$F:$BC,41,0)</f>
        <v>2359067</v>
      </c>
      <c r="S604" s="2">
        <f>VLOOKUP($C604,'[10]for slip'!$F:$BC,42,0)</f>
        <v>10000</v>
      </c>
      <c r="T604" s="2">
        <f>VLOOKUP($C604,'[10]for slip'!$F:$BC,43,0)</f>
        <v>53430.83</v>
      </c>
      <c r="U604" s="2">
        <f>VLOOKUP($C604,'[10]for slip'!$F:$BC,44,0)</f>
        <v>106861.66</v>
      </c>
      <c r="V604" s="2">
        <f>VLOOKUP($C604,'[10]for slip'!$F:$BC,45,0)</f>
        <v>53430.83</v>
      </c>
      <c r="W604" s="2">
        <f>VLOOKUP($C604,'[10]for slip'!$F:$BC,48,0)</f>
        <v>34354.584590750004</v>
      </c>
    </row>
    <row r="605" spans="1:23" x14ac:dyDescent="0.25">
      <c r="A605" s="1">
        <v>604</v>
      </c>
      <c r="B605" s="2" t="s">
        <v>1229</v>
      </c>
      <c r="C605" s="2" t="s">
        <v>1230</v>
      </c>
      <c r="D605" s="2" t="str">
        <f>VLOOKUP($C605,'[10]for slip'!$F:$BC,3,0)</f>
        <v>Staff</v>
      </c>
      <c r="E605" s="2" t="str">
        <f>VLOOKUP($C605,'[10]for slip'!$F:$BC,4,0)</f>
        <v>Finance &amp; Accounting</v>
      </c>
      <c r="F605" s="2">
        <f>VLOOKUP($C605,'[10]for slip'!$F:$BC,14,0)</f>
        <v>5343083</v>
      </c>
      <c r="G605" s="2">
        <f>VLOOKUP($C605,'[10]for slip'!$F:$BC,15,0)</f>
        <v>0</v>
      </c>
      <c r="H605" s="2">
        <f>VLOOKUP($C605,'[10]for slip'!$F:$BC,16,0)</f>
        <v>0</v>
      </c>
      <c r="I605" s="2">
        <f>VLOOKUP($C605,'[10]for slip'!$F:$BC,17,0)</f>
        <v>0</v>
      </c>
      <c r="J605" s="2">
        <f>VLOOKUP($C605,'[10]for slip'!$F:$BC,27,0)</f>
        <v>0</v>
      </c>
      <c r="K605" s="2">
        <f>VLOOKUP($C605,'[10]for slip'!$F:$BC,31,0)</f>
        <v>0</v>
      </c>
      <c r="L605" s="2">
        <f>VLOOKUP($C605,'[10]for slip'!$F:$BC,35,0)</f>
        <v>34354.584590750004</v>
      </c>
      <c r="M605" s="2">
        <f>VLOOKUP($C605,'[10]for slip'!$F:$BC,36,0)</f>
        <v>0</v>
      </c>
      <c r="N605" s="2">
        <f>VLOOKUP($C605,'[10]for slip'!$F:$BC,37,0)</f>
        <v>0</v>
      </c>
      <c r="O605" s="2">
        <f>VLOOKUP($C605,'[10]for slip'!$F:$BC,38,0)</f>
        <v>0</v>
      </c>
      <c r="P605" s="2">
        <f>VLOOKUP($C605,'[10]for slip'!$F:$BC,39,0)</f>
        <v>0</v>
      </c>
      <c r="Q605" s="2">
        <f>VLOOKUP($C605,'[10]for slip'!$F:$BC,40,0)</f>
        <v>31700</v>
      </c>
      <c r="R605" s="2">
        <f>VLOOKUP($C605,'[10]for slip'!$F:$BC,41,0)</f>
        <v>0</v>
      </c>
      <c r="S605" s="2">
        <f>VLOOKUP($C605,'[10]for slip'!$F:$BC,42,0)</f>
        <v>10000</v>
      </c>
      <c r="T605" s="2">
        <f>VLOOKUP($C605,'[10]for slip'!$F:$BC,43,0)</f>
        <v>53430.83</v>
      </c>
      <c r="U605" s="2">
        <f>VLOOKUP($C605,'[10]for slip'!$F:$BC,44,0)</f>
        <v>106861.66</v>
      </c>
      <c r="V605" s="2">
        <f>VLOOKUP($C605,'[10]for slip'!$F:$BC,45,0)</f>
        <v>53430.83</v>
      </c>
      <c r="W605" s="2">
        <f>VLOOKUP($C605,'[10]for slip'!$F:$BC,48,0)</f>
        <v>34354.584590750004</v>
      </c>
    </row>
    <row r="606" spans="1:23" x14ac:dyDescent="0.25">
      <c r="A606" s="1">
        <v>605</v>
      </c>
      <c r="B606" s="2" t="s">
        <v>1231</v>
      </c>
      <c r="C606" s="2" t="s">
        <v>1232</v>
      </c>
      <c r="D606" s="2" t="str">
        <f>VLOOKUP($C606,'[10]for slip'!$F:$BC,3,0)</f>
        <v>Specialist</v>
      </c>
      <c r="E606" s="2" t="str">
        <f>VLOOKUP($C606,'[10]for slip'!$F:$BC,4,0)</f>
        <v>ICT</v>
      </c>
      <c r="F606" s="2">
        <f>VLOOKUP($C606,'[10]for slip'!$F:$BC,14,0)</f>
        <v>5843082</v>
      </c>
      <c r="G606" s="2">
        <f>VLOOKUP($C606,'[10]for slip'!$F:$BC,15,0)</f>
        <v>1000000</v>
      </c>
      <c r="H606" s="2">
        <f>VLOOKUP($C606,'[10]for slip'!$F:$BC,16,0)</f>
        <v>0</v>
      </c>
      <c r="I606" s="2">
        <f>VLOOKUP($C606,'[10]for slip'!$F:$BC,17,0)</f>
        <v>144108</v>
      </c>
      <c r="J606" s="2">
        <f>VLOOKUP($C606,'[10]for slip'!$F:$BC,27,0)</f>
        <v>0</v>
      </c>
      <c r="K606" s="2">
        <f>VLOOKUP($C606,'[10]for slip'!$F:$BC,31,0)</f>
        <v>0</v>
      </c>
      <c r="L606" s="2">
        <f>VLOOKUP($C606,'[10]for slip'!$F:$BC,35,0)</f>
        <v>57909.949397500051</v>
      </c>
      <c r="M606" s="2">
        <f>VLOOKUP($C606,'[10]for slip'!$F:$BC,36,0)</f>
        <v>0</v>
      </c>
      <c r="N606" s="2">
        <f>VLOOKUP($C606,'[10]for slip'!$F:$BC,37,0)</f>
        <v>0</v>
      </c>
      <c r="O606" s="2">
        <f>VLOOKUP($C606,'[10]for slip'!$F:$BC,38,0)</f>
        <v>0</v>
      </c>
      <c r="P606" s="2">
        <f>VLOOKUP($C606,'[10]for slip'!$F:$BC,39,0)</f>
        <v>0</v>
      </c>
      <c r="Q606" s="2">
        <f>VLOOKUP($C606,'[10]for slip'!$F:$BC,40,0)</f>
        <v>31700</v>
      </c>
      <c r="R606" s="2">
        <f>VLOOKUP($C606,'[10]for slip'!$F:$BC,41,0)</f>
        <v>0</v>
      </c>
      <c r="S606" s="2">
        <f>VLOOKUP($C606,'[10]for slip'!$F:$BC,42,0)</f>
        <v>0</v>
      </c>
      <c r="T606" s="2">
        <f>VLOOKUP($C606,'[10]for slip'!$F:$BC,43,0)</f>
        <v>69871.899999999994</v>
      </c>
      <c r="U606" s="2">
        <f>VLOOKUP($C606,'[10]for slip'!$F:$BC,44,0)</f>
        <v>139743.79999999999</v>
      </c>
      <c r="V606" s="2">
        <f>VLOOKUP($C606,'[10]for slip'!$F:$BC,45,0)</f>
        <v>69871.899999999994</v>
      </c>
      <c r="W606" s="2">
        <f>VLOOKUP($C606,'[10]for slip'!$F:$BC,48,0)</f>
        <v>57909.949397500051</v>
      </c>
    </row>
    <row r="607" spans="1:23" x14ac:dyDescent="0.25">
      <c r="A607" s="1">
        <v>606</v>
      </c>
      <c r="B607" s="2" t="s">
        <v>1233</v>
      </c>
      <c r="C607" s="2" t="s">
        <v>1234</v>
      </c>
      <c r="D607" s="2" t="str">
        <f>VLOOKUP($C607,'[10]for slip'!$F:$BC,3,0)</f>
        <v>Specialist</v>
      </c>
      <c r="E607" s="2" t="str">
        <f>VLOOKUP($C607,'[10]for slip'!$F:$BC,4,0)</f>
        <v>ICT</v>
      </c>
      <c r="F607" s="2">
        <f>VLOOKUP($C607,'[10]for slip'!$F:$BC,14,0)</f>
        <v>6240000</v>
      </c>
      <c r="G607" s="2">
        <f>VLOOKUP($C607,'[10]for slip'!$F:$BC,15,0)</f>
        <v>1000000</v>
      </c>
      <c r="H607" s="2">
        <f>VLOOKUP($C607,'[10]for slip'!$F:$BC,16,0)</f>
        <v>0</v>
      </c>
      <c r="I607" s="2">
        <f>VLOOKUP($C607,'[10]for slip'!$F:$BC,17,0)</f>
        <v>274125</v>
      </c>
      <c r="J607" s="2">
        <f>VLOOKUP($C607,'[10]for slip'!$F:$BC,27,0)</f>
        <v>0</v>
      </c>
      <c r="K607" s="2">
        <f>VLOOKUP($C607,'[10]for slip'!$F:$BC,31,0)</f>
        <v>0</v>
      </c>
      <c r="L607" s="2">
        <f>VLOOKUP($C607,'[10]for slip'!$F:$BC,35,0)</f>
        <v>83487.506031250028</v>
      </c>
      <c r="M607" s="2">
        <f>VLOOKUP($C607,'[10]for slip'!$F:$BC,36,0)</f>
        <v>0</v>
      </c>
      <c r="N607" s="2">
        <f>VLOOKUP($C607,'[10]for slip'!$F:$BC,37,0)</f>
        <v>0</v>
      </c>
      <c r="O607" s="2">
        <f>VLOOKUP($C607,'[10]for slip'!$F:$BC,38,0)</f>
        <v>0</v>
      </c>
      <c r="P607" s="2">
        <f>VLOOKUP($C607,'[10]for slip'!$F:$BC,39,0)</f>
        <v>0</v>
      </c>
      <c r="Q607" s="2">
        <f>VLOOKUP($C607,'[10]for slip'!$F:$BC,40,0)</f>
        <v>31700</v>
      </c>
      <c r="R607" s="2">
        <f>VLOOKUP($C607,'[10]for slip'!$F:$BC,41,0)</f>
        <v>0</v>
      </c>
      <c r="S607" s="2">
        <f>VLOOKUP($C607,'[10]for slip'!$F:$BC,42,0)</f>
        <v>0</v>
      </c>
      <c r="T607" s="2">
        <f>VLOOKUP($C607,'[10]for slip'!$F:$BC,43,0)</f>
        <v>75141.25</v>
      </c>
      <c r="U607" s="2">
        <f>VLOOKUP($C607,'[10]for slip'!$F:$BC,44,0)</f>
        <v>150282.5</v>
      </c>
      <c r="V607" s="2">
        <f>VLOOKUP($C607,'[10]for slip'!$F:$BC,45,0)</f>
        <v>75141.25</v>
      </c>
      <c r="W607" s="2">
        <f>VLOOKUP($C607,'[10]for slip'!$F:$BC,48,0)</f>
        <v>83487.506031250028</v>
      </c>
    </row>
    <row r="608" spans="1:23" x14ac:dyDescent="0.25">
      <c r="A608" s="1">
        <v>607</v>
      </c>
      <c r="B608" s="2" t="s">
        <v>1235</v>
      </c>
      <c r="C608" s="2" t="s">
        <v>1236</v>
      </c>
      <c r="D608" s="2" t="str">
        <f>VLOOKUP($C608,'[10]for slip'!$F:$BC,3,0)</f>
        <v>Officer</v>
      </c>
      <c r="E608" s="2" t="str">
        <f>VLOOKUP($C608,'[10]for slip'!$F:$BC,4,0)</f>
        <v>ICT</v>
      </c>
      <c r="F608" s="2">
        <f>VLOOKUP($C608,'[10]for slip'!$F:$BC,14,0)</f>
        <v>5343083</v>
      </c>
      <c r="G608" s="2">
        <f>VLOOKUP($C608,'[10]for slip'!$F:$BC,15,0)</f>
        <v>0</v>
      </c>
      <c r="H608" s="2">
        <f>VLOOKUP($C608,'[10]for slip'!$F:$BC,16,0)</f>
        <v>800000</v>
      </c>
      <c r="I608" s="2">
        <f>VLOOKUP($C608,'[10]for slip'!$F:$BC,17,0)</f>
        <v>0</v>
      </c>
      <c r="J608" s="2">
        <f>VLOOKUP($C608,'[10]for slip'!$F:$BC,27,0)</f>
        <v>0</v>
      </c>
      <c r="K608" s="2">
        <f>VLOOKUP($C608,'[10]for slip'!$F:$BC,31,0)</f>
        <v>0</v>
      </c>
      <c r="L608" s="2">
        <f>VLOOKUP($C608,'[10]for slip'!$F:$BC,35,0)</f>
        <v>16936.78459074994</v>
      </c>
      <c r="M608" s="2">
        <f>VLOOKUP($C608,'[10]for slip'!$F:$BC,36,0)</f>
        <v>0</v>
      </c>
      <c r="N608" s="2">
        <f>VLOOKUP($C608,'[10]for slip'!$F:$BC,37,0)</f>
        <v>0</v>
      </c>
      <c r="O608" s="2">
        <f>VLOOKUP($C608,'[10]for slip'!$F:$BC,38,0)</f>
        <v>0</v>
      </c>
      <c r="P608" s="2">
        <f>VLOOKUP($C608,'[10]for slip'!$F:$BC,39,0)</f>
        <v>0</v>
      </c>
      <c r="Q608" s="2">
        <f>VLOOKUP($C608,'[10]for slip'!$F:$BC,40,0)</f>
        <v>31700</v>
      </c>
      <c r="R608" s="2">
        <f>VLOOKUP($C608,'[10]for slip'!$F:$BC,41,0)</f>
        <v>0</v>
      </c>
      <c r="S608" s="2">
        <f>VLOOKUP($C608,'[10]for slip'!$F:$BC,42,0)</f>
        <v>10000</v>
      </c>
      <c r="T608" s="2">
        <f>VLOOKUP($C608,'[10]for slip'!$F:$BC,43,0)</f>
        <v>61430.83</v>
      </c>
      <c r="U608" s="2">
        <f>VLOOKUP($C608,'[10]for slip'!$F:$BC,44,0)</f>
        <v>122861.66</v>
      </c>
      <c r="V608" s="2">
        <f>VLOOKUP($C608,'[10]for slip'!$F:$BC,45,0)</f>
        <v>61430.83</v>
      </c>
      <c r="W608" s="2">
        <f>VLOOKUP($C608,'[10]for slip'!$F:$BC,48,0)</f>
        <v>16936.78459074994</v>
      </c>
    </row>
    <row r="609" spans="1:23" x14ac:dyDescent="0.25">
      <c r="A609" s="1">
        <v>608</v>
      </c>
      <c r="B609" s="2" t="s">
        <v>1237</v>
      </c>
      <c r="C609" s="2" t="s">
        <v>1238</v>
      </c>
      <c r="D609" s="2" t="str">
        <f>VLOOKUP($C609,'[10]for slip'!$F:$BC,3,0)</f>
        <v>Officer</v>
      </c>
      <c r="E609" s="2" t="str">
        <f>VLOOKUP($C609,'[10]for slip'!$F:$BC,4,0)</f>
        <v>ICT</v>
      </c>
      <c r="F609" s="2">
        <f>VLOOKUP($C609,'[10]for slip'!$F:$BC,14,0)</f>
        <v>5343083</v>
      </c>
      <c r="G609" s="2">
        <f>VLOOKUP($C609,'[10]for slip'!$F:$BC,15,0)</f>
        <v>0</v>
      </c>
      <c r="H609" s="2">
        <f>VLOOKUP($C609,'[10]for slip'!$F:$BC,16,0)</f>
        <v>0</v>
      </c>
      <c r="I609" s="2">
        <f>VLOOKUP($C609,'[10]for slip'!$F:$BC,17,0)</f>
        <v>213723</v>
      </c>
      <c r="J609" s="2">
        <f>VLOOKUP($C609,'[10]for slip'!$F:$BC,27,0)</f>
        <v>0</v>
      </c>
      <c r="K609" s="2">
        <f>VLOOKUP($C609,'[10]for slip'!$F:$BC,31,0)</f>
        <v>0</v>
      </c>
      <c r="L609" s="2">
        <f>VLOOKUP($C609,'[10]for slip'!$F:$BC,35,0)</f>
        <v>44728.75244150003</v>
      </c>
      <c r="M609" s="2">
        <f>VLOOKUP($C609,'[10]for slip'!$F:$BC,36,0)</f>
        <v>0</v>
      </c>
      <c r="N609" s="2">
        <f>VLOOKUP($C609,'[10]for slip'!$F:$BC,37,0)</f>
        <v>0</v>
      </c>
      <c r="O609" s="2">
        <f>VLOOKUP($C609,'[10]for slip'!$F:$BC,38,0)</f>
        <v>0</v>
      </c>
      <c r="P609" s="2">
        <f>VLOOKUP($C609,'[10]for slip'!$F:$BC,39,0)</f>
        <v>38000</v>
      </c>
      <c r="Q609" s="2">
        <f>VLOOKUP($C609,'[10]for slip'!$F:$BC,40,0)</f>
        <v>31700</v>
      </c>
      <c r="R609" s="2">
        <f>VLOOKUP($C609,'[10]for slip'!$F:$BC,41,0)</f>
        <v>0</v>
      </c>
      <c r="S609" s="2">
        <f>VLOOKUP($C609,'[10]for slip'!$F:$BC,42,0)</f>
        <v>0</v>
      </c>
      <c r="T609" s="2">
        <f>VLOOKUP($C609,'[10]for slip'!$F:$BC,43,0)</f>
        <v>55568.06</v>
      </c>
      <c r="U609" s="2">
        <f>VLOOKUP($C609,'[10]for slip'!$F:$BC,44,0)</f>
        <v>111136.12</v>
      </c>
      <c r="V609" s="2">
        <f>VLOOKUP($C609,'[10]for slip'!$F:$BC,45,0)</f>
        <v>55568.06</v>
      </c>
      <c r="W609" s="2">
        <f>VLOOKUP($C609,'[10]for slip'!$F:$BC,48,0)</f>
        <v>44728.75244150003</v>
      </c>
    </row>
    <row r="610" spans="1:23" x14ac:dyDescent="0.25">
      <c r="A610" s="1">
        <v>609</v>
      </c>
      <c r="B610" s="2" t="s">
        <v>1239</v>
      </c>
      <c r="C610" s="2" t="s">
        <v>1240</v>
      </c>
      <c r="D610" s="2" t="str">
        <f>VLOOKUP($C610,'[10]for slip'!$F:$BC,3,0)</f>
        <v>Sect Head</v>
      </c>
      <c r="E610" s="2" t="str">
        <f>VLOOKUP($C610,'[10]for slip'!$F:$BC,4,0)</f>
        <v>Procurement</v>
      </c>
      <c r="F610" s="2">
        <f>VLOOKUP($C610,'[10]for slip'!$F:$BC,14,0)</f>
        <v>5615453</v>
      </c>
      <c r="G610" s="2">
        <f>VLOOKUP($C610,'[10]for slip'!$F:$BC,15,0)</f>
        <v>1500000</v>
      </c>
      <c r="H610" s="2">
        <f>VLOOKUP($C610,'[10]for slip'!$F:$BC,16,0)</f>
        <v>0</v>
      </c>
      <c r="I610" s="2">
        <f>VLOOKUP($C610,'[10]for slip'!$F:$BC,17,0)</f>
        <v>213723</v>
      </c>
      <c r="J610" s="2">
        <f>VLOOKUP($C610,'[10]for slip'!$F:$BC,27,0)</f>
        <v>0</v>
      </c>
      <c r="K610" s="2">
        <f>VLOOKUP($C610,'[10]for slip'!$F:$BC,31,0)</f>
        <v>0</v>
      </c>
      <c r="L610" s="2">
        <f>VLOOKUP($C610,'[10]for slip'!$F:$BC,35,0)</f>
        <v>130760.035334</v>
      </c>
      <c r="M610" s="2">
        <f>VLOOKUP($C610,'[10]for slip'!$F:$BC,36,0)</f>
        <v>0</v>
      </c>
      <c r="N610" s="2">
        <f>VLOOKUP($C610,'[10]for slip'!$F:$BC,37,0)</f>
        <v>0</v>
      </c>
      <c r="O610" s="2">
        <f>VLOOKUP($C610,'[10]for slip'!$F:$BC,38,0)</f>
        <v>0</v>
      </c>
      <c r="P610" s="2">
        <f>VLOOKUP($C610,'[10]for slip'!$F:$BC,39,0)</f>
        <v>0</v>
      </c>
      <c r="Q610" s="2">
        <f>VLOOKUP($C610,'[10]for slip'!$F:$BC,40,0)</f>
        <v>31700</v>
      </c>
      <c r="R610" s="2">
        <f>VLOOKUP($C610,'[10]for slip'!$F:$BC,41,0)</f>
        <v>0</v>
      </c>
      <c r="S610" s="2">
        <f>VLOOKUP($C610,'[10]for slip'!$F:$BC,42,0)</f>
        <v>10000</v>
      </c>
      <c r="T610" s="2">
        <f>VLOOKUP($C610,'[10]for slip'!$F:$BC,43,0)</f>
        <v>73291.759999999995</v>
      </c>
      <c r="U610" s="2">
        <f>VLOOKUP($C610,'[10]for slip'!$F:$BC,44,0)</f>
        <v>146583.51999999999</v>
      </c>
      <c r="V610" s="2">
        <f>VLOOKUP($C610,'[10]for slip'!$F:$BC,45,0)</f>
        <v>73291.759999999995</v>
      </c>
      <c r="W610" s="2">
        <f>VLOOKUP($C610,'[10]for slip'!$F:$BC,48,0)</f>
        <v>130760.035334</v>
      </c>
    </row>
    <row r="611" spans="1:23" x14ac:dyDescent="0.25">
      <c r="A611" s="1">
        <v>610</v>
      </c>
      <c r="B611" s="2" t="s">
        <v>1241</v>
      </c>
      <c r="C611" s="2" t="s">
        <v>1242</v>
      </c>
      <c r="D611" s="2" t="str">
        <f>VLOOKUP($C611,'[10]for slip'!$F:$BC,3,0)</f>
        <v>Sect Head</v>
      </c>
      <c r="E611" s="2" t="str">
        <f>VLOOKUP($C611,'[10]for slip'!$F:$BC,4,0)</f>
        <v>Procurement</v>
      </c>
      <c r="F611" s="2">
        <f>VLOOKUP($C611,'[10]for slip'!$F:$BC,14,0)</f>
        <v>7500000</v>
      </c>
      <c r="G611" s="2">
        <f>VLOOKUP($C611,'[10]for slip'!$F:$BC,15,0)</f>
        <v>1500000</v>
      </c>
      <c r="H611" s="2">
        <f>VLOOKUP($C611,'[10]for slip'!$F:$BC,16,0)</f>
        <v>0</v>
      </c>
      <c r="I611" s="2">
        <f>VLOOKUP($C611,'[10]for slip'!$F:$BC,17,0)</f>
        <v>225000</v>
      </c>
      <c r="J611" s="2">
        <f>VLOOKUP($C611,'[10]for slip'!$F:$BC,27,0)</f>
        <v>0</v>
      </c>
      <c r="K611" s="2">
        <f>VLOOKUP($C611,'[10]for slip'!$F:$BC,31,0)</f>
        <v>0</v>
      </c>
      <c r="L611" s="2">
        <f>VLOOKUP($C611,'[10]for slip'!$F:$BC,35,0)</f>
        <v>185507.24624999997</v>
      </c>
      <c r="M611" s="2">
        <f>VLOOKUP($C611,'[10]for slip'!$F:$BC,36,0)</f>
        <v>0</v>
      </c>
      <c r="N611" s="2">
        <f>VLOOKUP($C611,'[10]for slip'!$F:$BC,37,0)</f>
        <v>0</v>
      </c>
      <c r="O611" s="2">
        <f>VLOOKUP($C611,'[10]for slip'!$F:$BC,38,0)</f>
        <v>0</v>
      </c>
      <c r="P611" s="2">
        <f>VLOOKUP($C611,'[10]for slip'!$F:$BC,39,0)</f>
        <v>0</v>
      </c>
      <c r="Q611" s="2">
        <f>VLOOKUP($C611,'[10]for slip'!$F:$BC,40,0)</f>
        <v>0</v>
      </c>
      <c r="R611" s="2">
        <f>VLOOKUP($C611,'[10]for slip'!$F:$BC,41,0)</f>
        <v>0</v>
      </c>
      <c r="S611" s="2">
        <f>VLOOKUP($C611,'[10]for slip'!$F:$BC,42,0)</f>
        <v>10000</v>
      </c>
      <c r="T611" s="2">
        <f>VLOOKUP($C611,'[10]for slip'!$F:$BC,43,0)</f>
        <v>92250</v>
      </c>
      <c r="U611" s="2">
        <f>VLOOKUP($C611,'[10]for slip'!$F:$BC,44,0)</f>
        <v>184500</v>
      </c>
      <c r="V611" s="2">
        <f>VLOOKUP($C611,'[10]for slip'!$F:$BC,45,0)</f>
        <v>87546</v>
      </c>
      <c r="W611" s="2">
        <f>VLOOKUP($C611,'[10]for slip'!$F:$BC,48,0)</f>
        <v>185507.24624999997</v>
      </c>
    </row>
    <row r="612" spans="1:23" x14ac:dyDescent="0.25">
      <c r="A612" s="1">
        <v>611</v>
      </c>
      <c r="B612" s="2" t="s">
        <v>1243</v>
      </c>
      <c r="C612" s="2" t="s">
        <v>1244</v>
      </c>
      <c r="D612" s="2" t="str">
        <f>VLOOKUP($C612,'[10]for slip'!$F:$BC,3,0)</f>
        <v>Staff</v>
      </c>
      <c r="E612" s="2" t="str">
        <f>VLOOKUP($C612,'[10]for slip'!$F:$BC,4,0)</f>
        <v>Procurement</v>
      </c>
      <c r="F612" s="2">
        <f>VLOOKUP($C612,'[10]for slip'!$F:$BC,14,0)</f>
        <v>5343083</v>
      </c>
      <c r="G612" s="2">
        <f>VLOOKUP($C612,'[10]for slip'!$F:$BC,15,0)</f>
        <v>0</v>
      </c>
      <c r="H612" s="2">
        <f>VLOOKUP($C612,'[10]for slip'!$F:$BC,16,0)</f>
        <v>0</v>
      </c>
      <c r="I612" s="2">
        <f>VLOOKUP($C612,'[10]for slip'!$F:$BC,17,0)</f>
        <v>160292</v>
      </c>
      <c r="J612" s="2">
        <f>VLOOKUP($C612,'[10]for slip'!$F:$BC,27,0)</f>
        <v>0</v>
      </c>
      <c r="K612" s="2">
        <f>VLOOKUP($C612,'[10]for slip'!$F:$BC,31,0)</f>
        <v>0</v>
      </c>
      <c r="L612" s="2">
        <f>VLOOKUP($C612,'[10]for slip'!$F:$BC,35,0)</f>
        <v>42135.198343749966</v>
      </c>
      <c r="M612" s="2">
        <f>VLOOKUP($C612,'[10]for slip'!$F:$BC,36,0)</f>
        <v>0</v>
      </c>
      <c r="N612" s="2">
        <f>VLOOKUP($C612,'[10]for slip'!$F:$BC,37,0)</f>
        <v>0</v>
      </c>
      <c r="O612" s="2">
        <f>VLOOKUP($C612,'[10]for slip'!$F:$BC,38,0)</f>
        <v>0</v>
      </c>
      <c r="P612" s="2">
        <f>VLOOKUP($C612,'[10]for slip'!$F:$BC,39,0)</f>
        <v>38000</v>
      </c>
      <c r="Q612" s="2">
        <f>VLOOKUP($C612,'[10]for slip'!$F:$BC,40,0)</f>
        <v>31700</v>
      </c>
      <c r="R612" s="2">
        <f>VLOOKUP($C612,'[10]for slip'!$F:$BC,41,0)</f>
        <v>0</v>
      </c>
      <c r="S612" s="2">
        <f>VLOOKUP($C612,'[10]for slip'!$F:$BC,42,0)</f>
        <v>10000</v>
      </c>
      <c r="T612" s="2">
        <f>VLOOKUP($C612,'[10]for slip'!$F:$BC,43,0)</f>
        <v>55033.75</v>
      </c>
      <c r="U612" s="2">
        <f>VLOOKUP($C612,'[10]for slip'!$F:$BC,44,0)</f>
        <v>110067.5</v>
      </c>
      <c r="V612" s="2">
        <f>VLOOKUP($C612,'[10]for slip'!$F:$BC,45,0)</f>
        <v>55033.75</v>
      </c>
      <c r="W612" s="2">
        <f>VLOOKUP($C612,'[10]for slip'!$F:$BC,48,0)</f>
        <v>42135.198343749966</v>
      </c>
    </row>
    <row r="613" spans="1:23" x14ac:dyDescent="0.25">
      <c r="A613" s="1">
        <v>612</v>
      </c>
      <c r="B613" s="2" t="s">
        <v>1245</v>
      </c>
      <c r="C613" s="2" t="s">
        <v>1246</v>
      </c>
      <c r="D613" s="2" t="str">
        <f>VLOOKUP($C613,'[10]for slip'!$F:$BC,3,0)</f>
        <v>Staff</v>
      </c>
      <c r="E613" s="2" t="str">
        <f>VLOOKUP($C613,'[10]for slip'!$F:$BC,4,0)</f>
        <v>Procurement</v>
      </c>
      <c r="F613" s="2">
        <f>VLOOKUP($C613,'[10]for slip'!$F:$BC,14,0)</f>
        <v>4766499</v>
      </c>
      <c r="G613" s="2">
        <f>VLOOKUP($C613,'[10]for slip'!$F:$BC,15,0)</f>
        <v>0</v>
      </c>
      <c r="H613" s="2">
        <f>VLOOKUP($C613,'[10]for slip'!$F:$BC,16,0)</f>
        <v>1335300</v>
      </c>
      <c r="I613" s="2">
        <f>VLOOKUP($C613,'[10]for slip'!$F:$BC,17,0)</f>
        <v>272371</v>
      </c>
      <c r="J613" s="2">
        <f>VLOOKUP($C613,'[10]for slip'!$F:$BC,27,0)</f>
        <v>0</v>
      </c>
      <c r="K613" s="2">
        <f>VLOOKUP($C613,'[10]for slip'!$F:$BC,31,0)</f>
        <v>0</v>
      </c>
      <c r="L613" s="2">
        <f>VLOOKUP($C613,'[10]for slip'!$F:$BC,35,0)</f>
        <v>84403.80534250004</v>
      </c>
      <c r="M613" s="2">
        <f>VLOOKUP($C613,'[10]for slip'!$F:$BC,36,0)</f>
        <v>0</v>
      </c>
      <c r="N613" s="2">
        <f>VLOOKUP($C613,'[10]for slip'!$F:$BC,37,0)</f>
        <v>0</v>
      </c>
      <c r="O613" s="2">
        <f>VLOOKUP($C613,'[10]for slip'!$F:$BC,38,0)</f>
        <v>0</v>
      </c>
      <c r="P613" s="2">
        <f>VLOOKUP($C613,'[10]for slip'!$F:$BC,39,0)</f>
        <v>0</v>
      </c>
      <c r="Q613" s="2">
        <f>VLOOKUP($C613,'[10]for slip'!$F:$BC,40,0)</f>
        <v>31700</v>
      </c>
      <c r="R613" s="2">
        <f>VLOOKUP($C613,'[10]for slip'!$F:$BC,41,0)</f>
        <v>0</v>
      </c>
      <c r="S613" s="2">
        <f>VLOOKUP($C613,'[10]for slip'!$F:$BC,42,0)</f>
        <v>0</v>
      </c>
      <c r="T613" s="2">
        <f>VLOOKUP($C613,'[10]for slip'!$F:$BC,43,0)</f>
        <v>63741.700000000004</v>
      </c>
      <c r="U613" s="2">
        <f>VLOOKUP($C613,'[10]for slip'!$F:$BC,44,0)</f>
        <v>127483.40000000001</v>
      </c>
      <c r="V613" s="2">
        <f>VLOOKUP($C613,'[10]for slip'!$F:$BC,45,0)</f>
        <v>63741.700000000004</v>
      </c>
      <c r="W613" s="2">
        <f>VLOOKUP($C613,'[10]for slip'!$F:$BC,48,0)</f>
        <v>84403.80534250004</v>
      </c>
    </row>
    <row r="614" spans="1:23" x14ac:dyDescent="0.25">
      <c r="A614" s="1">
        <v>613</v>
      </c>
      <c r="B614" s="2" t="s">
        <v>1247</v>
      </c>
      <c r="C614" s="2" t="s">
        <v>1248</v>
      </c>
      <c r="D614" s="2" t="str">
        <f>VLOOKUP($C614,'[10]for slip'!$F:$BC,3,0)</f>
        <v>Staff</v>
      </c>
      <c r="E614" s="2" t="str">
        <f>VLOOKUP($C614,'[10]for slip'!$F:$BC,4,0)</f>
        <v>Procurement</v>
      </c>
      <c r="F614" s="2">
        <f>VLOOKUP($C614,'[10]for slip'!$F:$BC,14,0)</f>
        <v>5343083</v>
      </c>
      <c r="G614" s="2">
        <f>VLOOKUP($C614,'[10]for slip'!$F:$BC,15,0)</f>
        <v>0</v>
      </c>
      <c r="H614" s="2">
        <f>VLOOKUP($C614,'[10]for slip'!$F:$BC,16,0)</f>
        <v>0</v>
      </c>
      <c r="I614" s="2">
        <f>VLOOKUP($C614,'[10]for slip'!$F:$BC,17,0)</f>
        <v>0</v>
      </c>
      <c r="J614" s="2">
        <f>VLOOKUP($C614,'[10]for slip'!$F:$BC,27,0)</f>
        <v>0</v>
      </c>
      <c r="K614" s="2">
        <f>VLOOKUP($C614,'[10]for slip'!$F:$BC,31,0)</f>
        <v>0</v>
      </c>
      <c r="L614" s="2">
        <f>VLOOKUP($C614,'[10]for slip'!$F:$BC,35,0)</f>
        <v>34354.584590750004</v>
      </c>
      <c r="M614" s="2">
        <f>VLOOKUP($C614,'[10]for slip'!$F:$BC,36,0)</f>
        <v>0</v>
      </c>
      <c r="N614" s="2">
        <f>VLOOKUP($C614,'[10]for slip'!$F:$BC,37,0)</f>
        <v>0</v>
      </c>
      <c r="O614" s="2">
        <f>VLOOKUP($C614,'[10]for slip'!$F:$BC,38,0)</f>
        <v>0</v>
      </c>
      <c r="P614" s="2">
        <f>VLOOKUP($C614,'[10]for slip'!$F:$BC,39,0)</f>
        <v>0</v>
      </c>
      <c r="Q614" s="2">
        <f>VLOOKUP($C614,'[10]for slip'!$F:$BC,40,0)</f>
        <v>0</v>
      </c>
      <c r="R614" s="2">
        <f>VLOOKUP($C614,'[10]for slip'!$F:$BC,41,0)</f>
        <v>0</v>
      </c>
      <c r="S614" s="2">
        <f>VLOOKUP($C614,'[10]for slip'!$F:$BC,42,0)</f>
        <v>10000</v>
      </c>
      <c r="T614" s="2">
        <f>VLOOKUP($C614,'[10]for slip'!$F:$BC,43,0)</f>
        <v>53430.83</v>
      </c>
      <c r="U614" s="2">
        <f>VLOOKUP($C614,'[10]for slip'!$F:$BC,44,0)</f>
        <v>106861.66</v>
      </c>
      <c r="V614" s="2">
        <f>VLOOKUP($C614,'[10]for slip'!$F:$BC,45,0)</f>
        <v>53430.83</v>
      </c>
      <c r="W614" s="2">
        <f>VLOOKUP($C614,'[10]for slip'!$F:$BC,48,0)</f>
        <v>34354.584590750004</v>
      </c>
    </row>
    <row r="615" spans="1:23" x14ac:dyDescent="0.25">
      <c r="A615" s="1">
        <v>614</v>
      </c>
      <c r="B615" s="2" t="s">
        <v>1249</v>
      </c>
      <c r="C615" s="2" t="s">
        <v>1250</v>
      </c>
      <c r="D615" s="2" t="str">
        <f>VLOOKUP($C615,'[10]for slip'!$F:$BC,3,0)</f>
        <v>Staff</v>
      </c>
      <c r="E615" s="2" t="str">
        <f>VLOOKUP($C615,'[10]for slip'!$F:$BC,4,0)</f>
        <v>Procurement</v>
      </c>
      <c r="F615" s="2">
        <f>VLOOKUP($C615,'[10]for slip'!$F:$BC,14,0)</f>
        <v>5343083</v>
      </c>
      <c r="G615" s="2">
        <f>VLOOKUP($C615,'[10]for slip'!$F:$BC,15,0)</f>
        <v>0</v>
      </c>
      <c r="H615" s="2">
        <f>VLOOKUP($C615,'[10]for slip'!$F:$BC,16,0)</f>
        <v>575954</v>
      </c>
      <c r="I615" s="2">
        <f>VLOOKUP($C615,'[10]for slip'!$F:$BC,17,0)</f>
        <v>0</v>
      </c>
      <c r="J615" s="2">
        <f>VLOOKUP($C615,'[10]for slip'!$F:$BC,27,0)</f>
        <v>0</v>
      </c>
      <c r="K615" s="2">
        <f>VLOOKUP($C615,'[10]for slip'!$F:$BC,31,0)</f>
        <v>0</v>
      </c>
      <c r="L615" s="2">
        <f>VLOOKUP($C615,'[10]for slip'!$F:$BC,35,0)</f>
        <v>13565.365439249979</v>
      </c>
      <c r="M615" s="2">
        <f>VLOOKUP($C615,'[10]for slip'!$F:$BC,36,0)</f>
        <v>0</v>
      </c>
      <c r="N615" s="2">
        <f>VLOOKUP($C615,'[10]for slip'!$F:$BC,37,0)</f>
        <v>0</v>
      </c>
      <c r="O615" s="2">
        <f>VLOOKUP($C615,'[10]for slip'!$F:$BC,38,0)</f>
        <v>0</v>
      </c>
      <c r="P615" s="2">
        <f>VLOOKUP($C615,'[10]for slip'!$F:$BC,39,0)</f>
        <v>38000</v>
      </c>
      <c r="Q615" s="2">
        <f>VLOOKUP($C615,'[10]for slip'!$F:$BC,40,0)</f>
        <v>31700</v>
      </c>
      <c r="R615" s="2">
        <f>VLOOKUP($C615,'[10]for slip'!$F:$BC,41,0)</f>
        <v>0</v>
      </c>
      <c r="S615" s="2">
        <f>VLOOKUP($C615,'[10]for slip'!$F:$BC,42,0)</f>
        <v>0</v>
      </c>
      <c r="T615" s="2">
        <f>VLOOKUP($C615,'[10]for slip'!$F:$BC,43,0)</f>
        <v>0</v>
      </c>
      <c r="U615" s="2">
        <f>VLOOKUP($C615,'[10]for slip'!$F:$BC,44,0)</f>
        <v>118380.74</v>
      </c>
      <c r="V615" s="2">
        <f>VLOOKUP($C615,'[10]for slip'!$F:$BC,45,0)</f>
        <v>59190.37</v>
      </c>
      <c r="W615" s="2">
        <f>VLOOKUP($C615,'[10]for slip'!$F:$BC,48,0)</f>
        <v>13565.365439249979</v>
      </c>
    </row>
    <row r="616" spans="1:23" x14ac:dyDescent="0.25">
      <c r="A616" s="1">
        <v>615</v>
      </c>
      <c r="B616" s="2" t="s">
        <v>1251</v>
      </c>
      <c r="C616" s="2" t="s">
        <v>1252</v>
      </c>
      <c r="D616" s="2" t="str">
        <f>VLOOKUP($C616,'[10]for slip'!$F:$BC,3,0)</f>
        <v>Staff</v>
      </c>
      <c r="E616" s="2" t="str">
        <f>VLOOKUP($C616,'[10]for slip'!$F:$BC,4,0)</f>
        <v>Procurement</v>
      </c>
      <c r="F616" s="2">
        <f>VLOOKUP($C616,'[10]for slip'!$F:$BC,14,0)</f>
        <v>5343083</v>
      </c>
      <c r="G616" s="2">
        <f>VLOOKUP($C616,'[10]for slip'!$F:$BC,15,0)</f>
        <v>0</v>
      </c>
      <c r="H616" s="2">
        <f>VLOOKUP($C616,'[10]for slip'!$F:$BC,16,0)</f>
        <v>56917</v>
      </c>
      <c r="I616" s="2">
        <f>VLOOKUP($C616,'[10]for slip'!$F:$BC,17,0)</f>
        <v>0</v>
      </c>
      <c r="J616" s="2">
        <f>VLOOKUP($C616,'[10]for slip'!$F:$BC,27,0)</f>
        <v>0</v>
      </c>
      <c r="K616" s="2">
        <f>VLOOKUP($C616,'[10]for slip'!$F:$BC,31,0)</f>
        <v>0</v>
      </c>
      <c r="L616" s="2">
        <f>VLOOKUP($C616,'[10]for slip'!$F:$BC,35,0)</f>
        <v>37117.35</v>
      </c>
      <c r="M616" s="2">
        <f>VLOOKUP($C616,'[10]for slip'!$F:$BC,36,0)</f>
        <v>0</v>
      </c>
      <c r="N616" s="2">
        <f>VLOOKUP($C616,'[10]for slip'!$F:$BC,37,0)</f>
        <v>0</v>
      </c>
      <c r="O616" s="2">
        <f>VLOOKUP($C616,'[10]for slip'!$F:$BC,38,0)</f>
        <v>0</v>
      </c>
      <c r="P616" s="2">
        <f>VLOOKUP($C616,'[10]for slip'!$F:$BC,39,0)</f>
        <v>0</v>
      </c>
      <c r="Q616" s="2">
        <f>VLOOKUP($C616,'[10]for slip'!$F:$BC,40,0)</f>
        <v>31700</v>
      </c>
      <c r="R616" s="2">
        <f>VLOOKUP($C616,'[10]for slip'!$F:$BC,41,0)</f>
        <v>0</v>
      </c>
      <c r="S616" s="2">
        <f>VLOOKUP($C616,'[10]for slip'!$F:$BC,42,0)</f>
        <v>0</v>
      </c>
      <c r="T616" s="2">
        <f>VLOOKUP($C616,'[10]for slip'!$F:$BC,43,0)</f>
        <v>54000</v>
      </c>
      <c r="U616" s="2">
        <f>VLOOKUP($C616,'[10]for slip'!$F:$BC,44,0)</f>
        <v>108000</v>
      </c>
      <c r="V616" s="2">
        <f>VLOOKUP($C616,'[10]for slip'!$F:$BC,45,0)</f>
        <v>54000</v>
      </c>
      <c r="W616" s="2">
        <f>VLOOKUP($C616,'[10]for slip'!$F:$BC,48,0)</f>
        <v>37117.35</v>
      </c>
    </row>
    <row r="617" spans="1:23" x14ac:dyDescent="0.25">
      <c r="A617" s="1">
        <v>616</v>
      </c>
      <c r="B617" s="2" t="s">
        <v>1253</v>
      </c>
      <c r="C617" s="2" t="s">
        <v>1254</v>
      </c>
      <c r="D617" s="2" t="str">
        <f>VLOOKUP($C617,'[10]for slip'!$F:$BC,3,0)</f>
        <v>Specialist</v>
      </c>
      <c r="E617" s="2" t="str">
        <f>VLOOKUP($C617,'[10]for slip'!$F:$BC,4,0)</f>
        <v>SQEMS</v>
      </c>
      <c r="F617" s="2">
        <f>VLOOKUP($C617,'[10]for slip'!$F:$BC,14,0)</f>
        <v>5500000</v>
      </c>
      <c r="G617" s="2">
        <f>VLOOKUP($C617,'[10]for slip'!$F:$BC,15,0)</f>
        <v>1000000</v>
      </c>
      <c r="H617" s="2">
        <f>VLOOKUP($C617,'[10]for slip'!$F:$BC,16,0)</f>
        <v>300000</v>
      </c>
      <c r="I617" s="2">
        <f>VLOOKUP($C617,'[10]for slip'!$F:$BC,17,0)</f>
        <v>100000</v>
      </c>
      <c r="J617" s="2">
        <f>VLOOKUP($C617,'[10]for slip'!$F:$BC,27,0)</f>
        <v>0</v>
      </c>
      <c r="K617" s="2">
        <f>VLOOKUP($C617,'[10]for slip'!$F:$BC,31,0)</f>
        <v>0</v>
      </c>
      <c r="L617" s="2">
        <f>VLOOKUP($C617,'[10]for slip'!$F:$BC,35,0)</f>
        <v>52917.725000000006</v>
      </c>
      <c r="M617" s="2">
        <f>VLOOKUP($C617,'[10]for slip'!$F:$BC,36,0)</f>
        <v>0</v>
      </c>
      <c r="N617" s="2">
        <f>VLOOKUP($C617,'[10]for slip'!$F:$BC,37,0)</f>
        <v>0</v>
      </c>
      <c r="O617" s="2">
        <f>VLOOKUP($C617,'[10]for slip'!$F:$BC,38,0)</f>
        <v>0</v>
      </c>
      <c r="P617" s="2">
        <f>VLOOKUP($C617,'[10]for slip'!$F:$BC,39,0)</f>
        <v>38000</v>
      </c>
      <c r="Q617" s="2">
        <f>VLOOKUP($C617,'[10]for slip'!$F:$BC,40,0)</f>
        <v>31700</v>
      </c>
      <c r="R617" s="2">
        <f>VLOOKUP($C617,'[10]for slip'!$F:$BC,41,0)</f>
        <v>0</v>
      </c>
      <c r="S617" s="2">
        <f>VLOOKUP($C617,'[10]for slip'!$F:$BC,42,0)</f>
        <v>10000</v>
      </c>
      <c r="T617" s="2">
        <f>VLOOKUP($C617,'[10]for slip'!$F:$BC,43,0)</f>
        <v>65000</v>
      </c>
      <c r="U617" s="2">
        <f>VLOOKUP($C617,'[10]for slip'!$F:$BC,44,0)</f>
        <v>138000</v>
      </c>
      <c r="V617" s="2">
        <f>VLOOKUP($C617,'[10]for slip'!$F:$BC,45,0)</f>
        <v>69000</v>
      </c>
      <c r="W617" s="2">
        <f>VLOOKUP($C617,'[10]for slip'!$F:$BC,48,0)</f>
        <v>52917.725000000006</v>
      </c>
    </row>
    <row r="618" spans="1:23" x14ac:dyDescent="0.25">
      <c r="A618" s="1">
        <v>617</v>
      </c>
      <c r="B618" s="2" t="s">
        <v>23</v>
      </c>
      <c r="C618" s="2" t="s">
        <v>24</v>
      </c>
      <c r="D618" s="2" t="str">
        <f>VLOOKUP($C618,'[10]for slip'!$F:$BC,3,0)</f>
        <v>Specialist</v>
      </c>
      <c r="E618" s="2" t="str">
        <f>VLOOKUP($C618,'[10]for slip'!$F:$BC,4,0)</f>
        <v>SQEMS</v>
      </c>
      <c r="F618" s="2">
        <f>VLOOKUP($C618,'[10]for slip'!$F:$BC,14,0)</f>
        <v>5250000</v>
      </c>
      <c r="G618" s="2">
        <f>VLOOKUP($C618,'[10]for slip'!$F:$BC,15,0)</f>
        <v>1000000</v>
      </c>
      <c r="H618" s="2">
        <f>VLOOKUP($C618,'[10]for slip'!$F:$BC,16,0)</f>
        <v>0</v>
      </c>
      <c r="I618" s="2">
        <f>VLOOKUP($C618,'[10]for slip'!$F:$BC,17,0)</f>
        <v>0</v>
      </c>
      <c r="J618" s="2">
        <f>VLOOKUP($C618,'[10]for slip'!$F:$BC,27,0)</f>
        <v>0</v>
      </c>
      <c r="K618" s="2">
        <f>VLOOKUP($C618,'[10]for slip'!$F:$BC,31,0)</f>
        <v>0</v>
      </c>
      <c r="L618" s="2">
        <f>VLOOKUP($C618,'[10]for slip'!$F:$BC,35,0)</f>
        <v>78376.5625</v>
      </c>
      <c r="M618" s="2">
        <f>VLOOKUP($C618,'[10]for slip'!$F:$BC,36,0)</f>
        <v>0</v>
      </c>
      <c r="N618" s="2">
        <f>VLOOKUP($C618,'[10]for slip'!$F:$BC,37,0)</f>
        <v>0</v>
      </c>
      <c r="O618" s="2">
        <f>VLOOKUP($C618,'[10]for slip'!$F:$BC,38,0)</f>
        <v>0</v>
      </c>
      <c r="P618" s="2">
        <f>VLOOKUP($C618,'[10]for slip'!$F:$BC,39,0)</f>
        <v>38000</v>
      </c>
      <c r="Q618" s="2">
        <f>VLOOKUP($C618,'[10]for slip'!$F:$BC,40,0)</f>
        <v>31700</v>
      </c>
      <c r="R618" s="2">
        <f>VLOOKUP($C618,'[10]for slip'!$F:$BC,41,0)</f>
        <v>0</v>
      </c>
      <c r="S618" s="2">
        <f>VLOOKUP($C618,'[10]for slip'!$F:$BC,42,0)</f>
        <v>0</v>
      </c>
      <c r="T618" s="2">
        <f>VLOOKUP($C618,'[10]for slip'!$F:$BC,43,0)</f>
        <v>62500</v>
      </c>
      <c r="U618" s="2">
        <f>VLOOKUP($C618,'[10]for slip'!$F:$BC,44,0)</f>
        <v>125000</v>
      </c>
      <c r="V618" s="2">
        <f>VLOOKUP($C618,'[10]for slip'!$F:$BC,45,0)</f>
        <v>62500</v>
      </c>
      <c r="W618" s="2">
        <f>VLOOKUP($C618,'[10]for slip'!$F:$BC,48,0)</f>
        <v>78376.5625</v>
      </c>
    </row>
    <row r="619" spans="1:23" x14ac:dyDescent="0.25">
      <c r="A619" s="1">
        <v>618</v>
      </c>
      <c r="B619" s="2" t="s">
        <v>1255</v>
      </c>
      <c r="C619" s="2" t="s">
        <v>1256</v>
      </c>
      <c r="D619" s="2" t="str">
        <f>VLOOKUP($C619,'[10]for slip'!$F:$BC,3,0)</f>
        <v>Leader</v>
      </c>
      <c r="E619" s="2" t="str">
        <f>VLOOKUP($C619,'[10]for slip'!$F:$BC,4,0)</f>
        <v>SQEMS</v>
      </c>
      <c r="F619" s="2">
        <f>VLOOKUP($C619,'[10]for slip'!$F:$BC,14,0)</f>
        <v>5343083</v>
      </c>
      <c r="G619" s="2">
        <f>VLOOKUP($C619,'[10]for slip'!$F:$BC,15,0)</f>
        <v>500000</v>
      </c>
      <c r="H619" s="2">
        <f>VLOOKUP($C619,'[10]for slip'!$F:$BC,16,0)</f>
        <v>0</v>
      </c>
      <c r="I619" s="2">
        <f>VLOOKUP($C619,'[10]for slip'!$F:$BC,17,0)</f>
        <v>0</v>
      </c>
      <c r="J619" s="2">
        <f>VLOOKUP($C619,'[10]for slip'!$F:$BC,27,0)</f>
        <v>0</v>
      </c>
      <c r="K619" s="2">
        <f>VLOOKUP($C619,'[10]for slip'!$F:$BC,31,0)</f>
        <v>0</v>
      </c>
      <c r="L619" s="2">
        <f>VLOOKUP($C619,'[10]for slip'!$F:$BC,35,0)</f>
        <v>0</v>
      </c>
      <c r="M619" s="2">
        <f>VLOOKUP($C619,'[10]for slip'!$F:$BC,36,0)</f>
        <v>0</v>
      </c>
      <c r="N619" s="2">
        <f>VLOOKUP($C619,'[10]for slip'!$F:$BC,37,0)</f>
        <v>0</v>
      </c>
      <c r="O619" s="2">
        <f>VLOOKUP($C619,'[10]for slip'!$F:$BC,38,0)</f>
        <v>0</v>
      </c>
      <c r="P619" s="2">
        <f>VLOOKUP($C619,'[10]for slip'!$F:$BC,39,0)</f>
        <v>38000</v>
      </c>
      <c r="Q619" s="2">
        <f>VLOOKUP($C619,'[10]for slip'!$F:$BC,40,0)</f>
        <v>31700</v>
      </c>
      <c r="R619" s="2">
        <f>VLOOKUP($C619,'[10]for slip'!$F:$BC,41,0)</f>
        <v>0</v>
      </c>
      <c r="S619" s="2">
        <f>VLOOKUP($C619,'[10]for slip'!$F:$BC,42,0)</f>
        <v>10000</v>
      </c>
      <c r="T619" s="2">
        <f>VLOOKUP($C619,'[10]for slip'!$F:$BC,43,0)</f>
        <v>58430.83</v>
      </c>
      <c r="U619" s="2">
        <f>VLOOKUP($C619,'[10]for slip'!$F:$BC,44,0)</f>
        <v>116861.66</v>
      </c>
      <c r="V619" s="2">
        <f>VLOOKUP($C619,'[10]for slip'!$F:$BC,45,0)</f>
        <v>58430.83</v>
      </c>
      <c r="W619" s="2">
        <f>VLOOKUP($C619,'[10]for slip'!$F:$BC,48,0)</f>
        <v>0</v>
      </c>
    </row>
    <row r="620" spans="1:23" x14ac:dyDescent="0.25">
      <c r="A620" s="1">
        <v>619</v>
      </c>
      <c r="B620" s="2" t="s">
        <v>1257</v>
      </c>
      <c r="C620" s="2" t="s">
        <v>1258</v>
      </c>
      <c r="D620" s="2" t="str">
        <f>VLOOKUP($C620,'[10]for slip'!$F:$BC,3,0)</f>
        <v>Specialist</v>
      </c>
      <c r="E620" s="2" t="str">
        <f>VLOOKUP($C620,'[10]for slip'!$F:$BC,4,0)</f>
        <v>SQEMS</v>
      </c>
      <c r="F620" s="2">
        <f>VLOOKUP($C620,'[10]for slip'!$F:$BC,14,0)</f>
        <v>5000000</v>
      </c>
      <c r="G620" s="2">
        <f>VLOOKUP($C620,'[10]for slip'!$F:$BC,15,0)</f>
        <v>1000000</v>
      </c>
      <c r="H620" s="2">
        <f>VLOOKUP($C620,'[10]for slip'!$F:$BC,16,0)</f>
        <v>0</v>
      </c>
      <c r="I620" s="2">
        <f>VLOOKUP($C620,'[10]for slip'!$F:$BC,17,0)</f>
        <v>0</v>
      </c>
      <c r="J620" s="2">
        <f>VLOOKUP($C620,'[10]for slip'!$F:$BC,27,0)</f>
        <v>0</v>
      </c>
      <c r="K620" s="2">
        <f>VLOOKUP($C620,'[10]for slip'!$F:$BC,31,0)</f>
        <v>0</v>
      </c>
      <c r="L620" s="2">
        <f>VLOOKUP($C620,'[10]for slip'!$F:$BC,35,0)</f>
        <v>66241.5</v>
      </c>
      <c r="M620" s="2">
        <f>VLOOKUP($C620,'[10]for slip'!$F:$BC,36,0)</f>
        <v>0</v>
      </c>
      <c r="N620" s="2">
        <f>VLOOKUP($C620,'[10]for slip'!$F:$BC,37,0)</f>
        <v>0</v>
      </c>
      <c r="O620" s="2">
        <f>VLOOKUP($C620,'[10]for slip'!$F:$BC,38,0)</f>
        <v>0</v>
      </c>
      <c r="P620" s="2">
        <f>VLOOKUP($C620,'[10]for slip'!$F:$BC,39,0)</f>
        <v>0</v>
      </c>
      <c r="Q620" s="2">
        <f>VLOOKUP($C620,'[10]for slip'!$F:$BC,40,0)</f>
        <v>0</v>
      </c>
      <c r="R620" s="2">
        <f>VLOOKUP($C620,'[10]for slip'!$F:$BC,41,0)</f>
        <v>0</v>
      </c>
      <c r="S620" s="2">
        <f>VLOOKUP($C620,'[10]for slip'!$F:$BC,42,0)</f>
        <v>0</v>
      </c>
      <c r="T620" s="2">
        <f>VLOOKUP($C620,'[10]for slip'!$F:$BC,43,0)</f>
        <v>60000</v>
      </c>
      <c r="U620" s="2">
        <f>VLOOKUP($C620,'[10]for slip'!$F:$BC,44,0)</f>
        <v>120000</v>
      </c>
      <c r="V620" s="2">
        <f>VLOOKUP($C620,'[10]for slip'!$F:$BC,45,0)</f>
        <v>60000</v>
      </c>
      <c r="W620" s="2">
        <f>VLOOKUP($C620,'[10]for slip'!$F:$BC,48,0)</f>
        <v>66241.5</v>
      </c>
    </row>
    <row r="621" spans="1:23" x14ac:dyDescent="0.25">
      <c r="A621" s="1">
        <v>620</v>
      </c>
      <c r="B621" s="2" t="s">
        <v>1259</v>
      </c>
      <c r="C621" s="2" t="s">
        <v>1260</v>
      </c>
      <c r="D621" s="2" t="str">
        <f>VLOOKUP($C621,'[10]for slip'!$F:$BC,3,0)</f>
        <v>Sect Head</v>
      </c>
      <c r="E621" s="2" t="str">
        <f>VLOOKUP($C621,'[10]for slip'!$F:$BC,4,0)</f>
        <v>HR &amp; GA</v>
      </c>
      <c r="F621" s="2">
        <f>VLOOKUP($C621,'[10]for slip'!$F:$BC,14,0)</f>
        <v>5445000</v>
      </c>
      <c r="G621" s="2">
        <f>VLOOKUP($C621,'[10]for slip'!$F:$BC,15,0)</f>
        <v>1500000</v>
      </c>
      <c r="H621" s="2">
        <f>VLOOKUP($C621,'[10]for slip'!$F:$BC,16,0)</f>
        <v>0</v>
      </c>
      <c r="I621" s="2">
        <f>VLOOKUP($C621,'[10]for slip'!$F:$BC,17,0)</f>
        <v>259750</v>
      </c>
      <c r="J621" s="2">
        <f>VLOOKUP($C621,'[10]for slip'!$F:$BC,27,0)</f>
        <v>0</v>
      </c>
      <c r="K621" s="2">
        <f>VLOOKUP($C621,'[10]for slip'!$F:$BC,31,0)</f>
        <v>0</v>
      </c>
      <c r="L621" s="2">
        <f>VLOOKUP($C621,'[10]for slip'!$F:$BC,35,0)</f>
        <v>49720.366187500018</v>
      </c>
      <c r="M621" s="2">
        <f>VLOOKUP($C621,'[10]for slip'!$F:$BC,36,0)</f>
        <v>0</v>
      </c>
      <c r="N621" s="2">
        <f>VLOOKUP($C621,'[10]for slip'!$F:$BC,37,0)</f>
        <v>0</v>
      </c>
      <c r="O621" s="2">
        <f>VLOOKUP($C621,'[10]for slip'!$F:$BC,38,0)</f>
        <v>0</v>
      </c>
      <c r="P621" s="2">
        <f>VLOOKUP($C621,'[10]for slip'!$F:$BC,39,0)</f>
        <v>38000</v>
      </c>
      <c r="Q621" s="2">
        <f>VLOOKUP($C621,'[10]for slip'!$F:$BC,40,0)</f>
        <v>31700</v>
      </c>
      <c r="R621" s="2">
        <f>VLOOKUP($C621,'[10]for slip'!$F:$BC,41,0)</f>
        <v>0</v>
      </c>
      <c r="S621" s="2">
        <f>VLOOKUP($C621,'[10]for slip'!$F:$BC,42,0)</f>
        <v>10000</v>
      </c>
      <c r="T621" s="2">
        <f>VLOOKUP($C621,'[10]for slip'!$F:$BC,43,0)</f>
        <v>72047.5</v>
      </c>
      <c r="U621" s="2">
        <f>VLOOKUP($C621,'[10]for slip'!$F:$BC,44,0)</f>
        <v>144095</v>
      </c>
      <c r="V621" s="2">
        <f>VLOOKUP($C621,'[10]for slip'!$F:$BC,45,0)</f>
        <v>72047.5</v>
      </c>
      <c r="W621" s="2">
        <f>VLOOKUP($C621,'[10]for slip'!$F:$BC,48,0)</f>
        <v>49720.366187500018</v>
      </c>
    </row>
    <row r="622" spans="1:23" x14ac:dyDescent="0.25">
      <c r="A622" s="1">
        <v>621</v>
      </c>
      <c r="B622" s="2" t="s">
        <v>1261</v>
      </c>
      <c r="C622" s="2" t="s">
        <v>1262</v>
      </c>
      <c r="D622" s="2" t="str">
        <f>VLOOKUP($C622,'[10]for slip'!$F:$BC,3,0)</f>
        <v>Sect Head</v>
      </c>
      <c r="E622" s="2" t="str">
        <f>VLOOKUP($C622,'[10]for slip'!$F:$BC,4,0)</f>
        <v>HR &amp; GA</v>
      </c>
      <c r="F622" s="2">
        <f>VLOOKUP($C622,'[10]for slip'!$F:$BC,14,0)</f>
        <v>5343083</v>
      </c>
      <c r="G622" s="2">
        <f>VLOOKUP($C622,'[10]for slip'!$F:$BC,15,0)</f>
        <v>1500000</v>
      </c>
      <c r="H622" s="2">
        <f>VLOOKUP($C622,'[10]for slip'!$F:$BC,16,0)</f>
        <v>0</v>
      </c>
      <c r="I622" s="2">
        <f>VLOOKUP($C622,'[10]for slip'!$F:$BC,17,0)</f>
        <v>250000</v>
      </c>
      <c r="J622" s="2">
        <f>VLOOKUP($C622,'[10]for slip'!$F:$BC,27,0)</f>
        <v>0</v>
      </c>
      <c r="K622" s="2">
        <f>VLOOKUP($C622,'[10]for slip'!$F:$BC,31,0)</f>
        <v>0</v>
      </c>
      <c r="L622" s="2">
        <f>VLOOKUP($C622,'[10]for slip'!$F:$BC,35,0)</f>
        <v>119300.02209074995</v>
      </c>
      <c r="M622" s="2">
        <f>VLOOKUP($C622,'[10]for slip'!$F:$BC,36,0)</f>
        <v>0</v>
      </c>
      <c r="N622" s="2">
        <f>VLOOKUP($C622,'[10]for slip'!$F:$BC,37,0)</f>
        <v>0</v>
      </c>
      <c r="O622" s="2">
        <f>VLOOKUP($C622,'[10]for slip'!$F:$BC,38,0)</f>
        <v>0</v>
      </c>
      <c r="P622" s="2">
        <f>VLOOKUP($C622,'[10]for slip'!$F:$BC,39,0)</f>
        <v>38000</v>
      </c>
      <c r="Q622" s="2">
        <f>VLOOKUP($C622,'[10]for slip'!$F:$BC,40,0)</f>
        <v>31700</v>
      </c>
      <c r="R622" s="2">
        <f>VLOOKUP($C622,'[10]for slip'!$F:$BC,41,0)</f>
        <v>0</v>
      </c>
      <c r="S622" s="2">
        <f>VLOOKUP($C622,'[10]for slip'!$F:$BC,42,0)</f>
        <v>10000</v>
      </c>
      <c r="T622" s="2">
        <f>VLOOKUP($C622,'[10]for slip'!$F:$BC,43,0)</f>
        <v>70930.83</v>
      </c>
      <c r="U622" s="2">
        <f>VLOOKUP($C622,'[10]for slip'!$F:$BC,44,0)</f>
        <v>141861.66</v>
      </c>
      <c r="V622" s="2">
        <f>VLOOKUP($C622,'[10]for slip'!$F:$BC,45,0)</f>
        <v>70930.83</v>
      </c>
      <c r="W622" s="2">
        <f>VLOOKUP($C622,'[10]for slip'!$F:$BC,48,0)</f>
        <v>119300.02209074995</v>
      </c>
    </row>
    <row r="623" spans="1:23" x14ac:dyDescent="0.25">
      <c r="A623" s="1">
        <v>622</v>
      </c>
      <c r="B623" s="2" t="s">
        <v>1263</v>
      </c>
      <c r="C623" s="2" t="s">
        <v>1264</v>
      </c>
      <c r="D623" s="2" t="str">
        <f>VLOOKUP($C623,'[10]for slip'!$F:$BC,3,0)</f>
        <v>Officer</v>
      </c>
      <c r="E623" s="2" t="str">
        <f>VLOOKUP($C623,'[10]for slip'!$F:$BC,4,0)</f>
        <v>HR &amp; GA</v>
      </c>
      <c r="F623" s="2">
        <f>VLOOKUP($C623,'[10]for slip'!$F:$BC,14,0)</f>
        <v>5049394</v>
      </c>
      <c r="G623" s="2">
        <f>VLOOKUP($C623,'[10]for slip'!$F:$BC,15,0)</f>
        <v>0</v>
      </c>
      <c r="H623" s="2">
        <f>VLOOKUP($C623,'[10]for slip'!$F:$BC,16,0)</f>
        <v>585300</v>
      </c>
      <c r="I623" s="2">
        <f>VLOOKUP($C623,'[10]for slip'!$F:$BC,17,0)</f>
        <v>238851</v>
      </c>
      <c r="J623" s="2">
        <f>VLOOKUP($C623,'[10]for slip'!$F:$BC,27,0)</f>
        <v>0</v>
      </c>
      <c r="K623" s="2">
        <f>VLOOKUP($C623,'[10]for slip'!$F:$BC,31,0)</f>
        <v>0</v>
      </c>
      <c r="L623" s="2">
        <f>VLOOKUP($C623,'[10]for slip'!$F:$BC,35,0)</f>
        <v>22603.342686250002</v>
      </c>
      <c r="M623" s="2">
        <f>VLOOKUP($C623,'[10]for slip'!$F:$BC,36,0)</f>
        <v>0</v>
      </c>
      <c r="N623" s="2">
        <f>VLOOKUP($C623,'[10]for slip'!$F:$BC,37,0)</f>
        <v>0</v>
      </c>
      <c r="O623" s="2">
        <f>VLOOKUP($C623,'[10]for slip'!$F:$BC,38,0)</f>
        <v>0</v>
      </c>
      <c r="P623" s="2">
        <f>VLOOKUP($C623,'[10]for slip'!$F:$BC,39,0)</f>
        <v>38000</v>
      </c>
      <c r="Q623" s="2">
        <f>VLOOKUP($C623,'[10]for slip'!$F:$BC,40,0)</f>
        <v>31700</v>
      </c>
      <c r="R623" s="2">
        <f>VLOOKUP($C623,'[10]for slip'!$F:$BC,41,0)</f>
        <v>0</v>
      </c>
      <c r="S623" s="2">
        <f>VLOOKUP($C623,'[10]for slip'!$F:$BC,42,0)</f>
        <v>10000</v>
      </c>
      <c r="T623" s="2">
        <f>VLOOKUP($C623,'[10]for slip'!$F:$BC,43,0)</f>
        <v>58735.450000000004</v>
      </c>
      <c r="U623" s="2">
        <f>VLOOKUP($C623,'[10]for slip'!$F:$BC,44,0)</f>
        <v>117470.90000000001</v>
      </c>
      <c r="V623" s="2">
        <f>VLOOKUP($C623,'[10]for slip'!$F:$BC,45,0)</f>
        <v>58735.450000000004</v>
      </c>
      <c r="W623" s="2">
        <f>VLOOKUP($C623,'[10]for slip'!$F:$BC,48,0)</f>
        <v>22603.342686250002</v>
      </c>
    </row>
    <row r="624" spans="1:23" x14ac:dyDescent="0.25">
      <c r="A624" s="1">
        <v>623</v>
      </c>
      <c r="B624" s="2" t="s">
        <v>1265</v>
      </c>
      <c r="C624" s="2" t="s">
        <v>1266</v>
      </c>
      <c r="D624" s="2" t="str">
        <f>VLOOKUP($C624,'[10]for slip'!$F:$BC,3,0)</f>
        <v>Officer</v>
      </c>
      <c r="E624" s="2" t="str">
        <f>VLOOKUP($C624,'[10]for slip'!$F:$BC,4,0)</f>
        <v>HR &amp; GA</v>
      </c>
      <c r="F624" s="2">
        <f>VLOOKUP($C624,'[10]for slip'!$F:$BC,14,0)</f>
        <v>5343083</v>
      </c>
      <c r="G624" s="2">
        <f>VLOOKUP($C624,'[10]for slip'!$F:$BC,15,0)</f>
        <v>0</v>
      </c>
      <c r="H624" s="2">
        <f>VLOOKUP($C624,'[10]for slip'!$F:$BC,16,0)</f>
        <v>575954</v>
      </c>
      <c r="I624" s="2">
        <f>VLOOKUP($C624,'[10]for slip'!$F:$BC,17,0)</f>
        <v>0</v>
      </c>
      <c r="J624" s="2">
        <f>VLOOKUP($C624,'[10]for slip'!$F:$BC,27,0)</f>
        <v>0</v>
      </c>
      <c r="K624" s="2">
        <f>VLOOKUP($C624,'[10]for slip'!$F:$BC,31,0)</f>
        <v>0</v>
      </c>
      <c r="L624" s="2">
        <f>VLOOKUP($C624,'[10]for slip'!$F:$BC,35,0)</f>
        <v>62311.535739249986</v>
      </c>
      <c r="M624" s="2">
        <f>VLOOKUP($C624,'[10]for slip'!$F:$BC,36,0)</f>
        <v>0</v>
      </c>
      <c r="N624" s="2">
        <f>VLOOKUP($C624,'[10]for slip'!$F:$BC,37,0)</f>
        <v>0</v>
      </c>
      <c r="O624" s="2">
        <f>VLOOKUP($C624,'[10]for slip'!$F:$BC,38,0)</f>
        <v>0</v>
      </c>
      <c r="P624" s="2">
        <f>VLOOKUP($C624,'[10]for slip'!$F:$BC,39,0)</f>
        <v>0</v>
      </c>
      <c r="Q624" s="2">
        <f>VLOOKUP($C624,'[10]for slip'!$F:$BC,40,0)</f>
        <v>31700</v>
      </c>
      <c r="R624" s="2">
        <f>VLOOKUP($C624,'[10]for slip'!$F:$BC,41,0)</f>
        <v>0</v>
      </c>
      <c r="S624" s="2">
        <f>VLOOKUP($C624,'[10]for slip'!$F:$BC,42,0)</f>
        <v>0</v>
      </c>
      <c r="T624" s="2">
        <f>VLOOKUP($C624,'[10]for slip'!$F:$BC,43,0)</f>
        <v>59190.37</v>
      </c>
      <c r="U624" s="2">
        <f>VLOOKUP($C624,'[10]for slip'!$F:$BC,44,0)</f>
        <v>118380.74</v>
      </c>
      <c r="V624" s="2">
        <f>VLOOKUP($C624,'[10]for slip'!$F:$BC,45,0)</f>
        <v>59190.37</v>
      </c>
      <c r="W624" s="2">
        <f>VLOOKUP($C624,'[10]for slip'!$F:$BC,48,0)</f>
        <v>62311.535739249986</v>
      </c>
    </row>
    <row r="625" spans="1:23" x14ac:dyDescent="0.25">
      <c r="A625" s="1">
        <v>624</v>
      </c>
      <c r="B625" s="2" t="s">
        <v>1267</v>
      </c>
      <c r="C625" s="2" t="s">
        <v>1268</v>
      </c>
      <c r="D625" s="2" t="str">
        <f>VLOOKUP($C625,'[10]for slip'!$F:$BC,3,0)</f>
        <v>Staff</v>
      </c>
      <c r="E625" s="2" t="str">
        <f>VLOOKUP($C625,'[10]for slip'!$F:$BC,4,0)</f>
        <v>HR &amp; GA</v>
      </c>
      <c r="F625" s="2">
        <f>VLOOKUP($C625,'[10]for slip'!$F:$BC,14,0)</f>
        <v>5343083</v>
      </c>
      <c r="G625" s="2">
        <f>VLOOKUP($C625,'[10]for slip'!$F:$BC,15,0)</f>
        <v>0</v>
      </c>
      <c r="H625" s="2">
        <f>VLOOKUP($C625,'[10]for slip'!$F:$BC,16,0)</f>
        <v>0</v>
      </c>
      <c r="I625" s="2">
        <f>VLOOKUP($C625,'[10]for slip'!$F:$BC,17,0)</f>
        <v>0</v>
      </c>
      <c r="J625" s="2">
        <f>VLOOKUP($C625,'[10]for slip'!$F:$BC,27,0)</f>
        <v>0</v>
      </c>
      <c r="K625" s="2">
        <f>VLOOKUP($C625,'[10]for slip'!$F:$BC,31,0)</f>
        <v>0</v>
      </c>
      <c r="L625" s="2">
        <f>VLOOKUP($C625,'[10]for slip'!$F:$BC,35,0)</f>
        <v>34354.584590750004</v>
      </c>
      <c r="M625" s="2">
        <f>VLOOKUP($C625,'[10]for slip'!$F:$BC,36,0)</f>
        <v>0</v>
      </c>
      <c r="N625" s="2">
        <f>VLOOKUP($C625,'[10]for slip'!$F:$BC,37,0)</f>
        <v>0</v>
      </c>
      <c r="O625" s="2">
        <f>VLOOKUP($C625,'[10]for slip'!$F:$BC,38,0)</f>
        <v>0</v>
      </c>
      <c r="P625" s="2">
        <f>VLOOKUP($C625,'[10]for slip'!$F:$BC,39,0)</f>
        <v>0</v>
      </c>
      <c r="Q625" s="2">
        <f>VLOOKUP($C625,'[10]for slip'!$F:$BC,40,0)</f>
        <v>31700</v>
      </c>
      <c r="R625" s="2">
        <f>VLOOKUP($C625,'[10]for slip'!$F:$BC,41,0)</f>
        <v>0</v>
      </c>
      <c r="S625" s="2">
        <f>VLOOKUP($C625,'[10]for slip'!$F:$BC,42,0)</f>
        <v>10000</v>
      </c>
      <c r="T625" s="2">
        <f>VLOOKUP($C625,'[10]for slip'!$F:$BC,43,0)</f>
        <v>53430.83</v>
      </c>
      <c r="U625" s="2">
        <f>VLOOKUP($C625,'[10]for slip'!$F:$BC,44,0)</f>
        <v>106861.66</v>
      </c>
      <c r="V625" s="2">
        <f>VLOOKUP($C625,'[10]for slip'!$F:$BC,45,0)</f>
        <v>53430.83</v>
      </c>
      <c r="W625" s="2">
        <f>VLOOKUP($C625,'[10]for slip'!$F:$BC,48,0)</f>
        <v>34354.584590750004</v>
      </c>
    </row>
    <row r="626" spans="1:23" x14ac:dyDescent="0.25">
      <c r="A626" s="1">
        <v>625</v>
      </c>
      <c r="B626" s="2" t="s">
        <v>1269</v>
      </c>
      <c r="C626" s="2" t="s">
        <v>1270</v>
      </c>
      <c r="D626" s="2" t="str">
        <f>VLOOKUP($C626,'[10]for slip'!$F:$BC,3,0)</f>
        <v>Leader</v>
      </c>
      <c r="E626" s="2" t="str">
        <f>VLOOKUP($C626,'[10]for slip'!$F:$BC,4,0)</f>
        <v>HR &amp; GA</v>
      </c>
      <c r="F626" s="2">
        <f>VLOOKUP($C626,'[10]for slip'!$F:$BC,14,0)</f>
        <v>5343083</v>
      </c>
      <c r="G626" s="2">
        <f>VLOOKUP($C626,'[10]for slip'!$F:$BC,15,0)</f>
        <v>400000</v>
      </c>
      <c r="H626" s="2">
        <f>VLOOKUP($C626,'[10]for slip'!$F:$BC,16,0)</f>
        <v>0</v>
      </c>
      <c r="I626" s="2">
        <f>VLOOKUP($C626,'[10]for slip'!$F:$BC,17,0)</f>
        <v>0</v>
      </c>
      <c r="J626" s="2">
        <f>VLOOKUP($C626,'[10]for slip'!$F:$BC,27,0)</f>
        <v>0</v>
      </c>
      <c r="K626" s="2">
        <f>VLOOKUP($C626,'[10]for slip'!$F:$BC,31,0)</f>
        <v>0</v>
      </c>
      <c r="L626" s="2">
        <f>VLOOKUP($C626,'[10]for slip'!$F:$BC,35,0)</f>
        <v>53770.684590749974</v>
      </c>
      <c r="M626" s="2">
        <f>VLOOKUP($C626,'[10]for slip'!$F:$BC,36,0)</f>
        <v>0</v>
      </c>
      <c r="N626" s="2">
        <f>VLOOKUP($C626,'[10]for slip'!$F:$BC,37,0)</f>
        <v>0</v>
      </c>
      <c r="O626" s="2">
        <f>VLOOKUP($C626,'[10]for slip'!$F:$BC,38,0)</f>
        <v>0</v>
      </c>
      <c r="P626" s="2">
        <f>VLOOKUP($C626,'[10]for slip'!$F:$BC,39,0)</f>
        <v>38000</v>
      </c>
      <c r="Q626" s="2">
        <f>VLOOKUP($C626,'[10]for slip'!$F:$BC,40,0)</f>
        <v>31700</v>
      </c>
      <c r="R626" s="2">
        <f>VLOOKUP($C626,'[10]for slip'!$F:$BC,41,0)</f>
        <v>0</v>
      </c>
      <c r="S626" s="2">
        <f>VLOOKUP($C626,'[10]for slip'!$F:$BC,42,0)</f>
        <v>10000</v>
      </c>
      <c r="T626" s="2">
        <f>VLOOKUP($C626,'[10]for slip'!$F:$BC,43,0)</f>
        <v>57430.83</v>
      </c>
      <c r="U626" s="2">
        <f>VLOOKUP($C626,'[10]for slip'!$F:$BC,44,0)</f>
        <v>114861.66</v>
      </c>
      <c r="V626" s="2">
        <f>VLOOKUP($C626,'[10]for slip'!$F:$BC,45,0)</f>
        <v>57430.83</v>
      </c>
      <c r="W626" s="2">
        <f>VLOOKUP($C626,'[10]for slip'!$F:$BC,48,0)</f>
        <v>53770.684590749974</v>
      </c>
    </row>
    <row r="627" spans="1:23" x14ac:dyDescent="0.25">
      <c r="A627" s="1">
        <v>626</v>
      </c>
      <c r="B627" s="2" t="s">
        <v>1271</v>
      </c>
      <c r="C627" s="2" t="s">
        <v>1272</v>
      </c>
      <c r="D627" s="2" t="str">
        <f>VLOOKUP($C627,'[10]for slip'!$F:$BC,3,0)</f>
        <v>Driver</v>
      </c>
      <c r="E627" s="2" t="str">
        <f>VLOOKUP($C627,'[10]for slip'!$F:$BC,4,0)</f>
        <v>HR &amp; GA</v>
      </c>
      <c r="F627" s="2">
        <f>VLOOKUP($C627,'[10]for slip'!$F:$BC,14,0)</f>
        <v>5343083</v>
      </c>
      <c r="G627" s="2">
        <f>VLOOKUP($C627,'[10]for slip'!$F:$BC,15,0)</f>
        <v>0</v>
      </c>
      <c r="H627" s="2">
        <f>VLOOKUP($C627,'[10]for slip'!$F:$BC,16,0)</f>
        <v>0</v>
      </c>
      <c r="I627" s="2">
        <f>VLOOKUP($C627,'[10]for slip'!$F:$BC,17,0)</f>
        <v>835300</v>
      </c>
      <c r="J627" s="2">
        <f>VLOOKUP($C627,'[10]for slip'!$F:$BC,27,0)</f>
        <v>0</v>
      </c>
      <c r="K627" s="2">
        <f>VLOOKUP($C627,'[10]for slip'!$F:$BC,31,0)</f>
        <v>0</v>
      </c>
      <c r="L627" s="2">
        <f>VLOOKUP($C627,'[10]for slip'!$F:$BC,35,0)</f>
        <v>37400.255415749991</v>
      </c>
      <c r="M627" s="2">
        <f>VLOOKUP($C627,'[10]for slip'!$F:$BC,36,0)</f>
        <v>0</v>
      </c>
      <c r="N627" s="2">
        <f>VLOOKUP($C627,'[10]for slip'!$F:$BC,37,0)</f>
        <v>0</v>
      </c>
      <c r="O627" s="2">
        <f>VLOOKUP($C627,'[10]for slip'!$F:$BC,38,0)</f>
        <v>0</v>
      </c>
      <c r="P627" s="2">
        <f>VLOOKUP($C627,'[10]for slip'!$F:$BC,39,0)</f>
        <v>0</v>
      </c>
      <c r="Q627" s="2">
        <f>VLOOKUP($C627,'[10]for slip'!$F:$BC,40,0)</f>
        <v>31700</v>
      </c>
      <c r="R627" s="2">
        <f>VLOOKUP($C627,'[10]for slip'!$F:$BC,41,0)</f>
        <v>0</v>
      </c>
      <c r="S627" s="2">
        <f>VLOOKUP($C627,'[10]for slip'!$F:$BC,42,0)</f>
        <v>0</v>
      </c>
      <c r="T627" s="2">
        <f>VLOOKUP($C627,'[10]for slip'!$F:$BC,43,0)</f>
        <v>61783.83</v>
      </c>
      <c r="U627" s="2">
        <f>VLOOKUP($C627,'[10]for slip'!$F:$BC,44,0)</f>
        <v>123567.66</v>
      </c>
      <c r="V627" s="2">
        <f>VLOOKUP($C627,'[10]for slip'!$F:$BC,45,0)</f>
        <v>61783.83</v>
      </c>
      <c r="W627" s="2">
        <f>VLOOKUP($C627,'[10]for slip'!$F:$BC,48,0)</f>
        <v>37400.255415749991</v>
      </c>
    </row>
    <row r="628" spans="1:23" x14ac:dyDescent="0.25">
      <c r="A628" s="1">
        <v>627</v>
      </c>
      <c r="B628" s="2" t="s">
        <v>1273</v>
      </c>
      <c r="C628" s="2" t="s">
        <v>1274</v>
      </c>
      <c r="D628" s="2" t="str">
        <f>VLOOKUP($C628,'[10]for slip'!$F:$BC,3,0)</f>
        <v>Driver</v>
      </c>
      <c r="E628" s="2" t="str">
        <f>VLOOKUP($C628,'[10]for slip'!$F:$BC,4,0)</f>
        <v>HR &amp; GA</v>
      </c>
      <c r="F628" s="2">
        <f>VLOOKUP($C628,'[10]for slip'!$F:$BC,14,0)</f>
        <v>5343083</v>
      </c>
      <c r="G628" s="2">
        <f>VLOOKUP($C628,'[10]for slip'!$F:$BC,15,0)</f>
        <v>0</v>
      </c>
      <c r="H628" s="2">
        <f>VLOOKUP($C628,'[10]for slip'!$F:$BC,16,0)</f>
        <v>0</v>
      </c>
      <c r="I628" s="2">
        <f>VLOOKUP($C628,'[10]for slip'!$F:$BC,17,0)</f>
        <v>835300</v>
      </c>
      <c r="J628" s="2">
        <f>VLOOKUP($C628,'[10]for slip'!$F:$BC,27,0)</f>
        <v>0</v>
      </c>
      <c r="K628" s="2">
        <f>VLOOKUP($C628,'[10]for slip'!$F:$BC,31,0)</f>
        <v>0</v>
      </c>
      <c r="L628" s="2">
        <f>VLOOKUP($C628,'[10]for slip'!$F:$BC,35,0)</f>
        <v>37400.255415749991</v>
      </c>
      <c r="M628" s="2">
        <f>VLOOKUP($C628,'[10]for slip'!$F:$BC,36,0)</f>
        <v>0</v>
      </c>
      <c r="N628" s="2">
        <f>VLOOKUP($C628,'[10]for slip'!$F:$BC,37,0)</f>
        <v>0</v>
      </c>
      <c r="O628" s="2">
        <f>VLOOKUP($C628,'[10]for slip'!$F:$BC,38,0)</f>
        <v>0</v>
      </c>
      <c r="P628" s="2">
        <f>VLOOKUP($C628,'[10]for slip'!$F:$BC,39,0)</f>
        <v>0</v>
      </c>
      <c r="Q628" s="2">
        <f>VLOOKUP($C628,'[10]for slip'!$F:$BC,40,0)</f>
        <v>31700</v>
      </c>
      <c r="R628" s="2">
        <f>VLOOKUP($C628,'[10]for slip'!$F:$BC,41,0)</f>
        <v>0</v>
      </c>
      <c r="S628" s="2">
        <f>VLOOKUP($C628,'[10]for slip'!$F:$BC,42,0)</f>
        <v>0</v>
      </c>
      <c r="T628" s="2">
        <f>VLOOKUP($C628,'[10]for slip'!$F:$BC,43,0)</f>
        <v>61783.83</v>
      </c>
      <c r="U628" s="2">
        <f>VLOOKUP($C628,'[10]for slip'!$F:$BC,44,0)</f>
        <v>123567.66</v>
      </c>
      <c r="V628" s="2">
        <f>VLOOKUP($C628,'[10]for slip'!$F:$BC,45,0)</f>
        <v>61783.83</v>
      </c>
      <c r="W628" s="2">
        <f>VLOOKUP($C628,'[10]for slip'!$F:$BC,48,0)</f>
        <v>37400.255415749991</v>
      </c>
    </row>
    <row r="629" spans="1:23" x14ac:dyDescent="0.25">
      <c r="A629" s="1">
        <v>628</v>
      </c>
      <c r="B629" s="2" t="s">
        <v>1275</v>
      </c>
      <c r="C629" s="2" t="s">
        <v>1276</v>
      </c>
      <c r="D629" s="2" t="str">
        <f>VLOOKUP($C629,'[10]for slip'!$F:$BC,3,0)</f>
        <v>Driver</v>
      </c>
      <c r="E629" s="2" t="str">
        <f>VLOOKUP($C629,'[10]for slip'!$F:$BC,4,0)</f>
        <v>HR &amp; GA</v>
      </c>
      <c r="F629" s="2">
        <f>VLOOKUP($C629,'[10]for slip'!$F:$BC,14,0)</f>
        <v>5343083</v>
      </c>
      <c r="G629" s="2">
        <f>VLOOKUP($C629,'[10]for slip'!$F:$BC,15,0)</f>
        <v>0</v>
      </c>
      <c r="H629" s="2">
        <f>VLOOKUP($C629,'[10]for slip'!$F:$BC,16,0)</f>
        <v>0</v>
      </c>
      <c r="I629" s="2">
        <f>VLOOKUP($C629,'[10]for slip'!$F:$BC,17,0)</f>
        <v>835300</v>
      </c>
      <c r="J629" s="2">
        <f>VLOOKUP($C629,'[10]for slip'!$F:$BC,27,0)</f>
        <v>0</v>
      </c>
      <c r="K629" s="2">
        <f>VLOOKUP($C629,'[10]for slip'!$F:$BC,31,0)</f>
        <v>0</v>
      </c>
      <c r="L629" s="2">
        <f>VLOOKUP($C629,'[10]for slip'!$F:$BC,35,0)</f>
        <v>74900.255415749984</v>
      </c>
      <c r="M629" s="2">
        <f>VLOOKUP($C629,'[10]for slip'!$F:$BC,36,0)</f>
        <v>0</v>
      </c>
      <c r="N629" s="2">
        <f>VLOOKUP($C629,'[10]for slip'!$F:$BC,37,0)</f>
        <v>0</v>
      </c>
      <c r="O629" s="2">
        <f>VLOOKUP($C629,'[10]for slip'!$F:$BC,38,0)</f>
        <v>0</v>
      </c>
      <c r="P629" s="2">
        <f>VLOOKUP($C629,'[10]for slip'!$F:$BC,39,0)</f>
        <v>0</v>
      </c>
      <c r="Q629" s="2">
        <f>VLOOKUP($C629,'[10]for slip'!$F:$BC,40,0)</f>
        <v>31700</v>
      </c>
      <c r="R629" s="2">
        <f>VLOOKUP($C629,'[10]for slip'!$F:$BC,41,0)</f>
        <v>0</v>
      </c>
      <c r="S629" s="2">
        <f>VLOOKUP($C629,'[10]for slip'!$F:$BC,42,0)</f>
        <v>0</v>
      </c>
      <c r="T629" s="2">
        <f>VLOOKUP($C629,'[10]for slip'!$F:$BC,43,0)</f>
        <v>61783.83</v>
      </c>
      <c r="U629" s="2">
        <f>VLOOKUP($C629,'[10]for slip'!$F:$BC,44,0)</f>
        <v>123567.66</v>
      </c>
      <c r="V629" s="2">
        <f>VLOOKUP($C629,'[10]for slip'!$F:$BC,45,0)</f>
        <v>61783.83</v>
      </c>
      <c r="W629" s="2">
        <f>VLOOKUP($C629,'[10]for slip'!$F:$BC,48,0)</f>
        <v>74900.255415749984</v>
      </c>
    </row>
    <row r="630" spans="1:23" x14ac:dyDescent="0.25">
      <c r="A630" s="1">
        <v>629</v>
      </c>
      <c r="B630" s="2" t="s">
        <v>1277</v>
      </c>
      <c r="C630" s="2" t="s">
        <v>1278</v>
      </c>
      <c r="D630" s="2" t="str">
        <f>VLOOKUP($C630,'[10]for slip'!$F:$BC,3,0)</f>
        <v>Driver</v>
      </c>
      <c r="E630" s="2" t="str">
        <f>VLOOKUP($C630,'[10]for slip'!$F:$BC,4,0)</f>
        <v>HR &amp; GA</v>
      </c>
      <c r="F630" s="2">
        <f>VLOOKUP($C630,'[10]for slip'!$F:$BC,14,0)</f>
        <v>5343083</v>
      </c>
      <c r="G630" s="2">
        <f>VLOOKUP($C630,'[10]for slip'!$F:$BC,15,0)</f>
        <v>0</v>
      </c>
      <c r="H630" s="2">
        <f>VLOOKUP($C630,'[10]for slip'!$F:$BC,16,0)</f>
        <v>0</v>
      </c>
      <c r="I630" s="2">
        <f>VLOOKUP($C630,'[10]for slip'!$F:$BC,17,0)</f>
        <v>460477</v>
      </c>
      <c r="J630" s="2">
        <f>VLOOKUP($C630,'[10]for slip'!$F:$BC,27,0)</f>
        <v>0</v>
      </c>
      <c r="K630" s="2">
        <f>VLOOKUP($C630,'[10]for slip'!$F:$BC,31,0)</f>
        <v>0</v>
      </c>
      <c r="L630" s="2">
        <f>VLOOKUP($C630,'[10]for slip'!$F:$BC,35,0)</f>
        <v>456.25328999999914</v>
      </c>
      <c r="M630" s="2">
        <f>VLOOKUP($C630,'[10]for slip'!$F:$BC,36,0)</f>
        <v>0</v>
      </c>
      <c r="N630" s="2">
        <f>VLOOKUP($C630,'[10]for slip'!$F:$BC,37,0)</f>
        <v>0</v>
      </c>
      <c r="O630" s="2">
        <f>VLOOKUP($C630,'[10]for slip'!$F:$BC,38,0)</f>
        <v>0</v>
      </c>
      <c r="P630" s="2">
        <f>VLOOKUP($C630,'[10]for slip'!$F:$BC,39,0)</f>
        <v>38000</v>
      </c>
      <c r="Q630" s="2">
        <f>VLOOKUP($C630,'[10]for slip'!$F:$BC,40,0)</f>
        <v>31700</v>
      </c>
      <c r="R630" s="2">
        <f>VLOOKUP($C630,'[10]for slip'!$F:$BC,41,0)</f>
        <v>0</v>
      </c>
      <c r="S630" s="2">
        <f>VLOOKUP($C630,'[10]for slip'!$F:$BC,42,0)</f>
        <v>0</v>
      </c>
      <c r="T630" s="2">
        <f>VLOOKUP($C630,'[10]for slip'!$F:$BC,43,0)</f>
        <v>58035.6</v>
      </c>
      <c r="U630" s="2">
        <f>VLOOKUP($C630,'[10]for slip'!$F:$BC,44,0)</f>
        <v>116071.2</v>
      </c>
      <c r="V630" s="2">
        <f>VLOOKUP($C630,'[10]for slip'!$F:$BC,45,0)</f>
        <v>58035.6</v>
      </c>
      <c r="W630" s="2">
        <f>VLOOKUP($C630,'[10]for slip'!$F:$BC,48,0)</f>
        <v>456.25328999999914</v>
      </c>
    </row>
    <row r="631" spans="1:23" x14ac:dyDescent="0.25">
      <c r="A631" s="1">
        <v>630</v>
      </c>
      <c r="B631" s="2" t="s">
        <v>1279</v>
      </c>
      <c r="C631" s="2" t="s">
        <v>1280</v>
      </c>
      <c r="D631" s="2" t="str">
        <f>VLOOKUP($C631,'[10]for slip'!$F:$BC,3,0)</f>
        <v>Staff</v>
      </c>
      <c r="E631" s="2" t="str">
        <f>VLOOKUP($C631,'[10]for slip'!$F:$BC,4,0)</f>
        <v>HR &amp; GA</v>
      </c>
      <c r="F631" s="2">
        <f>VLOOKUP($C631,'[10]for slip'!$F:$BC,14,0)</f>
        <v>5343083</v>
      </c>
      <c r="G631" s="2">
        <f>VLOOKUP($C631,'[10]for slip'!$F:$BC,15,0)</f>
        <v>0</v>
      </c>
      <c r="H631" s="2">
        <f>VLOOKUP($C631,'[10]for slip'!$F:$BC,16,0)</f>
        <v>0</v>
      </c>
      <c r="I631" s="2">
        <f>VLOOKUP($C631,'[10]for slip'!$F:$BC,17,0)</f>
        <v>0</v>
      </c>
      <c r="J631" s="2">
        <f>VLOOKUP($C631,'[10]for slip'!$F:$BC,27,0)</f>
        <v>0</v>
      </c>
      <c r="K631" s="2">
        <f>VLOOKUP($C631,'[10]for slip'!$F:$BC,31,0)</f>
        <v>0</v>
      </c>
      <c r="L631" s="2">
        <f>VLOOKUP($C631,'[10]for slip'!$F:$BC,35,0)</f>
        <v>15604.584590750002</v>
      </c>
      <c r="M631" s="2">
        <f>VLOOKUP($C631,'[10]for slip'!$F:$BC,36,0)</f>
        <v>0</v>
      </c>
      <c r="N631" s="2">
        <f>VLOOKUP($C631,'[10]for slip'!$F:$BC,37,0)</f>
        <v>0</v>
      </c>
      <c r="O631" s="2">
        <f>VLOOKUP($C631,'[10]for slip'!$F:$BC,38,0)</f>
        <v>0</v>
      </c>
      <c r="P631" s="2">
        <f>VLOOKUP($C631,'[10]for slip'!$F:$BC,39,0)</f>
        <v>38000</v>
      </c>
      <c r="Q631" s="2">
        <f>VLOOKUP($C631,'[10]for slip'!$F:$BC,40,0)</f>
        <v>31700</v>
      </c>
      <c r="R631" s="2">
        <f>VLOOKUP($C631,'[10]for slip'!$F:$BC,41,0)</f>
        <v>0</v>
      </c>
      <c r="S631" s="2">
        <f>VLOOKUP($C631,'[10]for slip'!$F:$BC,42,0)</f>
        <v>10000</v>
      </c>
      <c r="T631" s="2">
        <f>VLOOKUP($C631,'[10]for slip'!$F:$BC,43,0)</f>
        <v>106861.66</v>
      </c>
      <c r="U631" s="2">
        <f>VLOOKUP($C631,'[10]for slip'!$F:$BC,44,0)</f>
        <v>106861.66</v>
      </c>
      <c r="V631" s="2">
        <f>VLOOKUP($C631,'[10]for slip'!$F:$BC,45,0)</f>
        <v>53430.83</v>
      </c>
      <c r="W631" s="2">
        <f>VLOOKUP($C631,'[10]for slip'!$F:$BC,48,0)</f>
        <v>15604.584590750002</v>
      </c>
    </row>
    <row r="632" spans="1:23" x14ac:dyDescent="0.25">
      <c r="A632" s="1">
        <v>631</v>
      </c>
      <c r="B632" s="2" t="s">
        <v>1281</v>
      </c>
      <c r="C632" s="2" t="s">
        <v>1282</v>
      </c>
      <c r="D632" s="2" t="str">
        <f>VLOOKUP($C632,'[10]for slip'!$F:$BC,3,0)</f>
        <v>Pelaksana</v>
      </c>
      <c r="E632" s="2" t="str">
        <f>VLOOKUP($C632,'[10]for slip'!$F:$BC,4,0)</f>
        <v>HR &amp; GA</v>
      </c>
      <c r="F632" s="2">
        <f>VLOOKUP($C632,'[10]for slip'!$F:$BC,14,0)</f>
        <v>5343083</v>
      </c>
      <c r="G632" s="2">
        <f>VLOOKUP($C632,'[10]for slip'!$F:$BC,15,0)</f>
        <v>0</v>
      </c>
      <c r="H632" s="2">
        <f>VLOOKUP($C632,'[10]for slip'!$F:$BC,16,0)</f>
        <v>0</v>
      </c>
      <c r="I632" s="2">
        <f>VLOOKUP($C632,'[10]for slip'!$F:$BC,17,0)</f>
        <v>0</v>
      </c>
      <c r="J632" s="2">
        <f>VLOOKUP($C632,'[10]for slip'!$F:$BC,27,0)</f>
        <v>0</v>
      </c>
      <c r="K632" s="2">
        <f>VLOOKUP($C632,'[10]for slip'!$F:$BC,31,0)</f>
        <v>0</v>
      </c>
      <c r="L632" s="2">
        <f>VLOOKUP($C632,'[10]for slip'!$F:$BC,35,0)</f>
        <v>0</v>
      </c>
      <c r="M632" s="2">
        <f>VLOOKUP($C632,'[10]for slip'!$F:$BC,36,0)</f>
        <v>0</v>
      </c>
      <c r="N632" s="2">
        <f>VLOOKUP($C632,'[10]for slip'!$F:$BC,37,0)</f>
        <v>0</v>
      </c>
      <c r="O632" s="2">
        <f>VLOOKUP($C632,'[10]for slip'!$F:$BC,38,0)</f>
        <v>0</v>
      </c>
      <c r="P632" s="2">
        <f>VLOOKUP($C632,'[10]for slip'!$F:$BC,39,0)</f>
        <v>38000</v>
      </c>
      <c r="Q632" s="2">
        <f>VLOOKUP($C632,'[10]for slip'!$F:$BC,40,0)</f>
        <v>31700</v>
      </c>
      <c r="R632" s="2">
        <f>VLOOKUP($C632,'[10]for slip'!$F:$BC,41,0)</f>
        <v>0</v>
      </c>
      <c r="S632" s="2">
        <f>VLOOKUP($C632,'[10]for slip'!$F:$BC,42,0)</f>
        <v>10000</v>
      </c>
      <c r="T632" s="2">
        <f>VLOOKUP($C632,'[10]for slip'!$F:$BC,43,0)</f>
        <v>53430.83</v>
      </c>
      <c r="U632" s="2">
        <f>VLOOKUP($C632,'[10]for slip'!$F:$BC,44,0)</f>
        <v>106861.66</v>
      </c>
      <c r="V632" s="2">
        <f>VLOOKUP($C632,'[10]for slip'!$F:$BC,45,0)</f>
        <v>53430.83</v>
      </c>
      <c r="W632" s="2">
        <f>VLOOKUP($C632,'[10]for slip'!$F:$BC,48,0)</f>
        <v>0</v>
      </c>
    </row>
    <row r="633" spans="1:23" x14ac:dyDescent="0.25">
      <c r="A633" s="1">
        <v>632</v>
      </c>
      <c r="B633" s="2" t="s">
        <v>27</v>
      </c>
      <c r="C633" s="2" t="s">
        <v>28</v>
      </c>
      <c r="D633" s="2" t="str">
        <f>VLOOKUP($C633,'[10]for slip'!$F:$BC,3,0)</f>
        <v>Pelaksana</v>
      </c>
      <c r="E633" s="2" t="str">
        <f>VLOOKUP($C633,'[10]for slip'!$F:$BC,4,0)</f>
        <v>HR &amp; GA</v>
      </c>
      <c r="F633" s="2">
        <f>VLOOKUP($C633,'[10]for slip'!$F:$BC,14,0)</f>
        <v>5343083</v>
      </c>
      <c r="G633" s="2">
        <f>VLOOKUP($C633,'[10]for slip'!$F:$BC,15,0)</f>
        <v>0</v>
      </c>
      <c r="H633" s="2">
        <f>VLOOKUP($C633,'[10]for slip'!$F:$BC,16,0)</f>
        <v>0</v>
      </c>
      <c r="I633" s="2">
        <f>VLOOKUP($C633,'[10]for slip'!$F:$BC,17,0)</f>
        <v>0</v>
      </c>
      <c r="J633" s="2">
        <f>VLOOKUP($C633,'[10]for slip'!$F:$BC,27,0)</f>
        <v>0</v>
      </c>
      <c r="K633" s="2">
        <f>VLOOKUP($C633,'[10]for slip'!$F:$BC,31,0)</f>
        <v>0</v>
      </c>
      <c r="L633" s="2">
        <f>VLOOKUP($C633,'[10]for slip'!$F:$BC,35,0)</f>
        <v>0</v>
      </c>
      <c r="M633" s="2">
        <f>VLOOKUP($C633,'[10]for slip'!$F:$BC,36,0)</f>
        <v>0</v>
      </c>
      <c r="N633" s="2">
        <f>VLOOKUP($C633,'[10]for slip'!$F:$BC,37,0)</f>
        <v>0</v>
      </c>
      <c r="O633" s="2">
        <f>VLOOKUP($C633,'[10]for slip'!$F:$BC,38,0)</f>
        <v>0</v>
      </c>
      <c r="P633" s="2">
        <f>VLOOKUP($C633,'[10]for slip'!$F:$BC,39,0)</f>
        <v>0</v>
      </c>
      <c r="Q633" s="2">
        <f>VLOOKUP($C633,'[10]for slip'!$F:$BC,40,0)</f>
        <v>31700</v>
      </c>
      <c r="R633" s="2">
        <f>VLOOKUP($C633,'[10]for slip'!$F:$BC,41,0)</f>
        <v>0</v>
      </c>
      <c r="S633" s="2">
        <f>VLOOKUP($C633,'[10]for slip'!$F:$BC,42,0)</f>
        <v>0</v>
      </c>
      <c r="T633" s="2">
        <f>VLOOKUP($C633,'[10]for slip'!$F:$BC,43,0)</f>
        <v>53430.83</v>
      </c>
      <c r="U633" s="2">
        <f>VLOOKUP($C633,'[10]for slip'!$F:$BC,44,0)</f>
        <v>106861.66</v>
      </c>
      <c r="V633" s="2">
        <f>VLOOKUP($C633,'[10]for slip'!$F:$BC,45,0)</f>
        <v>53430.83</v>
      </c>
      <c r="W633" s="2">
        <f>VLOOKUP($C633,'[10]for slip'!$F:$BC,48,0)</f>
        <v>0</v>
      </c>
    </row>
    <row r="634" spans="1:23" x14ac:dyDescent="0.25">
      <c r="A634" s="1">
        <v>633</v>
      </c>
      <c r="B634" s="2" t="s">
        <v>29</v>
      </c>
      <c r="C634" s="2" t="s">
        <v>30</v>
      </c>
      <c r="D634" s="2" t="str">
        <f>VLOOKUP($C634,'[10]for slip'!$F:$BC,3,0)</f>
        <v>Driver</v>
      </c>
      <c r="E634" s="2" t="str">
        <f>VLOOKUP($C634,'[10]for slip'!$F:$BC,4,0)</f>
        <v>HR &amp; GA</v>
      </c>
      <c r="F634" s="2">
        <f>VLOOKUP($C634,'[10]for slip'!$F:$BC,14,0)</f>
        <v>5343083</v>
      </c>
      <c r="G634" s="2">
        <f>VLOOKUP($C634,'[10]for slip'!$F:$BC,15,0)</f>
        <v>0</v>
      </c>
      <c r="H634" s="2">
        <f>VLOOKUP($C634,'[10]for slip'!$F:$BC,16,0)</f>
        <v>0</v>
      </c>
      <c r="I634" s="2">
        <f>VLOOKUP($C634,'[10]for slip'!$F:$BC,17,0)</f>
        <v>835300</v>
      </c>
      <c r="J634" s="2">
        <f>VLOOKUP($C634,'[10]for slip'!$F:$BC,27,0)</f>
        <v>0</v>
      </c>
      <c r="K634" s="2">
        <f>VLOOKUP($C634,'[10]for slip'!$F:$BC,31,0)</f>
        <v>0</v>
      </c>
      <c r="L634" s="2">
        <f>VLOOKUP($C634,'[10]for slip'!$F:$BC,35,0)</f>
        <v>18650.255415749987</v>
      </c>
      <c r="M634" s="2">
        <f>VLOOKUP($C634,'[10]for slip'!$F:$BC,36,0)</f>
        <v>0</v>
      </c>
      <c r="N634" s="2">
        <f>VLOOKUP($C634,'[10]for slip'!$F:$BC,37,0)</f>
        <v>0</v>
      </c>
      <c r="O634" s="2">
        <f>VLOOKUP($C634,'[10]for slip'!$F:$BC,38,0)</f>
        <v>0</v>
      </c>
      <c r="P634" s="2">
        <f>VLOOKUP($C634,'[10]for slip'!$F:$BC,39,0)</f>
        <v>0</v>
      </c>
      <c r="Q634" s="2">
        <f>VLOOKUP($C634,'[10]for slip'!$F:$BC,40,0)</f>
        <v>31700</v>
      </c>
      <c r="R634" s="2">
        <f>VLOOKUP($C634,'[10]for slip'!$F:$BC,41,0)</f>
        <v>0</v>
      </c>
      <c r="S634" s="2">
        <f>VLOOKUP($C634,'[10]for slip'!$F:$BC,42,0)</f>
        <v>0</v>
      </c>
      <c r="T634" s="2">
        <f>VLOOKUP($C634,'[10]for slip'!$F:$BC,43,0)</f>
        <v>61783.83</v>
      </c>
      <c r="U634" s="2">
        <f>VLOOKUP($C634,'[10]for slip'!$F:$BC,44,0)</f>
        <v>123567.66</v>
      </c>
      <c r="V634" s="2">
        <f>VLOOKUP($C634,'[10]for slip'!$F:$BC,45,0)</f>
        <v>61783.83</v>
      </c>
      <c r="W634" s="2">
        <f>VLOOKUP($C634,'[10]for slip'!$F:$BC,48,0)</f>
        <v>18650.255415749987</v>
      </c>
    </row>
    <row r="635" spans="1:23" x14ac:dyDescent="0.25">
      <c r="A635" s="1">
        <v>634</v>
      </c>
      <c r="B635" s="2" t="s">
        <v>31</v>
      </c>
      <c r="C635" s="2" t="s">
        <v>32</v>
      </c>
      <c r="D635" s="2" t="str">
        <f>VLOOKUP($C635,'[10]for slip'!$F:$BC,3,0)</f>
        <v>Specialist</v>
      </c>
      <c r="E635" s="2" t="str">
        <f>VLOOKUP($C635,'[10]for slip'!$F:$BC,4,0)</f>
        <v>Thailand Team</v>
      </c>
      <c r="F635" s="2">
        <f>VLOOKUP($C635,'[10]for slip'!$F:$BC,14,0)</f>
        <v>25034870</v>
      </c>
      <c r="G635" s="2">
        <f>VLOOKUP($C635,'[10]for slip'!$F:$BC,15,0)</f>
        <v>58356.340326340323</v>
      </c>
      <c r="H635" s="2">
        <f>VLOOKUP($C635,'[10]for slip'!$F:$BC,16,0)</f>
        <v>0</v>
      </c>
      <c r="I635" s="2">
        <f>VLOOKUP($C635,'[10]for slip'!$F:$BC,17,0)</f>
        <v>0</v>
      </c>
      <c r="J635" s="2">
        <f>VLOOKUP($C635,'[10]for slip'!$F:$BC,27,0)</f>
        <v>0</v>
      </c>
      <c r="K635" s="2">
        <f>VLOOKUP($C635,'[10]for slip'!$F:$BC,31,0)</f>
        <v>0</v>
      </c>
      <c r="L635" s="2">
        <f>VLOOKUP($C635,'[10]for slip'!$F:$BC,35,0)</f>
        <v>2990008.7953793183</v>
      </c>
      <c r="M635" s="2">
        <f>VLOOKUP($C635,'[10]for slip'!$F:$BC,36,0)</f>
        <v>0</v>
      </c>
      <c r="N635" s="2">
        <f>VLOOKUP($C635,'[10]for slip'!$F:$BC,37,0)</f>
        <v>0</v>
      </c>
      <c r="O635" s="2">
        <f>VLOOKUP($C635,'[10]for slip'!$F:$BC,38,0)</f>
        <v>0</v>
      </c>
      <c r="P635" s="2">
        <f>VLOOKUP($C635,'[10]for slip'!$F:$BC,39,0)</f>
        <v>0</v>
      </c>
      <c r="Q635" s="2">
        <f>VLOOKUP($C635,'[10]for slip'!$F:$BC,40,0)</f>
        <v>31700</v>
      </c>
      <c r="R635" s="2">
        <f>VLOOKUP($C635,'[10]for slip'!$F:$BC,41,0)</f>
        <v>0</v>
      </c>
      <c r="S635" s="2">
        <f>VLOOKUP($C635,'[10]for slip'!$F:$BC,42,0)</f>
        <v>0</v>
      </c>
      <c r="T635" s="2">
        <f>VLOOKUP($C635,'[10]for slip'!$F:$BC,43,0)</f>
        <v>120000</v>
      </c>
      <c r="U635" s="2">
        <f>VLOOKUP($C635,'[10]for slip'!$F:$BC,44,0)</f>
        <v>533925.50018181815</v>
      </c>
      <c r="V635" s="2">
        <f>VLOOKUP($C635,'[10]for slip'!$F:$BC,45,0)</f>
        <v>0</v>
      </c>
      <c r="W635" s="2">
        <f>VLOOKUP($C635,'[10]for slip'!$F:$BC,48,0)</f>
        <v>0</v>
      </c>
    </row>
    <row r="636" spans="1:23" x14ac:dyDescent="0.25">
      <c r="A636" s="1">
        <v>635</v>
      </c>
      <c r="B636" s="2" t="s">
        <v>33</v>
      </c>
      <c r="C636" s="2" t="s">
        <v>34</v>
      </c>
      <c r="D636" s="2" t="str">
        <f>VLOOKUP($C636,'[10]for slip'!$F:$BC,3,0)</f>
        <v>Secretary</v>
      </c>
      <c r="E636" s="2" t="str">
        <f>VLOOKUP($C636,'[10]for slip'!$F:$BC,4,0)</f>
        <v>Thailand Team</v>
      </c>
      <c r="F636" s="2">
        <f>VLOOKUP($C636,'[10]for slip'!$F:$BC,14,0)</f>
        <v>14000000</v>
      </c>
      <c r="G636" s="2">
        <f>VLOOKUP($C636,'[10]for slip'!$F:$BC,15,0)</f>
        <v>32634.032634032636</v>
      </c>
      <c r="H636" s="2">
        <f>VLOOKUP($C636,'[10]for slip'!$F:$BC,16,0)</f>
        <v>0</v>
      </c>
      <c r="I636" s="2">
        <f>VLOOKUP($C636,'[10]for slip'!$F:$BC,17,0)</f>
        <v>0</v>
      </c>
      <c r="J636" s="2">
        <f>VLOOKUP($C636,'[10]for slip'!$F:$BC,27,0)</f>
        <v>0</v>
      </c>
      <c r="K636" s="2">
        <f>VLOOKUP($C636,'[10]for slip'!$F:$BC,31,0)</f>
        <v>0</v>
      </c>
      <c r="L636" s="2">
        <f>VLOOKUP($C636,'[10]for slip'!$F:$BC,35,0)</f>
        <v>1126558.1242424243</v>
      </c>
      <c r="M636" s="2">
        <f>VLOOKUP($C636,'[10]for slip'!$F:$BC,36,0)</f>
        <v>0</v>
      </c>
      <c r="N636" s="2">
        <f>VLOOKUP($C636,'[10]for slip'!$F:$BC,37,0)</f>
        <v>0</v>
      </c>
      <c r="O636" s="2">
        <f>VLOOKUP($C636,'[10]for slip'!$F:$BC,38,0)</f>
        <v>0</v>
      </c>
      <c r="P636" s="2">
        <f>VLOOKUP($C636,'[10]for slip'!$F:$BC,39,0)</f>
        <v>0</v>
      </c>
      <c r="Q636" s="2">
        <f>VLOOKUP($C636,'[10]for slip'!$F:$BC,40,0)</f>
        <v>31700</v>
      </c>
      <c r="R636" s="2">
        <f>VLOOKUP($C636,'[10]for slip'!$F:$BC,41,0)</f>
        <v>0</v>
      </c>
      <c r="S636" s="2">
        <f>VLOOKUP($C636,'[10]for slip'!$F:$BC,42,0)</f>
        <v>0</v>
      </c>
      <c r="T636" s="2">
        <f>VLOOKUP($C636,'[10]for slip'!$F:$BC,43,0)</f>
        <v>120000</v>
      </c>
      <c r="U636" s="2">
        <f>VLOOKUP($C636,'[10]for slip'!$F:$BC,44,0)</f>
        <v>298581.81818181823</v>
      </c>
      <c r="V636" s="2">
        <f>VLOOKUP($C636,'[10]for slip'!$F:$BC,45,0)</f>
        <v>0</v>
      </c>
      <c r="W636" s="2">
        <f>VLOOKUP($C636,'[10]for slip'!$F:$BC,48,0)</f>
        <v>0</v>
      </c>
    </row>
    <row r="637" spans="1:23" x14ac:dyDescent="0.25">
      <c r="A637" s="1">
        <v>636</v>
      </c>
      <c r="B637" s="2" t="s">
        <v>1283</v>
      </c>
      <c r="C637" s="2" t="s">
        <v>1284</v>
      </c>
      <c r="D637" s="2" t="str">
        <f>VLOOKUP($C637,'[10]for slip'!$F:$BC,3,0)</f>
        <v>Pelaksana</v>
      </c>
      <c r="E637" s="2" t="str">
        <f>VLOOKUP($C637,'[10]for slip'!$F:$BC,4,0)</f>
        <v>Thailand Team</v>
      </c>
      <c r="F637" s="2">
        <f>VLOOKUP($C637,'[10]for slip'!$F:$BC,14,0)</f>
        <v>25034870</v>
      </c>
      <c r="G637" s="2">
        <f>VLOOKUP($C637,'[10]for slip'!$F:$BC,15,0)</f>
        <v>58356.340326340323</v>
      </c>
      <c r="H637" s="2">
        <f>VLOOKUP($C637,'[10]for slip'!$F:$BC,16,0)</f>
        <v>0</v>
      </c>
      <c r="I637" s="2">
        <f>VLOOKUP($C637,'[10]for slip'!$F:$BC,17,0)</f>
        <v>0</v>
      </c>
      <c r="J637" s="2">
        <f>VLOOKUP($C637,'[10]for slip'!$F:$BC,27,0)</f>
        <v>0</v>
      </c>
      <c r="K637" s="2">
        <f>VLOOKUP($C637,'[10]for slip'!$F:$BC,31,0)</f>
        <v>0</v>
      </c>
      <c r="L637" s="2">
        <f>VLOOKUP($C637,'[10]for slip'!$F:$BC,35,0)</f>
        <v>2708758.7953793183</v>
      </c>
      <c r="M637" s="2">
        <f>VLOOKUP($C637,'[10]for slip'!$F:$BC,36,0)</f>
        <v>0</v>
      </c>
      <c r="N637" s="2">
        <f>VLOOKUP($C637,'[10]for slip'!$F:$BC,37,0)</f>
        <v>0</v>
      </c>
      <c r="O637" s="2">
        <f>VLOOKUP($C637,'[10]for slip'!$F:$BC,38,0)</f>
        <v>0</v>
      </c>
      <c r="P637" s="2">
        <f>VLOOKUP($C637,'[10]for slip'!$F:$BC,39,0)</f>
        <v>0</v>
      </c>
      <c r="Q637" s="2">
        <f>VLOOKUP($C637,'[10]for slip'!$F:$BC,40,0)</f>
        <v>31700</v>
      </c>
      <c r="R637" s="2">
        <f>VLOOKUP($C637,'[10]for slip'!$F:$BC,41,0)</f>
        <v>0</v>
      </c>
      <c r="S637" s="2">
        <f>VLOOKUP($C637,'[10]for slip'!$F:$BC,42,0)</f>
        <v>0</v>
      </c>
      <c r="T637" s="2">
        <f>VLOOKUP($C637,'[10]for slip'!$F:$BC,43,0)</f>
        <v>120000</v>
      </c>
      <c r="U637" s="2">
        <f>VLOOKUP($C637,'[10]for slip'!$F:$BC,44,0)</f>
        <v>533925.50018181815</v>
      </c>
      <c r="V637" s="2">
        <f>VLOOKUP($C637,'[10]for slip'!$F:$BC,45,0)</f>
        <v>0</v>
      </c>
      <c r="W637" s="2">
        <f>VLOOKUP($C637,'[10]for slip'!$F:$BC,48,0)</f>
        <v>0</v>
      </c>
    </row>
    <row r="638" spans="1:23" x14ac:dyDescent="0.25">
      <c r="A638" s="1">
        <v>637</v>
      </c>
      <c r="B638" s="2" t="s">
        <v>25</v>
      </c>
      <c r="C638" s="2" t="s">
        <v>26</v>
      </c>
      <c r="D638" s="2" t="str">
        <f>VLOOKUP($C638,'[10]for slip'!$F:$BC,3,0)</f>
        <v>Translator</v>
      </c>
      <c r="E638" s="2" t="str">
        <f>VLOOKUP($C638,'[10]for slip'!$F:$BC,4,0)</f>
        <v>Thailand Team</v>
      </c>
      <c r="F638" s="2">
        <f>VLOOKUP($C638,'[10]for slip'!$F:$BC,14,0)</f>
        <v>10819503</v>
      </c>
      <c r="G638" s="2">
        <f>VLOOKUP($C638,'[10]for slip'!$F:$BC,15,0)</f>
        <v>25220.286713286714</v>
      </c>
      <c r="H638" s="2">
        <f>VLOOKUP($C638,'[10]for slip'!$F:$BC,16,0)</f>
        <v>0</v>
      </c>
      <c r="I638" s="2">
        <f>VLOOKUP($C638,'[10]for slip'!$F:$BC,17,0)</f>
        <v>0</v>
      </c>
      <c r="J638" s="2">
        <f>VLOOKUP($C638,'[10]for slip'!$F:$BC,27,0)</f>
        <v>0</v>
      </c>
      <c r="K638" s="2">
        <f>VLOOKUP($C638,'[10]for slip'!$F:$BC,31,0)</f>
        <v>0</v>
      </c>
      <c r="L638" s="2">
        <f>VLOOKUP($C638,'[10]for slip'!$F:$BC,35,0)</f>
        <v>549943.92539871053</v>
      </c>
      <c r="M638" s="2">
        <f>VLOOKUP($C638,'[10]for slip'!$F:$BC,36,0)</f>
        <v>0</v>
      </c>
      <c r="N638" s="2">
        <f>VLOOKUP($C638,'[10]for slip'!$F:$BC,37,0)</f>
        <v>0</v>
      </c>
      <c r="O638" s="2">
        <f>VLOOKUP($C638,'[10]for slip'!$F:$BC,38,0)</f>
        <v>0</v>
      </c>
      <c r="P638" s="2">
        <f>VLOOKUP($C638,'[10]for slip'!$F:$BC,39,0)</f>
        <v>0</v>
      </c>
      <c r="Q638" s="2">
        <f>VLOOKUP($C638,'[10]for slip'!$F:$BC,40,0)</f>
        <v>31700</v>
      </c>
      <c r="R638" s="2">
        <f>VLOOKUP($C638,'[10]for slip'!$F:$BC,41,0)</f>
        <v>0</v>
      </c>
      <c r="S638" s="2">
        <f>VLOOKUP($C638,'[10]for slip'!$F:$BC,42,0)</f>
        <v>0</v>
      </c>
      <c r="T638" s="2">
        <f>VLOOKUP($C638,'[10]for slip'!$F:$BC,43,0)</f>
        <v>0</v>
      </c>
      <c r="U638" s="2">
        <f>VLOOKUP($C638,'[10]for slip'!$F:$BC,44,0)</f>
        <v>230750.49125454549</v>
      </c>
      <c r="V638" s="2">
        <f>VLOOKUP($C638,'[10]for slip'!$F:$BC,45,0)</f>
        <v>0</v>
      </c>
      <c r="W638" s="2">
        <f>VLOOKUP($C638,'[10]for slip'!$F:$BC,48,0)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2021-06-16T09:40:46Z</dcterms:modified>
</cp:coreProperties>
</file>